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liveconcordia.sharepoint.com/teams/ConcordiaFormulaRacing/Shared Documents/Powertrain/A- Powertrain 2026/ACCUM/Cell Selection/"/>
    </mc:Choice>
  </mc:AlternateContent>
  <xr:revisionPtr revIDLastSave="0" documentId="8_{96783695-A543-44A2-BFBE-B8C1C4DF461B}" xr6:coauthVersionLast="47" xr6:coauthVersionMax="47" xr10:uidLastSave="{00000000-0000-0000-0000-000000000000}"/>
  <bookViews>
    <workbookView xWindow="-120" yWindow="-120" windowWidth="29040" windowHeight="15840" firstSheet="5" activeTab="5" xr2:uid="{00000000-000D-0000-FFFF-FFFF00000000}"/>
  </bookViews>
  <sheets>
    <sheet name="Config List" sheetId="14" r:id="rId1"/>
    <sheet name="Modified Sheet" sheetId="6" r:id="rId2"/>
    <sheet name="Cell Short List" sheetId="1" r:id="rId3"/>
    <sheet name="EVE 50PL(Not Available)" sheetId="4" r:id="rId4"/>
    <sheet name="Reliance RS50" sheetId="7" r:id="rId5"/>
    <sheet name="BAK 45D" sheetId="8" r:id="rId6"/>
    <sheet name="Molicel P50B" sheetId="12" r:id="rId7"/>
    <sheet name="EVE 40PL A" sheetId="10" r:id="rId8"/>
    <sheet name="Ampace JP40 LT" sheetId="5" r:id="rId9"/>
    <sheet name="AM04" sheetId="11" r:id="rId10"/>
    <sheet name="Molicel P45B" sheetId="9" r:id="rId11"/>
  </sheets>
  <externalReferences>
    <externalReference r:id="rId12"/>
  </externalReferences>
  <definedNames>
    <definedName name="_xlnm._FilterDatabase" localSheetId="9" hidden="1">'AM04'!$A$5:$Z$5</definedName>
    <definedName name="_xlnm._FilterDatabase" localSheetId="8" hidden="1">'Ampace JP40 LT'!$A$5:$Z$250</definedName>
    <definedName name="_xlnm._FilterDatabase" localSheetId="5" hidden="1">'BAK 45D'!$A$5:$Z$250</definedName>
    <definedName name="_xlnm._FilterDatabase" localSheetId="2" hidden="1">'Cell Short List'!$A$1:$D$1</definedName>
    <definedName name="_xlnm._FilterDatabase" localSheetId="7" hidden="1">'EVE 40PL A'!$A$5:$Z$250</definedName>
    <definedName name="_xlnm._FilterDatabase" localSheetId="3" hidden="1">'EVE 50PL(Not Available)'!$A$6:$V$192</definedName>
    <definedName name="_xlnm._FilterDatabase" localSheetId="6" hidden="1">'Molicel P50B'!$A$5:$Z$250</definedName>
    <definedName name="_xlnm._FilterDatabase" localSheetId="4" hidden="1">'Reliance RS50'!$A$5:$AC$194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6" i="8" l="1"/>
  <c r="L206" i="8"/>
  <c r="M206" i="8"/>
  <c r="I206" i="8"/>
  <c r="J206" i="8"/>
  <c r="R59" i="7"/>
  <c r="O93" i="12" l="1"/>
  <c r="G93" i="12"/>
  <c r="P93" i="12"/>
  <c r="P206" i="12"/>
  <c r="I54" i="7"/>
  <c r="K59" i="7"/>
  <c r="O59" i="7"/>
  <c r="O200" i="7"/>
  <c r="I112" i="7"/>
  <c r="P112" i="7" s="1"/>
  <c r="K112" i="7"/>
  <c r="M112" i="7"/>
  <c r="O112" i="7"/>
  <c r="R112" i="7" s="1"/>
  <c r="I113" i="7"/>
  <c r="K113" i="7"/>
  <c r="M113" i="7"/>
  <c r="O113" i="7"/>
  <c r="P113" i="7"/>
  <c r="R113" i="7"/>
  <c r="I109" i="7"/>
  <c r="M109" i="7" s="1"/>
  <c r="K109" i="7"/>
  <c r="I110" i="7"/>
  <c r="K110" i="7"/>
  <c r="M110" i="7"/>
  <c r="O110" i="7"/>
  <c r="P110" i="7"/>
  <c r="R110" i="7"/>
  <c r="K203" i="7"/>
  <c r="K204" i="7" s="1"/>
  <c r="L209" i="7"/>
  <c r="K198" i="7"/>
  <c r="K199" i="7" s="1"/>
  <c r="G108" i="7"/>
  <c r="A15" i="14"/>
  <c r="A14" i="14"/>
  <c r="A13" i="14"/>
  <c r="A10" i="14"/>
  <c r="A11" i="14"/>
  <c r="A9" i="14"/>
  <c r="A7" i="14"/>
  <c r="A6" i="14"/>
  <c r="A5" i="14"/>
  <c r="A4" i="14"/>
  <c r="A3" i="14"/>
  <c r="G61" i="7"/>
  <c r="G112" i="12"/>
  <c r="F81" i="8"/>
  <c r="F82" i="8"/>
  <c r="I6" i="8"/>
  <c r="M6" i="8" s="1"/>
  <c r="O6" i="8" s="1"/>
  <c r="J6" i="8"/>
  <c r="X6" i="8" l="1"/>
  <c r="L6" i="8"/>
  <c r="P109" i="7"/>
  <c r="O109" i="7"/>
  <c r="R109" i="7" s="1"/>
  <c r="K52" i="7"/>
  <c r="I57" i="7"/>
  <c r="AA57" i="7" s="1"/>
  <c r="D8" i="4"/>
  <c r="E8" i="4"/>
  <c r="F8" i="4"/>
  <c r="G8" i="4"/>
  <c r="S8" i="4" s="1"/>
  <c r="I8" i="4"/>
  <c r="P8" i="4" s="1"/>
  <c r="J8" i="4"/>
  <c r="K8" i="4" s="1"/>
  <c r="Q8" i="4"/>
  <c r="D9" i="4"/>
  <c r="E9" i="4"/>
  <c r="H9" i="4" s="1"/>
  <c r="F9" i="4"/>
  <c r="G9" i="4"/>
  <c r="I9" i="4"/>
  <c r="L9" i="4" s="1"/>
  <c r="N9" i="4" s="1"/>
  <c r="J9" i="4"/>
  <c r="M9" i="4"/>
  <c r="P9" i="4"/>
  <c r="Q9" i="4"/>
  <c r="D10" i="4"/>
  <c r="E10" i="4"/>
  <c r="F10" i="4"/>
  <c r="G10" i="4"/>
  <c r="I10" i="4"/>
  <c r="T10" i="4" s="1"/>
  <c r="J10" i="4"/>
  <c r="U10" i="4" s="1"/>
  <c r="Q10" i="4"/>
  <c r="D11" i="4"/>
  <c r="E11" i="4"/>
  <c r="F11" i="4"/>
  <c r="G11" i="4"/>
  <c r="I11" i="4"/>
  <c r="T11" i="4" s="1"/>
  <c r="J11" i="4"/>
  <c r="U11" i="4" s="1"/>
  <c r="L11" i="4"/>
  <c r="N11" i="4" s="1"/>
  <c r="P11" i="4"/>
  <c r="Q11" i="4"/>
  <c r="D12" i="4"/>
  <c r="E12" i="4"/>
  <c r="F12" i="4"/>
  <c r="G12" i="4"/>
  <c r="I12" i="4"/>
  <c r="L12" i="4" s="1"/>
  <c r="N12" i="4" s="1"/>
  <c r="J12" i="4"/>
  <c r="U12" i="4" s="1"/>
  <c r="P12" i="4"/>
  <c r="Q12" i="4"/>
  <c r="D13" i="4"/>
  <c r="E13" i="4"/>
  <c r="K13" i="4" s="1"/>
  <c r="F13" i="4"/>
  <c r="G13" i="4"/>
  <c r="I13" i="4"/>
  <c r="J13" i="4"/>
  <c r="L13" i="4"/>
  <c r="N13" i="4" s="1"/>
  <c r="M13" i="4"/>
  <c r="P13" i="4"/>
  <c r="Q13" i="4"/>
  <c r="U13" i="4"/>
  <c r="D14" i="4"/>
  <c r="E14" i="4"/>
  <c r="F14" i="4"/>
  <c r="G14" i="4"/>
  <c r="I14" i="4"/>
  <c r="J14" i="4"/>
  <c r="Q14" i="4"/>
  <c r="D15" i="4"/>
  <c r="E15" i="4"/>
  <c r="F15" i="4"/>
  <c r="G15" i="4"/>
  <c r="S15" i="4" s="1"/>
  <c r="I15" i="4"/>
  <c r="J15" i="4"/>
  <c r="Q15" i="4"/>
  <c r="D16" i="4"/>
  <c r="E16" i="4"/>
  <c r="T16" i="4" s="1"/>
  <c r="F16" i="4"/>
  <c r="G16" i="4"/>
  <c r="S16" i="4" s="1"/>
  <c r="H16" i="4"/>
  <c r="I16" i="4"/>
  <c r="L16" i="4" s="1"/>
  <c r="N16" i="4" s="1"/>
  <c r="J16" i="4"/>
  <c r="Q16" i="4"/>
  <c r="D17" i="4"/>
  <c r="E17" i="4"/>
  <c r="K17" i="4" s="1"/>
  <c r="F17" i="4"/>
  <c r="G17" i="4"/>
  <c r="I17" i="4"/>
  <c r="M17" i="4" s="1"/>
  <c r="J17" i="4"/>
  <c r="L17" i="4"/>
  <c r="N17" i="4" s="1"/>
  <c r="Q17" i="4"/>
  <c r="D18" i="4"/>
  <c r="E18" i="4"/>
  <c r="F18" i="4"/>
  <c r="G18" i="4"/>
  <c r="S18" i="4" s="1"/>
  <c r="I18" i="4"/>
  <c r="P18" i="4" s="1"/>
  <c r="J18" i="4"/>
  <c r="M18" i="4"/>
  <c r="Q18" i="4"/>
  <c r="D19" i="4"/>
  <c r="E19" i="4"/>
  <c r="F19" i="4"/>
  <c r="G19" i="4"/>
  <c r="S19" i="4" s="1"/>
  <c r="I19" i="4"/>
  <c r="P19" i="4" s="1"/>
  <c r="J19" i="4"/>
  <c r="Q19" i="4"/>
  <c r="D20" i="4"/>
  <c r="E20" i="4"/>
  <c r="F20" i="4"/>
  <c r="G20" i="4"/>
  <c r="S20" i="4" s="1"/>
  <c r="I20" i="4"/>
  <c r="P20" i="4" s="1"/>
  <c r="J20" i="4"/>
  <c r="Q20" i="4"/>
  <c r="D21" i="4"/>
  <c r="E21" i="4"/>
  <c r="F21" i="4"/>
  <c r="G21" i="4"/>
  <c r="I21" i="4"/>
  <c r="T21" i="4" s="1"/>
  <c r="J21" i="4"/>
  <c r="K21" i="4"/>
  <c r="Q21" i="4"/>
  <c r="W21" i="4"/>
  <c r="D22" i="4"/>
  <c r="E22" i="4"/>
  <c r="F22" i="4"/>
  <c r="G22" i="4"/>
  <c r="I22" i="4"/>
  <c r="L22" i="4" s="1"/>
  <c r="N22" i="4" s="1"/>
  <c r="J22" i="4"/>
  <c r="M22" i="4"/>
  <c r="Q22" i="4"/>
  <c r="U22" i="4"/>
  <c r="D23" i="4"/>
  <c r="E23" i="4"/>
  <c r="F23" i="4"/>
  <c r="G23" i="4"/>
  <c r="I23" i="4"/>
  <c r="J23" i="4"/>
  <c r="U23" i="4" s="1"/>
  <c r="L23" i="4"/>
  <c r="N23" i="4" s="1"/>
  <c r="P23" i="4"/>
  <c r="Q23" i="4"/>
  <c r="W23" i="4"/>
  <c r="D24" i="4"/>
  <c r="E24" i="4"/>
  <c r="F24" i="4"/>
  <c r="G24" i="4"/>
  <c r="I24" i="4"/>
  <c r="L24" i="4" s="1"/>
  <c r="N24" i="4" s="1"/>
  <c r="J24" i="4"/>
  <c r="U24" i="4" s="1"/>
  <c r="P24" i="4"/>
  <c r="Q24" i="4"/>
  <c r="W24" i="4"/>
  <c r="D25" i="4"/>
  <c r="E25" i="4"/>
  <c r="F25" i="4"/>
  <c r="G25" i="4"/>
  <c r="I25" i="4"/>
  <c r="L25" i="4" s="1"/>
  <c r="N25" i="4" s="1"/>
  <c r="J25" i="4"/>
  <c r="U25" i="4" s="1"/>
  <c r="Q25" i="4"/>
  <c r="D26" i="4"/>
  <c r="E26" i="4"/>
  <c r="F26" i="4"/>
  <c r="G26" i="4"/>
  <c r="I26" i="4"/>
  <c r="J26" i="4"/>
  <c r="Q26" i="4"/>
  <c r="D27" i="4"/>
  <c r="E27" i="4"/>
  <c r="F27" i="4"/>
  <c r="G27" i="4"/>
  <c r="S27" i="4" s="1"/>
  <c r="I27" i="4"/>
  <c r="J27" i="4"/>
  <c r="Q27" i="4"/>
  <c r="D28" i="4"/>
  <c r="E28" i="4"/>
  <c r="K28" i="4" s="1"/>
  <c r="F28" i="4"/>
  <c r="G28" i="4"/>
  <c r="R28" i="4" s="1"/>
  <c r="I28" i="4"/>
  <c r="L28" i="4" s="1"/>
  <c r="N28" i="4" s="1"/>
  <c r="J28" i="4"/>
  <c r="U28" i="4" s="1"/>
  <c r="Q28" i="4"/>
  <c r="D29" i="4"/>
  <c r="E29" i="4"/>
  <c r="F29" i="4"/>
  <c r="G29" i="4"/>
  <c r="S29" i="4" s="1"/>
  <c r="I29" i="4"/>
  <c r="M29" i="4" s="1"/>
  <c r="J29" i="4"/>
  <c r="Q29" i="4"/>
  <c r="D30" i="4"/>
  <c r="E30" i="4"/>
  <c r="F30" i="4"/>
  <c r="G30" i="4"/>
  <c r="S30" i="4" s="1"/>
  <c r="I30" i="4"/>
  <c r="P30" i="4" s="1"/>
  <c r="J30" i="4"/>
  <c r="Q30" i="4"/>
  <c r="D31" i="4"/>
  <c r="E31" i="4"/>
  <c r="K31" i="4" s="1"/>
  <c r="F31" i="4"/>
  <c r="G31" i="4"/>
  <c r="I31" i="4"/>
  <c r="P31" i="4" s="1"/>
  <c r="J31" i="4"/>
  <c r="Q31" i="4"/>
  <c r="W31" i="4"/>
  <c r="D32" i="4"/>
  <c r="E32" i="4"/>
  <c r="F32" i="4"/>
  <c r="G32" i="4"/>
  <c r="I32" i="4"/>
  <c r="P32" i="4" s="1"/>
  <c r="J32" i="4"/>
  <c r="Q32" i="4"/>
  <c r="D33" i="4"/>
  <c r="E33" i="4"/>
  <c r="F33" i="4"/>
  <c r="G33" i="4"/>
  <c r="S33" i="4" s="1"/>
  <c r="I33" i="4"/>
  <c r="L33" i="4" s="1"/>
  <c r="N33" i="4" s="1"/>
  <c r="J33" i="4"/>
  <c r="Q33" i="4"/>
  <c r="D34" i="4"/>
  <c r="E34" i="4"/>
  <c r="F34" i="4"/>
  <c r="G34" i="4"/>
  <c r="I34" i="4"/>
  <c r="J34" i="4"/>
  <c r="L34" i="4"/>
  <c r="M34" i="4"/>
  <c r="N34" i="4"/>
  <c r="Q34" i="4"/>
  <c r="U34" i="4"/>
  <c r="D35" i="4"/>
  <c r="E35" i="4"/>
  <c r="F35" i="4"/>
  <c r="G35" i="4"/>
  <c r="I35" i="4"/>
  <c r="L35" i="4" s="1"/>
  <c r="N35" i="4" s="1"/>
  <c r="J35" i="4"/>
  <c r="U35" i="4" s="1"/>
  <c r="M35" i="4"/>
  <c r="P35" i="4"/>
  <c r="Q35" i="4"/>
  <c r="R35" i="4"/>
  <c r="D36" i="4"/>
  <c r="E36" i="4"/>
  <c r="K36" i="4" s="1"/>
  <c r="F36" i="4"/>
  <c r="G36" i="4"/>
  <c r="S36" i="4" s="1"/>
  <c r="I36" i="4"/>
  <c r="L36" i="4" s="1"/>
  <c r="N36" i="4" s="1"/>
  <c r="J36" i="4"/>
  <c r="Q36" i="4"/>
  <c r="U36" i="4"/>
  <c r="W36" i="4"/>
  <c r="D37" i="4"/>
  <c r="E37" i="4"/>
  <c r="T37" i="4" s="1"/>
  <c r="F37" i="4"/>
  <c r="G37" i="4"/>
  <c r="H37" i="4"/>
  <c r="I37" i="4"/>
  <c r="L37" i="4" s="1"/>
  <c r="N37" i="4" s="1"/>
  <c r="J37" i="4"/>
  <c r="U37" i="4" s="1"/>
  <c r="P37" i="4"/>
  <c r="Q37" i="4"/>
  <c r="D38" i="4"/>
  <c r="E38" i="4"/>
  <c r="K38" i="4" s="1"/>
  <c r="F38" i="4"/>
  <c r="G38" i="4"/>
  <c r="I38" i="4"/>
  <c r="J38" i="4"/>
  <c r="Q38" i="4"/>
  <c r="U38" i="4"/>
  <c r="D39" i="4"/>
  <c r="E39" i="4"/>
  <c r="F39" i="4"/>
  <c r="G39" i="4"/>
  <c r="S39" i="4" s="1"/>
  <c r="I39" i="4"/>
  <c r="J39" i="4"/>
  <c r="Q39" i="4"/>
  <c r="D40" i="4"/>
  <c r="E40" i="4"/>
  <c r="F40" i="4"/>
  <c r="G40" i="4"/>
  <c r="I40" i="4"/>
  <c r="L40" i="4" s="1"/>
  <c r="N40" i="4" s="1"/>
  <c r="J40" i="4"/>
  <c r="K40" i="4" s="1"/>
  <c r="Q40" i="4"/>
  <c r="W40" i="4"/>
  <c r="D41" i="4"/>
  <c r="E41" i="4"/>
  <c r="F41" i="4"/>
  <c r="G41" i="4"/>
  <c r="S41" i="4" s="1"/>
  <c r="I41" i="4"/>
  <c r="M41" i="4" s="1"/>
  <c r="J41" i="4"/>
  <c r="Q41" i="4"/>
  <c r="U41" i="4"/>
  <c r="D42" i="4"/>
  <c r="E42" i="4"/>
  <c r="F42" i="4"/>
  <c r="G42" i="4"/>
  <c r="I42" i="4"/>
  <c r="P42" i="4" s="1"/>
  <c r="J42" i="4"/>
  <c r="M42" i="4"/>
  <c r="Q42" i="4"/>
  <c r="D43" i="4"/>
  <c r="E43" i="4"/>
  <c r="F43" i="4"/>
  <c r="G43" i="4"/>
  <c r="S43" i="4" s="1"/>
  <c r="I43" i="4"/>
  <c r="P43" i="4" s="1"/>
  <c r="J43" i="4"/>
  <c r="Q43" i="4"/>
  <c r="W43" i="4"/>
  <c r="D44" i="4"/>
  <c r="E44" i="4"/>
  <c r="K44" i="4" s="1"/>
  <c r="F44" i="4"/>
  <c r="G44" i="4"/>
  <c r="I44" i="4"/>
  <c r="P44" i="4" s="1"/>
  <c r="J44" i="4"/>
  <c r="Q44" i="4"/>
  <c r="W44" i="4"/>
  <c r="D45" i="4"/>
  <c r="E45" i="4"/>
  <c r="K45" i="4" s="1"/>
  <c r="F45" i="4"/>
  <c r="G45" i="4"/>
  <c r="H45" i="4"/>
  <c r="I45" i="4"/>
  <c r="P45" i="4" s="1"/>
  <c r="J45" i="4"/>
  <c r="L45" i="4"/>
  <c r="N45" i="4" s="1"/>
  <c r="M45" i="4"/>
  <c r="Q45" i="4"/>
  <c r="D46" i="4"/>
  <c r="E46" i="4"/>
  <c r="F46" i="4"/>
  <c r="G46" i="4"/>
  <c r="I46" i="4"/>
  <c r="T46" i="4" s="1"/>
  <c r="J46" i="4"/>
  <c r="U46" i="4" s="1"/>
  <c r="Q46" i="4"/>
  <c r="D47" i="4"/>
  <c r="E47" i="4"/>
  <c r="F47" i="4"/>
  <c r="G47" i="4"/>
  <c r="I47" i="4"/>
  <c r="J47" i="4"/>
  <c r="U47" i="4" s="1"/>
  <c r="L47" i="4"/>
  <c r="M47" i="4"/>
  <c r="N47" i="4"/>
  <c r="P47" i="4"/>
  <c r="Q47" i="4"/>
  <c r="D48" i="4"/>
  <c r="E48" i="4"/>
  <c r="H48" i="4" s="1"/>
  <c r="F48" i="4"/>
  <c r="G48" i="4"/>
  <c r="I48" i="4"/>
  <c r="L48" i="4" s="1"/>
  <c r="N48" i="4" s="1"/>
  <c r="J48" i="4"/>
  <c r="U48" i="4" s="1"/>
  <c r="M48" i="4"/>
  <c r="Q48" i="4"/>
  <c r="W48" i="4"/>
  <c r="D49" i="4"/>
  <c r="E49" i="4"/>
  <c r="F49" i="4"/>
  <c r="G49" i="4"/>
  <c r="I49" i="4"/>
  <c r="W49" i="4" s="1"/>
  <c r="J49" i="4"/>
  <c r="Q49" i="4"/>
  <c r="U49" i="4"/>
  <c r="D50" i="4"/>
  <c r="E50" i="4"/>
  <c r="K50" i="4" s="1"/>
  <c r="F50" i="4"/>
  <c r="G50" i="4"/>
  <c r="R50" i="4" s="1"/>
  <c r="V50" i="4" s="1"/>
  <c r="I50" i="4"/>
  <c r="J50" i="4"/>
  <c r="Q50" i="4"/>
  <c r="U50" i="4"/>
  <c r="D51" i="4"/>
  <c r="E51" i="4"/>
  <c r="F51" i="4"/>
  <c r="G51" i="4"/>
  <c r="S51" i="4" s="1"/>
  <c r="I51" i="4"/>
  <c r="W51" i="4" s="1"/>
  <c r="J51" i="4"/>
  <c r="O51" i="4"/>
  <c r="Q51" i="4"/>
  <c r="D52" i="4"/>
  <c r="E52" i="4"/>
  <c r="F52" i="4"/>
  <c r="G52" i="4"/>
  <c r="I52" i="4"/>
  <c r="L52" i="4" s="1"/>
  <c r="N52" i="4" s="1"/>
  <c r="J52" i="4"/>
  <c r="K52" i="4" s="1"/>
  <c r="Q52" i="4"/>
  <c r="W52" i="4"/>
  <c r="D53" i="4"/>
  <c r="E53" i="4"/>
  <c r="F53" i="4"/>
  <c r="G53" i="4"/>
  <c r="I53" i="4"/>
  <c r="M53" i="4" s="1"/>
  <c r="J53" i="4"/>
  <c r="U53" i="4" s="1"/>
  <c r="L53" i="4"/>
  <c r="N53" i="4" s="1"/>
  <c r="Q53" i="4"/>
  <c r="D54" i="4"/>
  <c r="E54" i="4"/>
  <c r="F54" i="4"/>
  <c r="G54" i="4"/>
  <c r="I54" i="4"/>
  <c r="P54" i="4" s="1"/>
  <c r="J54" i="4"/>
  <c r="Q54" i="4"/>
  <c r="D55" i="4"/>
  <c r="E55" i="4"/>
  <c r="F55" i="4"/>
  <c r="G55" i="4"/>
  <c r="I55" i="4"/>
  <c r="P55" i="4" s="1"/>
  <c r="J55" i="4"/>
  <c r="K55" i="4"/>
  <c r="Q55" i="4"/>
  <c r="S55" i="4"/>
  <c r="D56" i="4"/>
  <c r="E56" i="4"/>
  <c r="F56" i="4"/>
  <c r="G56" i="4"/>
  <c r="S56" i="4" s="1"/>
  <c r="I56" i="4"/>
  <c r="P56" i="4" s="1"/>
  <c r="J56" i="4"/>
  <c r="Q56" i="4"/>
  <c r="D57" i="4"/>
  <c r="E57" i="4"/>
  <c r="K57" i="4" s="1"/>
  <c r="F57" i="4"/>
  <c r="G57" i="4"/>
  <c r="H57" i="4"/>
  <c r="I57" i="4"/>
  <c r="P57" i="4" s="1"/>
  <c r="J57" i="4"/>
  <c r="Q57" i="4"/>
  <c r="T57" i="4"/>
  <c r="D58" i="4"/>
  <c r="E58" i="4"/>
  <c r="F58" i="4"/>
  <c r="G58" i="4"/>
  <c r="I58" i="4"/>
  <c r="M58" i="4" s="1"/>
  <c r="J58" i="4"/>
  <c r="U58" i="4" s="1"/>
  <c r="Q58" i="4"/>
  <c r="D59" i="4"/>
  <c r="E59" i="4"/>
  <c r="F59" i="4"/>
  <c r="G59" i="4"/>
  <c r="S59" i="4" s="1"/>
  <c r="I59" i="4"/>
  <c r="W59" i="4" s="1"/>
  <c r="J59" i="4"/>
  <c r="U59" i="4" s="1"/>
  <c r="L59" i="4"/>
  <c r="N59" i="4" s="1"/>
  <c r="M59" i="4"/>
  <c r="Q59" i="4"/>
  <c r="D60" i="4"/>
  <c r="E60" i="4"/>
  <c r="K60" i="4" s="1"/>
  <c r="F60" i="4"/>
  <c r="G60" i="4"/>
  <c r="R60" i="4" s="1"/>
  <c r="I60" i="4"/>
  <c r="L60" i="4" s="1"/>
  <c r="N60" i="4" s="1"/>
  <c r="J60" i="4"/>
  <c r="Q60" i="4"/>
  <c r="U60" i="4"/>
  <c r="W60" i="4"/>
  <c r="D61" i="4"/>
  <c r="E61" i="4"/>
  <c r="H61" i="4" s="1"/>
  <c r="F61" i="4"/>
  <c r="G61" i="4"/>
  <c r="I61" i="4"/>
  <c r="L61" i="4" s="1"/>
  <c r="N61" i="4" s="1"/>
  <c r="J61" i="4"/>
  <c r="Q61" i="4"/>
  <c r="U61" i="4"/>
  <c r="D62" i="4"/>
  <c r="E62" i="4"/>
  <c r="F62" i="4"/>
  <c r="G62" i="4"/>
  <c r="R62" i="4" s="1"/>
  <c r="V62" i="4" s="1"/>
  <c r="I62" i="4"/>
  <c r="J62" i="4"/>
  <c r="Q62" i="4"/>
  <c r="U62" i="4"/>
  <c r="D63" i="4"/>
  <c r="E63" i="4"/>
  <c r="F63" i="4"/>
  <c r="G63" i="4"/>
  <c r="S63" i="4" s="1"/>
  <c r="I63" i="4"/>
  <c r="P63" i="4" s="1"/>
  <c r="J63" i="4"/>
  <c r="Q63" i="4"/>
  <c r="D64" i="4"/>
  <c r="E64" i="4"/>
  <c r="H64" i="4" s="1"/>
  <c r="F64" i="4"/>
  <c r="G64" i="4"/>
  <c r="I64" i="4"/>
  <c r="L64" i="4" s="1"/>
  <c r="N64" i="4" s="1"/>
  <c r="J64" i="4"/>
  <c r="U64" i="4" s="1"/>
  <c r="Q64" i="4"/>
  <c r="W64" i="4"/>
  <c r="D65" i="4"/>
  <c r="E65" i="4"/>
  <c r="F65" i="4"/>
  <c r="G65" i="4"/>
  <c r="S65" i="4" s="1"/>
  <c r="I65" i="4"/>
  <c r="H65" i="4" s="1"/>
  <c r="J65" i="4"/>
  <c r="Q65" i="4"/>
  <c r="U65" i="4"/>
  <c r="D66" i="4"/>
  <c r="E66" i="4"/>
  <c r="F66" i="4"/>
  <c r="G66" i="4"/>
  <c r="I66" i="4"/>
  <c r="M66" i="4" s="1"/>
  <c r="J66" i="4"/>
  <c r="U66" i="4" s="1"/>
  <c r="Q66" i="4"/>
  <c r="D67" i="4"/>
  <c r="E67" i="4"/>
  <c r="F67" i="4"/>
  <c r="G67" i="4"/>
  <c r="I67" i="4"/>
  <c r="P67" i="4" s="1"/>
  <c r="J67" i="4"/>
  <c r="Q67" i="4"/>
  <c r="W67" i="4"/>
  <c r="D68" i="4"/>
  <c r="E68" i="4"/>
  <c r="F68" i="4"/>
  <c r="G68" i="4"/>
  <c r="S68" i="4" s="1"/>
  <c r="I68" i="4"/>
  <c r="P68" i="4" s="1"/>
  <c r="J68" i="4"/>
  <c r="K68" i="4" s="1"/>
  <c r="Q68" i="4"/>
  <c r="D69" i="4"/>
  <c r="E69" i="4"/>
  <c r="T69" i="4" s="1"/>
  <c r="F69" i="4"/>
  <c r="G69" i="4"/>
  <c r="I69" i="4"/>
  <c r="P69" i="4" s="1"/>
  <c r="J69" i="4"/>
  <c r="K69" i="4"/>
  <c r="M69" i="4"/>
  <c r="Q69" i="4"/>
  <c r="D70" i="4"/>
  <c r="E70" i="4"/>
  <c r="F70" i="4"/>
  <c r="G70" i="4"/>
  <c r="I70" i="4"/>
  <c r="M70" i="4" s="1"/>
  <c r="J70" i="4"/>
  <c r="U70" i="4" s="1"/>
  <c r="Q70" i="4"/>
  <c r="D71" i="4"/>
  <c r="E71" i="4"/>
  <c r="F71" i="4"/>
  <c r="G71" i="4"/>
  <c r="I71" i="4"/>
  <c r="L71" i="4" s="1"/>
  <c r="N71" i="4" s="1"/>
  <c r="J71" i="4"/>
  <c r="U71" i="4" s="1"/>
  <c r="Q71" i="4"/>
  <c r="D72" i="4"/>
  <c r="E72" i="4"/>
  <c r="K72" i="4" s="1"/>
  <c r="F72" i="4"/>
  <c r="G72" i="4"/>
  <c r="S72" i="4" s="1"/>
  <c r="I72" i="4"/>
  <c r="T72" i="4" s="1"/>
  <c r="J72" i="4"/>
  <c r="Q72" i="4"/>
  <c r="D73" i="4"/>
  <c r="E73" i="4"/>
  <c r="F73" i="4"/>
  <c r="G73" i="4"/>
  <c r="I73" i="4"/>
  <c r="W73" i="4" s="1"/>
  <c r="J73" i="4"/>
  <c r="U73" i="4" s="1"/>
  <c r="Q73" i="4"/>
  <c r="D74" i="4"/>
  <c r="E74" i="4"/>
  <c r="F74" i="4"/>
  <c r="G74" i="4"/>
  <c r="I74" i="4"/>
  <c r="J74" i="4"/>
  <c r="U74" i="4" s="1"/>
  <c r="Q74" i="4"/>
  <c r="D75" i="4"/>
  <c r="E75" i="4"/>
  <c r="F75" i="4"/>
  <c r="G75" i="4"/>
  <c r="S75" i="4" s="1"/>
  <c r="I75" i="4"/>
  <c r="P75" i="4" s="1"/>
  <c r="J75" i="4"/>
  <c r="U75" i="4" s="1"/>
  <c r="L75" i="4"/>
  <c r="M75" i="4"/>
  <c r="N75" i="4"/>
  <c r="Q75" i="4"/>
  <c r="W75" i="4"/>
  <c r="D76" i="4"/>
  <c r="E76" i="4"/>
  <c r="F76" i="4"/>
  <c r="G76" i="4"/>
  <c r="I76" i="4"/>
  <c r="T76" i="4" s="1"/>
  <c r="J76" i="4"/>
  <c r="U76" i="4" s="1"/>
  <c r="Q76" i="4"/>
  <c r="D77" i="4"/>
  <c r="E77" i="4"/>
  <c r="F77" i="4"/>
  <c r="G77" i="4"/>
  <c r="I77" i="4"/>
  <c r="H77" i="4" s="1"/>
  <c r="J77" i="4"/>
  <c r="U77" i="4" s="1"/>
  <c r="Q77" i="4"/>
  <c r="D78" i="4"/>
  <c r="E78" i="4"/>
  <c r="F78" i="4"/>
  <c r="G78" i="4"/>
  <c r="I78" i="4"/>
  <c r="M78" i="4" s="1"/>
  <c r="J78" i="4"/>
  <c r="Q78" i="4"/>
  <c r="D79" i="4"/>
  <c r="E79" i="4"/>
  <c r="F79" i="4"/>
  <c r="G79" i="4"/>
  <c r="I79" i="4"/>
  <c r="J79" i="4"/>
  <c r="Q79" i="4"/>
  <c r="W79" i="4"/>
  <c r="D80" i="4"/>
  <c r="E80" i="4"/>
  <c r="F80" i="4"/>
  <c r="G80" i="4"/>
  <c r="S80" i="4" s="1"/>
  <c r="I80" i="4"/>
  <c r="T80" i="4" s="1"/>
  <c r="J80" i="4"/>
  <c r="Q80" i="4"/>
  <c r="W80" i="4"/>
  <c r="D81" i="4"/>
  <c r="E81" i="4"/>
  <c r="H81" i="4" s="1"/>
  <c r="F81" i="4"/>
  <c r="G81" i="4"/>
  <c r="I81" i="4"/>
  <c r="W9" i="4" s="1"/>
  <c r="J81" i="4"/>
  <c r="U81" i="4" s="1"/>
  <c r="L81" i="4"/>
  <c r="N81" i="4" s="1"/>
  <c r="M81" i="4"/>
  <c r="P81" i="4"/>
  <c r="Q81" i="4"/>
  <c r="D82" i="4"/>
  <c r="E82" i="4"/>
  <c r="H82" i="4" s="1"/>
  <c r="F82" i="4"/>
  <c r="G82" i="4"/>
  <c r="S82" i="4" s="1"/>
  <c r="I82" i="4"/>
  <c r="W82" i="4" s="1"/>
  <c r="J82" i="4"/>
  <c r="U82" i="4" s="1"/>
  <c r="Q82" i="4"/>
  <c r="D83" i="4"/>
  <c r="E83" i="4"/>
  <c r="F83" i="4"/>
  <c r="G83" i="4"/>
  <c r="I83" i="4"/>
  <c r="W11" i="4" s="1"/>
  <c r="J83" i="4"/>
  <c r="Q83" i="4"/>
  <c r="D84" i="4"/>
  <c r="E84" i="4"/>
  <c r="F84" i="4"/>
  <c r="G84" i="4"/>
  <c r="I84" i="4"/>
  <c r="P84" i="4" s="1"/>
  <c r="J84" i="4"/>
  <c r="O84" i="4"/>
  <c r="Q84" i="4"/>
  <c r="U84" i="4"/>
  <c r="D85" i="4"/>
  <c r="E85" i="4"/>
  <c r="F85" i="4"/>
  <c r="G85" i="4"/>
  <c r="S85" i="4" s="1"/>
  <c r="I85" i="4"/>
  <c r="P85" i="4" s="1"/>
  <c r="J85" i="4"/>
  <c r="Q85" i="4"/>
  <c r="D86" i="4"/>
  <c r="E86" i="4"/>
  <c r="F86" i="4"/>
  <c r="G86" i="4"/>
  <c r="I86" i="4"/>
  <c r="T86" i="4" s="1"/>
  <c r="J86" i="4"/>
  <c r="Q86" i="4"/>
  <c r="S86" i="4"/>
  <c r="D87" i="4"/>
  <c r="E87" i="4"/>
  <c r="F87" i="4"/>
  <c r="G87" i="4"/>
  <c r="I87" i="4"/>
  <c r="L87" i="4" s="1"/>
  <c r="N87" i="4" s="1"/>
  <c r="J87" i="4"/>
  <c r="U87" i="4" s="1"/>
  <c r="Q87" i="4"/>
  <c r="D88" i="4"/>
  <c r="E88" i="4"/>
  <c r="F88" i="4"/>
  <c r="G88" i="4"/>
  <c r="I88" i="4"/>
  <c r="P88" i="4" s="1"/>
  <c r="J88" i="4"/>
  <c r="U88" i="4" s="1"/>
  <c r="L88" i="4"/>
  <c r="N88" i="4" s="1"/>
  <c r="M88" i="4"/>
  <c r="Q88" i="4"/>
  <c r="D90" i="4"/>
  <c r="E90" i="4"/>
  <c r="F90" i="4"/>
  <c r="G90" i="4"/>
  <c r="R90" i="4" s="1"/>
  <c r="I90" i="4"/>
  <c r="T90" i="4" s="1"/>
  <c r="J90" i="4"/>
  <c r="Q90" i="4"/>
  <c r="U90" i="4"/>
  <c r="D89" i="4"/>
  <c r="E89" i="4"/>
  <c r="H89" i="4" s="1"/>
  <c r="F89" i="4"/>
  <c r="G89" i="4"/>
  <c r="R89" i="4" s="1"/>
  <c r="V89" i="4" s="1"/>
  <c r="I89" i="4"/>
  <c r="P89" i="4" s="1"/>
  <c r="J89" i="4"/>
  <c r="U89" i="4" s="1"/>
  <c r="Q89" i="4"/>
  <c r="D91" i="4"/>
  <c r="E91" i="4"/>
  <c r="F91" i="4"/>
  <c r="G91" i="4"/>
  <c r="S91" i="4" s="1"/>
  <c r="I91" i="4"/>
  <c r="T91" i="4" s="1"/>
  <c r="J91" i="4"/>
  <c r="U91" i="4" s="1"/>
  <c r="Q91" i="4"/>
  <c r="D92" i="4"/>
  <c r="E92" i="4"/>
  <c r="F92" i="4"/>
  <c r="G92" i="4"/>
  <c r="I92" i="4"/>
  <c r="J92" i="4"/>
  <c r="Q92" i="4"/>
  <c r="D93" i="4"/>
  <c r="E93" i="4"/>
  <c r="F93" i="4"/>
  <c r="G93" i="4"/>
  <c r="I93" i="4"/>
  <c r="L93" i="4" s="1"/>
  <c r="N93" i="4" s="1"/>
  <c r="J93" i="4"/>
  <c r="Q93" i="4"/>
  <c r="D94" i="4"/>
  <c r="E94" i="4"/>
  <c r="K94" i="4" s="1"/>
  <c r="F94" i="4"/>
  <c r="G94" i="4"/>
  <c r="S94" i="4" s="1"/>
  <c r="I94" i="4"/>
  <c r="M94" i="4" s="1"/>
  <c r="J94" i="4"/>
  <c r="U94" i="4" s="1"/>
  <c r="Q94" i="4"/>
  <c r="R94" i="4"/>
  <c r="D95" i="4"/>
  <c r="E95" i="4"/>
  <c r="F95" i="4"/>
  <c r="G95" i="4"/>
  <c r="S95" i="4" s="1"/>
  <c r="I95" i="4"/>
  <c r="P95" i="4" s="1"/>
  <c r="J95" i="4"/>
  <c r="Q95" i="4"/>
  <c r="D96" i="4"/>
  <c r="E96" i="4"/>
  <c r="F96" i="4"/>
  <c r="G96" i="4"/>
  <c r="I96" i="4"/>
  <c r="J96" i="4"/>
  <c r="Q96" i="4"/>
  <c r="D97" i="4"/>
  <c r="E97" i="4"/>
  <c r="F97" i="4"/>
  <c r="G97" i="4"/>
  <c r="I97" i="4"/>
  <c r="J97" i="4"/>
  <c r="Q97" i="4"/>
  <c r="D98" i="4"/>
  <c r="E98" i="4"/>
  <c r="H98" i="4" s="1"/>
  <c r="F98" i="4"/>
  <c r="G98" i="4"/>
  <c r="I98" i="4"/>
  <c r="P98" i="4" s="1"/>
  <c r="J98" i="4"/>
  <c r="Q98" i="4"/>
  <c r="D99" i="4"/>
  <c r="E99" i="4"/>
  <c r="K99" i="4" s="1"/>
  <c r="F99" i="4"/>
  <c r="G99" i="4"/>
  <c r="I99" i="4"/>
  <c r="L99" i="4" s="1"/>
  <c r="N99" i="4" s="1"/>
  <c r="J99" i="4"/>
  <c r="U99" i="4" s="1"/>
  <c r="Q99" i="4"/>
  <c r="D100" i="4"/>
  <c r="E100" i="4"/>
  <c r="F100" i="4"/>
  <c r="G100" i="4"/>
  <c r="I100" i="4"/>
  <c r="W100" i="4" s="1"/>
  <c r="J100" i="4"/>
  <c r="U100" i="4" s="1"/>
  <c r="Q100" i="4"/>
  <c r="D101" i="4"/>
  <c r="E101" i="4"/>
  <c r="F101" i="4"/>
  <c r="G101" i="4"/>
  <c r="I101" i="4"/>
  <c r="P101" i="4" s="1"/>
  <c r="J101" i="4"/>
  <c r="U101" i="4" s="1"/>
  <c r="M101" i="4"/>
  <c r="Q101" i="4"/>
  <c r="W101" i="4"/>
  <c r="D102" i="4"/>
  <c r="E102" i="4"/>
  <c r="H102" i="4" s="1"/>
  <c r="F102" i="4"/>
  <c r="G102" i="4"/>
  <c r="I102" i="4"/>
  <c r="P102" i="4" s="1"/>
  <c r="J102" i="4"/>
  <c r="U102" i="4" s="1"/>
  <c r="M102" i="4"/>
  <c r="Q102" i="4"/>
  <c r="T102" i="4"/>
  <c r="D103" i="4"/>
  <c r="E103" i="4"/>
  <c r="F103" i="4"/>
  <c r="G103" i="4"/>
  <c r="I103" i="4"/>
  <c r="M103" i="4" s="1"/>
  <c r="J103" i="4"/>
  <c r="U103" i="4" s="1"/>
  <c r="Q103" i="4"/>
  <c r="D104" i="4"/>
  <c r="E104" i="4"/>
  <c r="F104" i="4"/>
  <c r="G104" i="4"/>
  <c r="I104" i="4"/>
  <c r="P104" i="4" s="1"/>
  <c r="J104" i="4"/>
  <c r="Q104" i="4"/>
  <c r="S104" i="4"/>
  <c r="D105" i="4"/>
  <c r="E105" i="4"/>
  <c r="K105" i="4" s="1"/>
  <c r="F105" i="4"/>
  <c r="G105" i="4"/>
  <c r="I105" i="4"/>
  <c r="W68" i="4" s="1"/>
  <c r="J105" i="4"/>
  <c r="Q105" i="4"/>
  <c r="D106" i="4"/>
  <c r="E106" i="4"/>
  <c r="F106" i="4"/>
  <c r="G106" i="4"/>
  <c r="I106" i="4"/>
  <c r="J106" i="4"/>
  <c r="K106" i="4" s="1"/>
  <c r="Q106" i="4"/>
  <c r="T106" i="4"/>
  <c r="D107" i="4"/>
  <c r="E107" i="4"/>
  <c r="F107" i="4"/>
  <c r="G107" i="4"/>
  <c r="I107" i="4"/>
  <c r="J107" i="4"/>
  <c r="Q107" i="4"/>
  <c r="D108" i="4"/>
  <c r="E108" i="4"/>
  <c r="F108" i="4"/>
  <c r="G108" i="4"/>
  <c r="I108" i="4"/>
  <c r="L108" i="4" s="1"/>
  <c r="N108" i="4" s="1"/>
  <c r="J108" i="4"/>
  <c r="U108" i="4" s="1"/>
  <c r="Q108" i="4"/>
  <c r="D109" i="4"/>
  <c r="E109" i="4"/>
  <c r="F109" i="4"/>
  <c r="G109" i="4"/>
  <c r="S109" i="4" s="1"/>
  <c r="I109" i="4"/>
  <c r="W72" i="4" s="1"/>
  <c r="J109" i="4"/>
  <c r="U109" i="4" s="1"/>
  <c r="Q109" i="4"/>
  <c r="D110" i="4"/>
  <c r="E110" i="4"/>
  <c r="F110" i="4"/>
  <c r="G110" i="4"/>
  <c r="S110" i="4" s="1"/>
  <c r="H110" i="4"/>
  <c r="I110" i="4"/>
  <c r="J110" i="4"/>
  <c r="K110" i="4" s="1"/>
  <c r="P110" i="4"/>
  <c r="Q110" i="4"/>
  <c r="T110" i="4"/>
  <c r="W110" i="4"/>
  <c r="D111" i="4"/>
  <c r="E111" i="4"/>
  <c r="F111" i="4"/>
  <c r="G111" i="4"/>
  <c r="I111" i="4"/>
  <c r="M111" i="4" s="1"/>
  <c r="J111" i="4"/>
  <c r="U111" i="4" s="1"/>
  <c r="L111" i="4"/>
  <c r="N111" i="4" s="1"/>
  <c r="Q111" i="4"/>
  <c r="D112" i="4"/>
  <c r="E112" i="4"/>
  <c r="F112" i="4"/>
  <c r="G112" i="4"/>
  <c r="I112" i="4"/>
  <c r="J112" i="4"/>
  <c r="L112" i="4"/>
  <c r="N112" i="4" s="1"/>
  <c r="Q112" i="4"/>
  <c r="D113" i="4"/>
  <c r="E113" i="4"/>
  <c r="K113" i="4" s="1"/>
  <c r="F113" i="4"/>
  <c r="G113" i="4"/>
  <c r="I113" i="4"/>
  <c r="J113" i="4"/>
  <c r="Q113" i="4"/>
  <c r="W113" i="4"/>
  <c r="D114" i="4"/>
  <c r="E114" i="4"/>
  <c r="F114" i="4"/>
  <c r="G114" i="4"/>
  <c r="R114" i="4" s="1"/>
  <c r="I114" i="4"/>
  <c r="L114" i="4" s="1"/>
  <c r="N114" i="4" s="1"/>
  <c r="J114" i="4"/>
  <c r="U114" i="4" s="1"/>
  <c r="Q114" i="4"/>
  <c r="T114" i="4"/>
  <c r="W114" i="4"/>
  <c r="D115" i="4"/>
  <c r="E115" i="4"/>
  <c r="H115" i="4" s="1"/>
  <c r="F115" i="4"/>
  <c r="G115" i="4"/>
  <c r="I115" i="4"/>
  <c r="L115" i="4" s="1"/>
  <c r="N115" i="4" s="1"/>
  <c r="J115" i="4"/>
  <c r="U115" i="4" s="1"/>
  <c r="Q115" i="4"/>
  <c r="D116" i="4"/>
  <c r="E116" i="4"/>
  <c r="F116" i="4"/>
  <c r="G116" i="4"/>
  <c r="S116" i="4" s="1"/>
  <c r="I116" i="4"/>
  <c r="W116" i="4" s="1"/>
  <c r="J116" i="4"/>
  <c r="L116" i="4"/>
  <c r="N116" i="4" s="1"/>
  <c r="Q116" i="4"/>
  <c r="D117" i="4"/>
  <c r="E117" i="4"/>
  <c r="F117" i="4"/>
  <c r="G117" i="4"/>
  <c r="I117" i="4"/>
  <c r="J117" i="4"/>
  <c r="U117" i="4" s="1"/>
  <c r="M117" i="4"/>
  <c r="Q117" i="4"/>
  <c r="D118" i="4"/>
  <c r="E118" i="4"/>
  <c r="F118" i="4"/>
  <c r="G118" i="4"/>
  <c r="I118" i="4"/>
  <c r="J118" i="4"/>
  <c r="O118" i="4"/>
  <c r="Q118" i="4"/>
  <c r="S118" i="4"/>
  <c r="D119" i="4"/>
  <c r="E119" i="4"/>
  <c r="F119" i="4"/>
  <c r="G119" i="4"/>
  <c r="I119" i="4"/>
  <c r="J119" i="4"/>
  <c r="L119" i="4"/>
  <c r="N119" i="4" s="1"/>
  <c r="Q119" i="4"/>
  <c r="D120" i="4"/>
  <c r="E120" i="4"/>
  <c r="F120" i="4"/>
  <c r="G120" i="4"/>
  <c r="I120" i="4"/>
  <c r="L120" i="4" s="1"/>
  <c r="N120" i="4" s="1"/>
  <c r="J120" i="4"/>
  <c r="Q120" i="4"/>
  <c r="D121" i="4"/>
  <c r="E121" i="4"/>
  <c r="F121" i="4"/>
  <c r="G121" i="4"/>
  <c r="I121" i="4"/>
  <c r="W93" i="4" s="1"/>
  <c r="J121" i="4"/>
  <c r="Q121" i="4"/>
  <c r="U121" i="4"/>
  <c r="D122" i="4"/>
  <c r="E122" i="4"/>
  <c r="H122" i="4" s="1"/>
  <c r="F122" i="4"/>
  <c r="G122" i="4"/>
  <c r="I122" i="4"/>
  <c r="L122" i="4" s="1"/>
  <c r="N122" i="4" s="1"/>
  <c r="J122" i="4"/>
  <c r="M122" i="4"/>
  <c r="Q122" i="4"/>
  <c r="D123" i="4"/>
  <c r="E123" i="4"/>
  <c r="F123" i="4"/>
  <c r="G123" i="4"/>
  <c r="S123" i="4" s="1"/>
  <c r="I123" i="4"/>
  <c r="P123" i="4" s="1"/>
  <c r="J123" i="4"/>
  <c r="U123" i="4" s="1"/>
  <c r="Q123" i="4"/>
  <c r="D124" i="4"/>
  <c r="E124" i="4"/>
  <c r="F124" i="4"/>
  <c r="G124" i="4"/>
  <c r="I124" i="4"/>
  <c r="W124" i="4" s="1"/>
  <c r="J124" i="4"/>
  <c r="Q124" i="4"/>
  <c r="D125" i="4"/>
  <c r="E125" i="4"/>
  <c r="F125" i="4"/>
  <c r="G125" i="4"/>
  <c r="I125" i="4"/>
  <c r="J125" i="4"/>
  <c r="U125" i="4" s="1"/>
  <c r="Q125" i="4"/>
  <c r="D126" i="4"/>
  <c r="E126" i="4"/>
  <c r="F126" i="4"/>
  <c r="G126" i="4"/>
  <c r="H126" i="4"/>
  <c r="I126" i="4"/>
  <c r="W102" i="4" s="1"/>
  <c r="J126" i="4"/>
  <c r="U126" i="4" s="1"/>
  <c r="M126" i="4"/>
  <c r="P126" i="4"/>
  <c r="Q126" i="4"/>
  <c r="T126" i="4"/>
  <c r="D127" i="4"/>
  <c r="E127" i="4"/>
  <c r="F127" i="4"/>
  <c r="G127" i="4"/>
  <c r="R127" i="4" s="1"/>
  <c r="I127" i="4"/>
  <c r="P127" i="4" s="1"/>
  <c r="J127" i="4"/>
  <c r="U127" i="4" s="1"/>
  <c r="K127" i="4"/>
  <c r="Q127" i="4"/>
  <c r="D128" i="4"/>
  <c r="E128" i="4"/>
  <c r="F128" i="4"/>
  <c r="G128" i="4"/>
  <c r="I128" i="4"/>
  <c r="J128" i="4"/>
  <c r="U128" i="4" s="1"/>
  <c r="O128" i="4"/>
  <c r="Q128" i="4"/>
  <c r="D129" i="4"/>
  <c r="E129" i="4"/>
  <c r="F129" i="4"/>
  <c r="G129" i="4"/>
  <c r="H129" i="4"/>
  <c r="I129" i="4"/>
  <c r="P129" i="4" s="1"/>
  <c r="J129" i="4"/>
  <c r="U129" i="4" s="1"/>
  <c r="M129" i="4"/>
  <c r="Q129" i="4"/>
  <c r="T129" i="4"/>
  <c r="D130" i="4"/>
  <c r="E130" i="4"/>
  <c r="F130" i="4"/>
  <c r="G130" i="4"/>
  <c r="I130" i="4"/>
  <c r="J130" i="4"/>
  <c r="Q130" i="4"/>
  <c r="W130" i="4"/>
  <c r="D131" i="4"/>
  <c r="E131" i="4"/>
  <c r="F131" i="4"/>
  <c r="G131" i="4"/>
  <c r="S131" i="4" s="1"/>
  <c r="I131" i="4"/>
  <c r="P131" i="4" s="1"/>
  <c r="J131" i="4"/>
  <c r="R131" i="4" s="1"/>
  <c r="M131" i="4"/>
  <c r="Q131" i="4"/>
  <c r="D132" i="4"/>
  <c r="E132" i="4"/>
  <c r="F132" i="4"/>
  <c r="G132" i="4"/>
  <c r="R132" i="4" s="1"/>
  <c r="V132" i="4" s="1"/>
  <c r="I132" i="4"/>
  <c r="M132" i="4" s="1"/>
  <c r="J132" i="4"/>
  <c r="U132" i="4" s="1"/>
  <c r="Q132" i="4"/>
  <c r="D133" i="4"/>
  <c r="E133" i="4"/>
  <c r="S133" i="4" s="1"/>
  <c r="F133" i="4"/>
  <c r="G133" i="4"/>
  <c r="I133" i="4"/>
  <c r="M133" i="4" s="1"/>
  <c r="J133" i="4"/>
  <c r="U133" i="4" s="1"/>
  <c r="P133" i="4"/>
  <c r="Q133" i="4"/>
  <c r="D134" i="4"/>
  <c r="E134" i="4"/>
  <c r="F134" i="4"/>
  <c r="G134" i="4"/>
  <c r="I134" i="4"/>
  <c r="W115" i="4" s="1"/>
  <c r="J134" i="4"/>
  <c r="U134" i="4" s="1"/>
  <c r="L134" i="4"/>
  <c r="N134" i="4" s="1"/>
  <c r="P134" i="4"/>
  <c r="Q134" i="4"/>
  <c r="W134" i="4"/>
  <c r="D135" i="4"/>
  <c r="E135" i="4"/>
  <c r="F135" i="4"/>
  <c r="G135" i="4"/>
  <c r="I135" i="4"/>
  <c r="W117" i="4" s="1"/>
  <c r="J135" i="4"/>
  <c r="U135" i="4" s="1"/>
  <c r="Q135" i="4"/>
  <c r="D136" i="4"/>
  <c r="E136" i="4"/>
  <c r="F136" i="4"/>
  <c r="G136" i="4"/>
  <c r="S136" i="4" s="1"/>
  <c r="I136" i="4"/>
  <c r="W119" i="4" s="1"/>
  <c r="J136" i="4"/>
  <c r="U136" i="4" s="1"/>
  <c r="L136" i="4"/>
  <c r="N136" i="4" s="1"/>
  <c r="Q136" i="4"/>
  <c r="T136" i="4"/>
  <c r="D137" i="4"/>
  <c r="E137" i="4"/>
  <c r="F137" i="4"/>
  <c r="G137" i="4"/>
  <c r="I137" i="4"/>
  <c r="W137" i="4" s="1"/>
  <c r="J137" i="4"/>
  <c r="U137" i="4" s="1"/>
  <c r="Q137" i="4"/>
  <c r="T137" i="4"/>
  <c r="D138" i="4"/>
  <c r="E138" i="4"/>
  <c r="F138" i="4"/>
  <c r="G138" i="4"/>
  <c r="I138" i="4"/>
  <c r="W125" i="4" s="1"/>
  <c r="J138" i="4"/>
  <c r="U138" i="4" s="1"/>
  <c r="Q138" i="4"/>
  <c r="S138" i="4"/>
  <c r="D139" i="4"/>
  <c r="E139" i="4"/>
  <c r="F139" i="4"/>
  <c r="G139" i="4"/>
  <c r="S139" i="4" s="1"/>
  <c r="I139" i="4"/>
  <c r="L139" i="4" s="1"/>
  <c r="N139" i="4" s="1"/>
  <c r="J139" i="4"/>
  <c r="Q139" i="4"/>
  <c r="D140" i="4"/>
  <c r="E140" i="4"/>
  <c r="K140" i="4" s="1"/>
  <c r="F140" i="4"/>
  <c r="G140" i="4"/>
  <c r="S140" i="4" s="1"/>
  <c r="I140" i="4"/>
  <c r="M140" i="4" s="1"/>
  <c r="J140" i="4"/>
  <c r="O140" i="4"/>
  <c r="Q140" i="4"/>
  <c r="W140" i="4"/>
  <c r="D141" i="4"/>
  <c r="E141" i="4"/>
  <c r="F141" i="4"/>
  <c r="G141" i="4"/>
  <c r="I141" i="4"/>
  <c r="P141" i="4" s="1"/>
  <c r="J141" i="4"/>
  <c r="U141" i="4" s="1"/>
  <c r="Q141" i="4"/>
  <c r="D142" i="4"/>
  <c r="E142" i="4"/>
  <c r="F142" i="4"/>
  <c r="G142" i="4"/>
  <c r="S142" i="4" s="1"/>
  <c r="I142" i="4"/>
  <c r="P142" i="4" s="1"/>
  <c r="J142" i="4"/>
  <c r="Q142" i="4"/>
  <c r="D143" i="4"/>
  <c r="E143" i="4"/>
  <c r="F143" i="4"/>
  <c r="G143" i="4"/>
  <c r="S143" i="4" s="1"/>
  <c r="I143" i="4"/>
  <c r="P143" i="4" s="1"/>
  <c r="J143" i="4"/>
  <c r="L143" i="4"/>
  <c r="N143" i="4" s="1"/>
  <c r="Q143" i="4"/>
  <c r="D144" i="4"/>
  <c r="E144" i="4"/>
  <c r="F144" i="4"/>
  <c r="G144" i="4"/>
  <c r="I144" i="4"/>
  <c r="P144" i="4" s="1"/>
  <c r="J144" i="4"/>
  <c r="U144" i="4" s="1"/>
  <c r="Q144" i="4"/>
  <c r="D145" i="4"/>
  <c r="E145" i="4"/>
  <c r="F145" i="4"/>
  <c r="G145" i="4"/>
  <c r="I145" i="4"/>
  <c r="J145" i="4"/>
  <c r="U145" i="4" s="1"/>
  <c r="Q145" i="4"/>
  <c r="D146" i="4"/>
  <c r="E146" i="4"/>
  <c r="F146" i="4"/>
  <c r="G146" i="4"/>
  <c r="I146" i="4"/>
  <c r="W146" i="4" s="1"/>
  <c r="J146" i="4"/>
  <c r="U146" i="4" s="1"/>
  <c r="Q146" i="4"/>
  <c r="D147" i="4"/>
  <c r="E147" i="4"/>
  <c r="K147" i="4" s="1"/>
  <c r="F147" i="4"/>
  <c r="G147" i="4"/>
  <c r="S147" i="4" s="1"/>
  <c r="I147" i="4"/>
  <c r="T147" i="4" s="1"/>
  <c r="J147" i="4"/>
  <c r="Q147" i="4"/>
  <c r="D148" i="4"/>
  <c r="E148" i="4"/>
  <c r="F148" i="4"/>
  <c r="G148" i="4"/>
  <c r="S148" i="4" s="1"/>
  <c r="I148" i="4"/>
  <c r="L148" i="4" s="1"/>
  <c r="N148" i="4" s="1"/>
  <c r="J148" i="4"/>
  <c r="U148" i="4" s="1"/>
  <c r="Q148" i="4"/>
  <c r="T148" i="4"/>
  <c r="W148" i="4"/>
  <c r="D149" i="4"/>
  <c r="E149" i="4"/>
  <c r="F149" i="4"/>
  <c r="G149" i="4"/>
  <c r="I149" i="4"/>
  <c r="W149" i="4" s="1"/>
  <c r="J149" i="4"/>
  <c r="U149" i="4" s="1"/>
  <c r="Q149" i="4"/>
  <c r="D150" i="4"/>
  <c r="E150" i="4"/>
  <c r="F150" i="4"/>
  <c r="G150" i="4"/>
  <c r="R150" i="4" s="1"/>
  <c r="I150" i="4"/>
  <c r="J150" i="4"/>
  <c r="U150" i="4" s="1"/>
  <c r="O150" i="4"/>
  <c r="Q150" i="4"/>
  <c r="D151" i="4"/>
  <c r="E151" i="4"/>
  <c r="H151" i="4" s="1"/>
  <c r="F151" i="4"/>
  <c r="G151" i="4"/>
  <c r="S151" i="4" s="1"/>
  <c r="I151" i="4"/>
  <c r="L151" i="4" s="1"/>
  <c r="N151" i="4" s="1"/>
  <c r="J151" i="4"/>
  <c r="Q151" i="4"/>
  <c r="W151" i="4"/>
  <c r="D152" i="4"/>
  <c r="E152" i="4"/>
  <c r="H152" i="4" s="1"/>
  <c r="F152" i="4"/>
  <c r="G152" i="4"/>
  <c r="I152" i="4"/>
  <c r="M152" i="4" s="1"/>
  <c r="J152" i="4"/>
  <c r="U152" i="4" s="1"/>
  <c r="Q152" i="4"/>
  <c r="W152" i="4"/>
  <c r="D153" i="4"/>
  <c r="E153" i="4"/>
  <c r="F153" i="4"/>
  <c r="G153" i="4"/>
  <c r="I153" i="4"/>
  <c r="L153" i="4" s="1"/>
  <c r="N153" i="4" s="1"/>
  <c r="J153" i="4"/>
  <c r="Q153" i="4"/>
  <c r="D154" i="4"/>
  <c r="E154" i="4"/>
  <c r="K154" i="4" s="1"/>
  <c r="F154" i="4"/>
  <c r="G154" i="4"/>
  <c r="I154" i="4"/>
  <c r="P154" i="4" s="1"/>
  <c r="J154" i="4"/>
  <c r="Q154" i="4"/>
  <c r="D155" i="4"/>
  <c r="E155" i="4"/>
  <c r="F155" i="4"/>
  <c r="G155" i="4"/>
  <c r="S155" i="4" s="1"/>
  <c r="I155" i="4"/>
  <c r="P155" i="4" s="1"/>
  <c r="J155" i="4"/>
  <c r="K155" i="4"/>
  <c r="Q155" i="4"/>
  <c r="D156" i="4"/>
  <c r="E156" i="4"/>
  <c r="F156" i="4"/>
  <c r="G156" i="4"/>
  <c r="S156" i="4" s="1"/>
  <c r="I156" i="4"/>
  <c r="L156" i="4" s="1"/>
  <c r="N156" i="4" s="1"/>
  <c r="J156" i="4"/>
  <c r="U156" i="4" s="1"/>
  <c r="O156" i="4"/>
  <c r="Q156" i="4"/>
  <c r="D157" i="4"/>
  <c r="E157" i="4"/>
  <c r="F157" i="4"/>
  <c r="G157" i="4"/>
  <c r="I157" i="4"/>
  <c r="M157" i="4" s="1"/>
  <c r="J157" i="4"/>
  <c r="U157" i="4" s="1"/>
  <c r="Q157" i="4"/>
  <c r="D158" i="4"/>
  <c r="E158" i="4"/>
  <c r="F158" i="4"/>
  <c r="G158" i="4"/>
  <c r="I158" i="4"/>
  <c r="W158" i="4" s="1"/>
  <c r="J158" i="4"/>
  <c r="U158" i="4" s="1"/>
  <c r="L158" i="4"/>
  <c r="N158" i="4" s="1"/>
  <c r="P158" i="4"/>
  <c r="Q158" i="4"/>
  <c r="D159" i="4"/>
  <c r="E159" i="4"/>
  <c r="K159" i="4" s="1"/>
  <c r="F159" i="4"/>
  <c r="G159" i="4"/>
  <c r="I159" i="4"/>
  <c r="J159" i="4"/>
  <c r="U159" i="4" s="1"/>
  <c r="P159" i="4"/>
  <c r="Q159" i="4"/>
  <c r="D160" i="4"/>
  <c r="E160" i="4"/>
  <c r="F160" i="4"/>
  <c r="G160" i="4"/>
  <c r="I160" i="4"/>
  <c r="W160" i="4" s="1"/>
  <c r="J160" i="4"/>
  <c r="Q160" i="4"/>
  <c r="D161" i="4"/>
  <c r="E161" i="4"/>
  <c r="H161" i="4" s="1"/>
  <c r="F161" i="4"/>
  <c r="G161" i="4"/>
  <c r="I161" i="4"/>
  <c r="L161" i="4" s="1"/>
  <c r="N161" i="4" s="1"/>
  <c r="J161" i="4"/>
  <c r="U161" i="4" s="1"/>
  <c r="P161" i="4"/>
  <c r="Q161" i="4"/>
  <c r="T161" i="4"/>
  <c r="D162" i="4"/>
  <c r="E162" i="4"/>
  <c r="F162" i="4"/>
  <c r="G162" i="4"/>
  <c r="I162" i="4"/>
  <c r="P162" i="4" s="1"/>
  <c r="J162" i="4"/>
  <c r="U162" i="4" s="1"/>
  <c r="O162" i="4"/>
  <c r="Q162" i="4"/>
  <c r="D163" i="4"/>
  <c r="E163" i="4"/>
  <c r="F163" i="4"/>
  <c r="G163" i="4"/>
  <c r="I163" i="4"/>
  <c r="H163" i="4" s="1"/>
  <c r="J163" i="4"/>
  <c r="Q163" i="4"/>
  <c r="U163" i="4"/>
  <c r="D164" i="4"/>
  <c r="E164" i="4"/>
  <c r="F164" i="4"/>
  <c r="G164" i="4"/>
  <c r="I164" i="4"/>
  <c r="M164" i="4" s="1"/>
  <c r="J164" i="4"/>
  <c r="R164" i="4" s="1"/>
  <c r="Q164" i="4"/>
  <c r="D165" i="4"/>
  <c r="E165" i="4"/>
  <c r="F165" i="4"/>
  <c r="G165" i="4"/>
  <c r="I165" i="4"/>
  <c r="P165" i="4" s="1"/>
  <c r="J165" i="4"/>
  <c r="U165" i="4" s="1"/>
  <c r="L165" i="4"/>
  <c r="N165" i="4" s="1"/>
  <c r="Q165" i="4"/>
  <c r="D166" i="4"/>
  <c r="E166" i="4"/>
  <c r="F166" i="4"/>
  <c r="G166" i="4"/>
  <c r="I166" i="4"/>
  <c r="L166" i="4" s="1"/>
  <c r="N166" i="4" s="1"/>
  <c r="J166" i="4"/>
  <c r="Q166" i="4"/>
  <c r="D167" i="4"/>
  <c r="E167" i="4"/>
  <c r="F167" i="4"/>
  <c r="G167" i="4"/>
  <c r="I167" i="4"/>
  <c r="W167" i="4" s="1"/>
  <c r="J167" i="4"/>
  <c r="U167" i="4" s="1"/>
  <c r="Q167" i="4"/>
  <c r="D168" i="4"/>
  <c r="E168" i="4"/>
  <c r="H168" i="4" s="1"/>
  <c r="F168" i="4"/>
  <c r="G168" i="4"/>
  <c r="S168" i="4" s="1"/>
  <c r="I168" i="4"/>
  <c r="J168" i="4"/>
  <c r="U168" i="4" s="1"/>
  <c r="M168" i="4"/>
  <c r="Q168" i="4"/>
  <c r="W168" i="4"/>
  <c r="D169" i="4"/>
  <c r="E169" i="4"/>
  <c r="F169" i="4"/>
  <c r="G169" i="4"/>
  <c r="I169" i="4"/>
  <c r="J169" i="4"/>
  <c r="U169" i="4" s="1"/>
  <c r="Q169" i="4"/>
  <c r="D170" i="4"/>
  <c r="E170" i="4"/>
  <c r="T170" i="4" s="1"/>
  <c r="F170" i="4"/>
  <c r="G170" i="4"/>
  <c r="I170" i="4"/>
  <c r="W170" i="4" s="1"/>
  <c r="J170" i="4"/>
  <c r="U170" i="4" s="1"/>
  <c r="L170" i="4"/>
  <c r="N170" i="4" s="1"/>
  <c r="M170" i="4"/>
  <c r="Q170" i="4"/>
  <c r="D171" i="4"/>
  <c r="E171" i="4"/>
  <c r="F171" i="4"/>
  <c r="G171" i="4"/>
  <c r="I171" i="4"/>
  <c r="M171" i="4" s="1"/>
  <c r="J171" i="4"/>
  <c r="U171" i="4" s="1"/>
  <c r="Q171" i="4"/>
  <c r="D172" i="4"/>
  <c r="E172" i="4"/>
  <c r="H172" i="4" s="1"/>
  <c r="F172" i="4"/>
  <c r="G172" i="4"/>
  <c r="S172" i="4" s="1"/>
  <c r="I172" i="4"/>
  <c r="P172" i="4" s="1"/>
  <c r="J172" i="4"/>
  <c r="U172" i="4" s="1"/>
  <c r="L172" i="4"/>
  <c r="N172" i="4" s="1"/>
  <c r="Q172" i="4"/>
  <c r="T172" i="4"/>
  <c r="D173" i="4"/>
  <c r="E173" i="4"/>
  <c r="K173" i="4" s="1"/>
  <c r="F173" i="4"/>
  <c r="G173" i="4"/>
  <c r="I173" i="4"/>
  <c r="L173" i="4" s="1"/>
  <c r="N173" i="4" s="1"/>
  <c r="J173" i="4"/>
  <c r="M173" i="4"/>
  <c r="Q173" i="4"/>
  <c r="U173" i="4"/>
  <c r="W173" i="4"/>
  <c r="D174" i="4"/>
  <c r="E174" i="4"/>
  <c r="F174" i="4"/>
  <c r="G174" i="4"/>
  <c r="I174" i="4"/>
  <c r="W174" i="4" s="1"/>
  <c r="J174" i="4"/>
  <c r="U174" i="4" s="1"/>
  <c r="Q174" i="4"/>
  <c r="D175" i="4"/>
  <c r="E175" i="4"/>
  <c r="H175" i="4" s="1"/>
  <c r="F175" i="4"/>
  <c r="G175" i="4"/>
  <c r="I175" i="4"/>
  <c r="J175" i="4"/>
  <c r="M175" i="4"/>
  <c r="Q175" i="4"/>
  <c r="W175" i="4"/>
  <c r="D176" i="4"/>
  <c r="E176" i="4"/>
  <c r="H176" i="4" s="1"/>
  <c r="F176" i="4"/>
  <c r="G176" i="4"/>
  <c r="I176" i="4"/>
  <c r="M176" i="4" s="1"/>
  <c r="J176" i="4"/>
  <c r="L176" i="4"/>
  <c r="N176" i="4" s="1"/>
  <c r="P176" i="4"/>
  <c r="Q176" i="4"/>
  <c r="W176" i="4"/>
  <c r="D177" i="4"/>
  <c r="E177" i="4"/>
  <c r="F177" i="4"/>
  <c r="G177" i="4"/>
  <c r="I177" i="4"/>
  <c r="L177" i="4" s="1"/>
  <c r="N177" i="4" s="1"/>
  <c r="J177" i="4"/>
  <c r="U177" i="4" s="1"/>
  <c r="O177" i="4"/>
  <c r="Q177" i="4"/>
  <c r="D178" i="4"/>
  <c r="E178" i="4"/>
  <c r="F178" i="4"/>
  <c r="G178" i="4"/>
  <c r="I178" i="4"/>
  <c r="L178" i="4" s="1"/>
  <c r="N178" i="4" s="1"/>
  <c r="J178" i="4"/>
  <c r="Q178" i="4"/>
  <c r="D179" i="4"/>
  <c r="E179" i="4"/>
  <c r="F179" i="4"/>
  <c r="G179" i="4"/>
  <c r="I179" i="4"/>
  <c r="M179" i="4" s="1"/>
  <c r="J179" i="4"/>
  <c r="L179" i="4"/>
  <c r="N179" i="4" s="1"/>
  <c r="Q179" i="4"/>
  <c r="D180" i="4"/>
  <c r="E180" i="4"/>
  <c r="K180" i="4" s="1"/>
  <c r="F180" i="4"/>
  <c r="G180" i="4"/>
  <c r="I180" i="4"/>
  <c r="M180" i="4" s="1"/>
  <c r="J180" i="4"/>
  <c r="U180" i="4" s="1"/>
  <c r="P180" i="4"/>
  <c r="Q180" i="4"/>
  <c r="W180" i="4"/>
  <c r="D181" i="4"/>
  <c r="E181" i="4"/>
  <c r="F181" i="4"/>
  <c r="G181" i="4"/>
  <c r="I181" i="4"/>
  <c r="M181" i="4" s="1"/>
  <c r="J181" i="4"/>
  <c r="Q181" i="4"/>
  <c r="W181" i="4"/>
  <c r="D182" i="4"/>
  <c r="E182" i="4"/>
  <c r="F182" i="4"/>
  <c r="G182" i="4"/>
  <c r="I182" i="4"/>
  <c r="J182" i="4"/>
  <c r="Q182" i="4"/>
  <c r="U182" i="4"/>
  <c r="D183" i="4"/>
  <c r="E183" i="4"/>
  <c r="F183" i="4"/>
  <c r="G183" i="4"/>
  <c r="S183" i="4" s="1"/>
  <c r="I183" i="4"/>
  <c r="J183" i="4"/>
  <c r="Q183" i="4"/>
  <c r="W183" i="4"/>
  <c r="D184" i="4"/>
  <c r="E184" i="4"/>
  <c r="F184" i="4"/>
  <c r="G184" i="4"/>
  <c r="I184" i="4"/>
  <c r="P184" i="4" s="1"/>
  <c r="J184" i="4"/>
  <c r="U184" i="4" s="1"/>
  <c r="L184" i="4"/>
  <c r="N184" i="4" s="1"/>
  <c r="O184" i="4"/>
  <c r="Q184" i="4"/>
  <c r="D185" i="4"/>
  <c r="E185" i="4"/>
  <c r="F185" i="4"/>
  <c r="G185" i="4"/>
  <c r="I185" i="4"/>
  <c r="P185" i="4" s="1"/>
  <c r="J185" i="4"/>
  <c r="U185" i="4" s="1"/>
  <c r="K185" i="4"/>
  <c r="Q185" i="4"/>
  <c r="D186" i="4"/>
  <c r="E186" i="4"/>
  <c r="H186" i="4" s="1"/>
  <c r="F186" i="4"/>
  <c r="G186" i="4"/>
  <c r="S186" i="4" s="1"/>
  <c r="I186" i="4"/>
  <c r="P186" i="4" s="1"/>
  <c r="J186" i="4"/>
  <c r="L186" i="4"/>
  <c r="N186" i="4" s="1"/>
  <c r="Q186" i="4"/>
  <c r="D187" i="4"/>
  <c r="E187" i="4"/>
  <c r="F187" i="4"/>
  <c r="G187" i="4"/>
  <c r="I187" i="4"/>
  <c r="P187" i="4" s="1"/>
  <c r="J187" i="4"/>
  <c r="U187" i="4" s="1"/>
  <c r="K187" i="4"/>
  <c r="Q187" i="4"/>
  <c r="D188" i="4"/>
  <c r="E188" i="4"/>
  <c r="F188" i="4"/>
  <c r="G188" i="4"/>
  <c r="I188" i="4"/>
  <c r="W188" i="4" s="1"/>
  <c r="J188" i="4"/>
  <c r="U188" i="4" s="1"/>
  <c r="M188" i="4"/>
  <c r="P188" i="4"/>
  <c r="Q188" i="4"/>
  <c r="D189" i="4"/>
  <c r="E189" i="4"/>
  <c r="F189" i="4"/>
  <c r="G189" i="4"/>
  <c r="S189" i="4" s="1"/>
  <c r="I189" i="4"/>
  <c r="T189" i="4" s="1"/>
  <c r="J189" i="4"/>
  <c r="Q189" i="4"/>
  <c r="R189" i="4"/>
  <c r="U189" i="4"/>
  <c r="D190" i="4"/>
  <c r="E190" i="4"/>
  <c r="F190" i="4"/>
  <c r="G190" i="4"/>
  <c r="I190" i="4"/>
  <c r="L190" i="4" s="1"/>
  <c r="N190" i="4" s="1"/>
  <c r="J190" i="4"/>
  <c r="U190" i="4" s="1"/>
  <c r="Q190" i="4"/>
  <c r="D191" i="4"/>
  <c r="E191" i="4"/>
  <c r="F191" i="4"/>
  <c r="G191" i="4"/>
  <c r="I191" i="4"/>
  <c r="W191" i="4" s="1"/>
  <c r="J191" i="4"/>
  <c r="U191" i="4" s="1"/>
  <c r="Q191" i="4"/>
  <c r="D192" i="4"/>
  <c r="E192" i="4"/>
  <c r="F192" i="4"/>
  <c r="G192" i="4"/>
  <c r="S192" i="4" s="1"/>
  <c r="I192" i="4"/>
  <c r="J192" i="4"/>
  <c r="Q192" i="4"/>
  <c r="D193" i="4"/>
  <c r="E193" i="4"/>
  <c r="F193" i="4"/>
  <c r="G193" i="4"/>
  <c r="I193" i="4"/>
  <c r="L193" i="4" s="1"/>
  <c r="N193" i="4" s="1"/>
  <c r="J193" i="4"/>
  <c r="Q193" i="4"/>
  <c r="D194" i="4"/>
  <c r="E194" i="4"/>
  <c r="T194" i="4" s="1"/>
  <c r="F194" i="4"/>
  <c r="G194" i="4"/>
  <c r="S194" i="4" s="1"/>
  <c r="I194" i="4"/>
  <c r="M194" i="4" s="1"/>
  <c r="J194" i="4"/>
  <c r="U194" i="4" s="1"/>
  <c r="K194" i="4"/>
  <c r="Q194" i="4"/>
  <c r="D195" i="4"/>
  <c r="E195" i="4"/>
  <c r="F195" i="4"/>
  <c r="G195" i="4"/>
  <c r="S195" i="4" s="1"/>
  <c r="I195" i="4"/>
  <c r="P195" i="4" s="1"/>
  <c r="J195" i="4"/>
  <c r="K195" i="4"/>
  <c r="Q195" i="4"/>
  <c r="U195" i="4"/>
  <c r="D196" i="4"/>
  <c r="E196" i="4"/>
  <c r="F196" i="4"/>
  <c r="G196" i="4"/>
  <c r="I196" i="4"/>
  <c r="P196" i="4" s="1"/>
  <c r="J196" i="4"/>
  <c r="L196" i="4"/>
  <c r="N196" i="4"/>
  <c r="Q196" i="4"/>
  <c r="D197" i="4"/>
  <c r="E197" i="4"/>
  <c r="F197" i="4"/>
  <c r="G197" i="4"/>
  <c r="S197" i="4" s="1"/>
  <c r="I197" i="4"/>
  <c r="P197" i="4" s="1"/>
  <c r="J197" i="4"/>
  <c r="Q197" i="4"/>
  <c r="U197" i="4"/>
  <c r="X197" i="4" s="1"/>
  <c r="D198" i="4"/>
  <c r="E198" i="4"/>
  <c r="H198" i="4" s="1"/>
  <c r="F198" i="4"/>
  <c r="G198" i="4"/>
  <c r="S198" i="4" s="1"/>
  <c r="I198" i="4"/>
  <c r="J198" i="4"/>
  <c r="M198" i="4"/>
  <c r="Q198" i="4"/>
  <c r="W198" i="4"/>
  <c r="D199" i="4"/>
  <c r="E199" i="4"/>
  <c r="K199" i="4" s="1"/>
  <c r="F199" i="4"/>
  <c r="G199" i="4"/>
  <c r="I199" i="4"/>
  <c r="J199" i="4"/>
  <c r="O199" i="4"/>
  <c r="P199" i="4"/>
  <c r="Q199" i="4"/>
  <c r="D200" i="4"/>
  <c r="E200" i="4"/>
  <c r="F200" i="4"/>
  <c r="G200" i="4"/>
  <c r="I200" i="4"/>
  <c r="W200" i="4" s="1"/>
  <c r="J200" i="4"/>
  <c r="U200" i="4" s="1"/>
  <c r="X200" i="4" s="1"/>
  <c r="L200" i="4"/>
  <c r="N200" i="4" s="1"/>
  <c r="P200" i="4"/>
  <c r="Q200" i="4"/>
  <c r="D201" i="4"/>
  <c r="E201" i="4"/>
  <c r="F201" i="4"/>
  <c r="G201" i="4"/>
  <c r="I201" i="4"/>
  <c r="M201" i="4" s="1"/>
  <c r="J201" i="4"/>
  <c r="Q201" i="4"/>
  <c r="U201" i="4"/>
  <c r="X201" i="4" s="1"/>
  <c r="Y201" i="4" s="1"/>
  <c r="Z201" i="4" s="1"/>
  <c r="D202" i="4"/>
  <c r="E202" i="4"/>
  <c r="H202" i="4" s="1"/>
  <c r="F202" i="4"/>
  <c r="G202" i="4"/>
  <c r="R202" i="4" s="1"/>
  <c r="I202" i="4"/>
  <c r="M202" i="4" s="1"/>
  <c r="J202" i="4"/>
  <c r="U202" i="4" s="1"/>
  <c r="X202" i="4" s="1"/>
  <c r="Y202" i="4" s="1"/>
  <c r="Z202" i="4" s="1"/>
  <c r="Q202" i="4"/>
  <c r="W202" i="4"/>
  <c r="D203" i="4"/>
  <c r="E203" i="4"/>
  <c r="F203" i="4"/>
  <c r="G203" i="4"/>
  <c r="I203" i="4"/>
  <c r="W203" i="4" s="1"/>
  <c r="J203" i="4"/>
  <c r="U203" i="4" s="1"/>
  <c r="X203" i="4" s="1"/>
  <c r="Q203" i="4"/>
  <c r="D204" i="4"/>
  <c r="E204" i="4"/>
  <c r="F204" i="4"/>
  <c r="G204" i="4"/>
  <c r="S204" i="4" s="1"/>
  <c r="I204" i="4"/>
  <c r="P204" i="4" s="1"/>
  <c r="J204" i="4"/>
  <c r="U204" i="4" s="1"/>
  <c r="X204" i="4" s="1"/>
  <c r="Q204" i="4"/>
  <c r="D205" i="4"/>
  <c r="E205" i="4"/>
  <c r="F205" i="4"/>
  <c r="G205" i="4"/>
  <c r="I205" i="4"/>
  <c r="L205" i="4" s="1"/>
  <c r="N205" i="4" s="1"/>
  <c r="J205" i="4"/>
  <c r="O205" i="4"/>
  <c r="Q205" i="4"/>
  <c r="D206" i="4"/>
  <c r="E206" i="4"/>
  <c r="F206" i="4"/>
  <c r="G206" i="4"/>
  <c r="S206" i="4" s="1"/>
  <c r="I206" i="4"/>
  <c r="M206" i="4" s="1"/>
  <c r="J206" i="4"/>
  <c r="U206" i="4" s="1"/>
  <c r="X206" i="4" s="1"/>
  <c r="Y206" i="4" s="1"/>
  <c r="Z206" i="4" s="1"/>
  <c r="Q206" i="4"/>
  <c r="D207" i="4"/>
  <c r="E207" i="4"/>
  <c r="F207" i="4"/>
  <c r="G207" i="4"/>
  <c r="I207" i="4"/>
  <c r="P207" i="4" s="1"/>
  <c r="J207" i="4"/>
  <c r="U207" i="4" s="1"/>
  <c r="X207" i="4" s="1"/>
  <c r="M207" i="4"/>
  <c r="Q207" i="4"/>
  <c r="D208" i="4"/>
  <c r="E208" i="4"/>
  <c r="F208" i="4"/>
  <c r="G208" i="4"/>
  <c r="I208" i="4"/>
  <c r="P208" i="4" s="1"/>
  <c r="J208" i="4"/>
  <c r="Q208" i="4"/>
  <c r="W208" i="4"/>
  <c r="D209" i="4"/>
  <c r="E209" i="4"/>
  <c r="H209" i="4" s="1"/>
  <c r="F209" i="4"/>
  <c r="G209" i="4"/>
  <c r="S209" i="4" s="1"/>
  <c r="I209" i="4"/>
  <c r="J209" i="4"/>
  <c r="Q209" i="4"/>
  <c r="D210" i="4"/>
  <c r="E210" i="4"/>
  <c r="F210" i="4"/>
  <c r="G210" i="4"/>
  <c r="S210" i="4" s="1"/>
  <c r="I210" i="4"/>
  <c r="H210" i="4" s="1"/>
  <c r="J210" i="4"/>
  <c r="Q210" i="4"/>
  <c r="W210" i="4"/>
  <c r="D211" i="4"/>
  <c r="E211" i="4"/>
  <c r="F211" i="4"/>
  <c r="G211" i="4"/>
  <c r="I211" i="4"/>
  <c r="W211" i="4" s="1"/>
  <c r="J211" i="4"/>
  <c r="U211" i="4" s="1"/>
  <c r="X211" i="4" s="1"/>
  <c r="Y211" i="4" s="1"/>
  <c r="Z211" i="4" s="1"/>
  <c r="P211" i="4"/>
  <c r="Q211" i="4"/>
  <c r="D212" i="4"/>
  <c r="E212" i="4"/>
  <c r="F212" i="4"/>
  <c r="G212" i="4"/>
  <c r="I212" i="4"/>
  <c r="W212" i="4" s="1"/>
  <c r="J212" i="4"/>
  <c r="U212" i="4" s="1"/>
  <c r="X212" i="4" s="1"/>
  <c r="Q212" i="4"/>
  <c r="D213" i="4"/>
  <c r="E213" i="4"/>
  <c r="F213" i="4"/>
  <c r="G213" i="4"/>
  <c r="I213" i="4"/>
  <c r="M213" i="4" s="1"/>
  <c r="J213" i="4"/>
  <c r="U213" i="4" s="1"/>
  <c r="X213" i="4" s="1"/>
  <c r="Y213" i="4" s="1"/>
  <c r="Z213" i="4" s="1"/>
  <c r="Q213" i="4"/>
  <c r="D214" i="4"/>
  <c r="E214" i="4"/>
  <c r="F214" i="4"/>
  <c r="G214" i="4"/>
  <c r="S214" i="4" s="1"/>
  <c r="I214" i="4"/>
  <c r="M214" i="4" s="1"/>
  <c r="J214" i="4"/>
  <c r="U214" i="4" s="1"/>
  <c r="X214" i="4" s="1"/>
  <c r="Y214" i="4" s="1"/>
  <c r="Z214" i="4" s="1"/>
  <c r="Q214" i="4"/>
  <c r="D215" i="4"/>
  <c r="E215" i="4"/>
  <c r="F215" i="4"/>
  <c r="G215" i="4"/>
  <c r="I215" i="4"/>
  <c r="M215" i="4" s="1"/>
  <c r="J215" i="4"/>
  <c r="U215" i="4" s="1"/>
  <c r="X215" i="4" s="1"/>
  <c r="Y215" i="4" s="1"/>
  <c r="Z215" i="4" s="1"/>
  <c r="O215" i="4"/>
  <c r="Q215" i="4"/>
  <c r="D216" i="4"/>
  <c r="E216" i="4"/>
  <c r="F216" i="4"/>
  <c r="G216" i="4"/>
  <c r="I216" i="4"/>
  <c r="P216" i="4" s="1"/>
  <c r="J216" i="4"/>
  <c r="U216" i="4" s="1"/>
  <c r="X216" i="4" s="1"/>
  <c r="Y216" i="4" s="1"/>
  <c r="Z216" i="4" s="1"/>
  <c r="Q216" i="4"/>
  <c r="D217" i="4"/>
  <c r="E217" i="4"/>
  <c r="K217" i="4" s="1"/>
  <c r="F217" i="4"/>
  <c r="G217" i="4"/>
  <c r="I217" i="4"/>
  <c r="J217" i="4"/>
  <c r="Q217" i="4"/>
  <c r="D218" i="4"/>
  <c r="E218" i="4"/>
  <c r="H218" i="4" s="1"/>
  <c r="F218" i="4"/>
  <c r="G218" i="4"/>
  <c r="I218" i="4"/>
  <c r="M218" i="4" s="1"/>
  <c r="J218" i="4"/>
  <c r="U218" i="4" s="1"/>
  <c r="X218" i="4" s="1"/>
  <c r="Y218" i="4" s="1"/>
  <c r="Z218" i="4" s="1"/>
  <c r="Q218" i="4"/>
  <c r="D219" i="4"/>
  <c r="E219" i="4"/>
  <c r="K219" i="4" s="1"/>
  <c r="F219" i="4"/>
  <c r="G219" i="4"/>
  <c r="I219" i="4"/>
  <c r="M219" i="4" s="1"/>
  <c r="J219" i="4"/>
  <c r="Q219" i="4"/>
  <c r="U219" i="4"/>
  <c r="X219" i="4" s="1"/>
  <c r="Y219" i="4" s="1"/>
  <c r="Z219" i="4" s="1"/>
  <c r="D220" i="4"/>
  <c r="E220" i="4"/>
  <c r="S220" i="4" s="1"/>
  <c r="F220" i="4"/>
  <c r="G220" i="4"/>
  <c r="I220" i="4"/>
  <c r="P220" i="4" s="1"/>
  <c r="J220" i="4"/>
  <c r="U220" i="4" s="1"/>
  <c r="X220" i="4" s="1"/>
  <c r="Y220" i="4" s="1"/>
  <c r="Z220" i="4" s="1"/>
  <c r="L220" i="4"/>
  <c r="N220" i="4" s="1"/>
  <c r="Q220" i="4"/>
  <c r="D221" i="4"/>
  <c r="E221" i="4"/>
  <c r="K221" i="4" s="1"/>
  <c r="F221" i="4"/>
  <c r="G221" i="4"/>
  <c r="I221" i="4"/>
  <c r="L221" i="4" s="1"/>
  <c r="N221" i="4" s="1"/>
  <c r="J221" i="4"/>
  <c r="Q221" i="4"/>
  <c r="U221" i="4"/>
  <c r="X221" i="4" s="1"/>
  <c r="D222" i="4"/>
  <c r="E222" i="4"/>
  <c r="F222" i="4"/>
  <c r="G222" i="4"/>
  <c r="S222" i="4" s="1"/>
  <c r="I222" i="4"/>
  <c r="W222" i="4" s="1"/>
  <c r="J222" i="4"/>
  <c r="Q222" i="4"/>
  <c r="D223" i="4"/>
  <c r="E223" i="4"/>
  <c r="F223" i="4"/>
  <c r="G223" i="4"/>
  <c r="I223" i="4"/>
  <c r="J223" i="4"/>
  <c r="Q223" i="4"/>
  <c r="U223" i="4"/>
  <c r="X223" i="4" s="1"/>
  <c r="Y223" i="4" s="1"/>
  <c r="Z223" i="4" s="1"/>
  <c r="D224" i="4"/>
  <c r="E224" i="4"/>
  <c r="F224" i="4"/>
  <c r="G224" i="4"/>
  <c r="I224" i="4"/>
  <c r="W224" i="4" s="1"/>
  <c r="J224" i="4"/>
  <c r="U224" i="4" s="1"/>
  <c r="X224" i="4" s="1"/>
  <c r="Q224" i="4"/>
  <c r="D225" i="4"/>
  <c r="E225" i="4"/>
  <c r="F225" i="4"/>
  <c r="G225" i="4"/>
  <c r="I225" i="4"/>
  <c r="T225" i="4" s="1"/>
  <c r="J225" i="4"/>
  <c r="U225" i="4" s="1"/>
  <c r="X225" i="4" s="1"/>
  <c r="M225" i="4"/>
  <c r="Q225" i="4"/>
  <c r="D226" i="4"/>
  <c r="E226" i="4"/>
  <c r="F226" i="4"/>
  <c r="G226" i="4"/>
  <c r="S226" i="4" s="1"/>
  <c r="I226" i="4"/>
  <c r="M226" i="4" s="1"/>
  <c r="J226" i="4"/>
  <c r="U226" i="4" s="1"/>
  <c r="X226" i="4" s="1"/>
  <c r="Q226" i="4"/>
  <c r="D227" i="4"/>
  <c r="E227" i="4"/>
  <c r="F227" i="4"/>
  <c r="G227" i="4"/>
  <c r="I227" i="4"/>
  <c r="L227" i="4" s="1"/>
  <c r="N227" i="4" s="1"/>
  <c r="J227" i="4"/>
  <c r="U227" i="4" s="1"/>
  <c r="X227" i="4" s="1"/>
  <c r="Y227" i="4" s="1"/>
  <c r="Z227" i="4" s="1"/>
  <c r="Q227" i="4"/>
  <c r="D228" i="4"/>
  <c r="E228" i="4"/>
  <c r="F228" i="4"/>
  <c r="G228" i="4"/>
  <c r="I228" i="4"/>
  <c r="J228" i="4"/>
  <c r="Q228" i="4"/>
  <c r="D229" i="4"/>
  <c r="E229" i="4"/>
  <c r="H229" i="4" s="1"/>
  <c r="F229" i="4"/>
  <c r="G229" i="4"/>
  <c r="I229" i="4"/>
  <c r="M229" i="4" s="1"/>
  <c r="J229" i="4"/>
  <c r="Q229" i="4"/>
  <c r="W229" i="4"/>
  <c r="D230" i="4"/>
  <c r="E230" i="4"/>
  <c r="K230" i="4" s="1"/>
  <c r="F230" i="4"/>
  <c r="G230" i="4"/>
  <c r="S230" i="4" s="1"/>
  <c r="I230" i="4"/>
  <c r="M230" i="4" s="1"/>
  <c r="J230" i="4"/>
  <c r="Q230" i="4"/>
  <c r="D231" i="4"/>
  <c r="E231" i="4"/>
  <c r="F231" i="4"/>
  <c r="G231" i="4"/>
  <c r="S231" i="4" s="1"/>
  <c r="I231" i="4"/>
  <c r="P231" i="4" s="1"/>
  <c r="J231" i="4"/>
  <c r="Q231" i="4"/>
  <c r="D232" i="4"/>
  <c r="E232" i="4"/>
  <c r="F232" i="4"/>
  <c r="G232" i="4"/>
  <c r="I232" i="4"/>
  <c r="L232" i="4" s="1"/>
  <c r="N232" i="4" s="1"/>
  <c r="J232" i="4"/>
  <c r="M232" i="4"/>
  <c r="P232" i="4"/>
  <c r="Q232" i="4"/>
  <c r="U232" i="4"/>
  <c r="X232" i="4" s="1"/>
  <c r="Y232" i="4" s="1"/>
  <c r="Z232" i="4" s="1"/>
  <c r="D233" i="4"/>
  <c r="E233" i="4"/>
  <c r="F233" i="4"/>
  <c r="G233" i="4"/>
  <c r="I233" i="4"/>
  <c r="J233" i="4"/>
  <c r="O233" i="4"/>
  <c r="Q233" i="4"/>
  <c r="U233" i="4"/>
  <c r="X233" i="4" s="1"/>
  <c r="Y233" i="4" s="1"/>
  <c r="Z233" i="4" s="1"/>
  <c r="W233" i="4"/>
  <c r="D234" i="4"/>
  <c r="E234" i="4"/>
  <c r="F234" i="4"/>
  <c r="G234" i="4"/>
  <c r="S234" i="4" s="1"/>
  <c r="I234" i="4"/>
  <c r="W234" i="4" s="1"/>
  <c r="J234" i="4"/>
  <c r="U234" i="4" s="1"/>
  <c r="X234" i="4" s="1"/>
  <c r="O234" i="4"/>
  <c r="P234" i="4"/>
  <c r="Q234" i="4"/>
  <c r="T234" i="4"/>
  <c r="D235" i="4"/>
  <c r="E235" i="4"/>
  <c r="H235" i="4" s="1"/>
  <c r="F235" i="4"/>
  <c r="G235" i="4"/>
  <c r="I235" i="4"/>
  <c r="P235" i="4" s="1"/>
  <c r="J235" i="4"/>
  <c r="U235" i="4" s="1"/>
  <c r="X235" i="4" s="1"/>
  <c r="L235" i="4"/>
  <c r="N235" i="4"/>
  <c r="Q235" i="4"/>
  <c r="D236" i="4"/>
  <c r="E236" i="4"/>
  <c r="F236" i="4"/>
  <c r="G236" i="4"/>
  <c r="I236" i="4"/>
  <c r="W236" i="4" s="1"/>
  <c r="J236" i="4"/>
  <c r="M236" i="4"/>
  <c r="Q236" i="4"/>
  <c r="U236" i="4"/>
  <c r="X236" i="4" s="1"/>
  <c r="Y236" i="4" s="1"/>
  <c r="Z236" i="4" s="1"/>
  <c r="D237" i="4"/>
  <c r="E237" i="4"/>
  <c r="F237" i="4"/>
  <c r="G237" i="4"/>
  <c r="S237" i="4" s="1"/>
  <c r="I237" i="4"/>
  <c r="W237" i="4" s="1"/>
  <c r="J237" i="4"/>
  <c r="Q237" i="4"/>
  <c r="D238" i="4"/>
  <c r="E238" i="4"/>
  <c r="F238" i="4"/>
  <c r="G238" i="4"/>
  <c r="R238" i="4" s="1"/>
  <c r="V238" i="4" s="1"/>
  <c r="I238" i="4"/>
  <c r="P238" i="4" s="1"/>
  <c r="J238" i="4"/>
  <c r="U238" i="4" s="1"/>
  <c r="X238" i="4" s="1"/>
  <c r="L238" i="4"/>
  <c r="N238" i="4" s="1"/>
  <c r="M238" i="4"/>
  <c r="Q238" i="4"/>
  <c r="D239" i="4"/>
  <c r="E239" i="4"/>
  <c r="F239" i="4"/>
  <c r="G239" i="4"/>
  <c r="S239" i="4" s="1"/>
  <c r="I239" i="4"/>
  <c r="P239" i="4" s="1"/>
  <c r="J239" i="4"/>
  <c r="U239" i="4" s="1"/>
  <c r="X239" i="4" s="1"/>
  <c r="L239" i="4"/>
  <c r="N239" i="4" s="1"/>
  <c r="Q239" i="4"/>
  <c r="D240" i="4"/>
  <c r="E240" i="4"/>
  <c r="K240" i="4" s="1"/>
  <c r="F240" i="4"/>
  <c r="G240" i="4"/>
  <c r="I240" i="4"/>
  <c r="W240" i="4" s="1"/>
  <c r="J240" i="4"/>
  <c r="Q240" i="4"/>
  <c r="U240" i="4"/>
  <c r="X240" i="4" s="1"/>
  <c r="Y240" i="4" s="1"/>
  <c r="Z240" i="4" s="1"/>
  <c r="D241" i="4"/>
  <c r="E241" i="4"/>
  <c r="F241" i="4"/>
  <c r="G241" i="4"/>
  <c r="I241" i="4"/>
  <c r="W241" i="4" s="1"/>
  <c r="J241" i="4"/>
  <c r="Q241" i="4"/>
  <c r="D242" i="4"/>
  <c r="E242" i="4"/>
  <c r="H242" i="4" s="1"/>
  <c r="F242" i="4"/>
  <c r="G242" i="4"/>
  <c r="I242" i="4"/>
  <c r="M242" i="4" s="1"/>
  <c r="J242" i="4"/>
  <c r="L242" i="4"/>
  <c r="N242" i="4" s="1"/>
  <c r="P242" i="4"/>
  <c r="Q242" i="4"/>
  <c r="D243" i="4"/>
  <c r="E243" i="4"/>
  <c r="F243" i="4"/>
  <c r="G243" i="4"/>
  <c r="I243" i="4"/>
  <c r="L243" i="4" s="1"/>
  <c r="N243" i="4" s="1"/>
  <c r="J243" i="4"/>
  <c r="O243" i="4"/>
  <c r="Q243" i="4"/>
  <c r="U243" i="4"/>
  <c r="X243" i="4" s="1"/>
  <c r="Y243" i="4" s="1"/>
  <c r="Z243" i="4" s="1"/>
  <c r="D244" i="4"/>
  <c r="E244" i="4"/>
  <c r="F244" i="4"/>
  <c r="G244" i="4"/>
  <c r="I244" i="4"/>
  <c r="L244" i="4" s="1"/>
  <c r="N244" i="4" s="1"/>
  <c r="J244" i="4"/>
  <c r="U244" i="4" s="1"/>
  <c r="X244" i="4" s="1"/>
  <c r="Y244" i="4" s="1"/>
  <c r="Z244" i="4" s="1"/>
  <c r="Q244" i="4"/>
  <c r="D245" i="4"/>
  <c r="E245" i="4"/>
  <c r="K245" i="4" s="1"/>
  <c r="F245" i="4"/>
  <c r="G245" i="4"/>
  <c r="I245" i="4"/>
  <c r="M245" i="4" s="1"/>
  <c r="J245" i="4"/>
  <c r="O245" i="4"/>
  <c r="Q245" i="4"/>
  <c r="D246" i="4"/>
  <c r="E246" i="4"/>
  <c r="F246" i="4"/>
  <c r="G246" i="4"/>
  <c r="S246" i="4" s="1"/>
  <c r="I246" i="4"/>
  <c r="L246" i="4" s="1"/>
  <c r="N246" i="4" s="1"/>
  <c r="J246" i="4"/>
  <c r="U246" i="4" s="1"/>
  <c r="X246" i="4" s="1"/>
  <c r="Y246" i="4" s="1"/>
  <c r="Z246" i="4" s="1"/>
  <c r="K246" i="4"/>
  <c r="O246" i="4"/>
  <c r="Q246" i="4"/>
  <c r="W246" i="4"/>
  <c r="D247" i="4"/>
  <c r="E247" i="4"/>
  <c r="H247" i="4" s="1"/>
  <c r="F247" i="4"/>
  <c r="G247" i="4"/>
  <c r="I247" i="4"/>
  <c r="L247" i="4" s="1"/>
  <c r="N247" i="4" s="1"/>
  <c r="J247" i="4"/>
  <c r="U247" i="4" s="1"/>
  <c r="X247" i="4" s="1"/>
  <c r="M247" i="4"/>
  <c r="O247" i="4"/>
  <c r="P247" i="4"/>
  <c r="Q247" i="4"/>
  <c r="W247" i="4"/>
  <c r="D248" i="4"/>
  <c r="E248" i="4"/>
  <c r="T248" i="4" s="1"/>
  <c r="F248" i="4"/>
  <c r="G248" i="4"/>
  <c r="I248" i="4"/>
  <c r="W248" i="4" s="1"/>
  <c r="J248" i="4"/>
  <c r="M248" i="4"/>
  <c r="O248" i="4"/>
  <c r="Q248" i="4"/>
  <c r="D249" i="4"/>
  <c r="E249" i="4"/>
  <c r="F249" i="4"/>
  <c r="G249" i="4"/>
  <c r="I249" i="4"/>
  <c r="M249" i="4" s="1"/>
  <c r="J249" i="4"/>
  <c r="Q249" i="4"/>
  <c r="S249" i="4"/>
  <c r="D250" i="4"/>
  <c r="E250" i="4"/>
  <c r="F250" i="4"/>
  <c r="G250" i="4"/>
  <c r="I250" i="4"/>
  <c r="L250" i="4" s="1"/>
  <c r="N250" i="4" s="1"/>
  <c r="J250" i="4"/>
  <c r="U250" i="4" s="1"/>
  <c r="X250" i="4" s="1"/>
  <c r="Y250" i="4" s="1"/>
  <c r="Z250" i="4" s="1"/>
  <c r="O250" i="4"/>
  <c r="P250" i="4"/>
  <c r="Q250" i="4"/>
  <c r="J7" i="4"/>
  <c r="Q7" i="4"/>
  <c r="O7" i="4"/>
  <c r="I7" i="4"/>
  <c r="O91" i="4" s="1"/>
  <c r="G7" i="4"/>
  <c r="F7" i="4"/>
  <c r="E7" i="4"/>
  <c r="K7" i="4" s="1"/>
  <c r="D7" i="4"/>
  <c r="K61" i="7"/>
  <c r="R250" i="12"/>
  <c r="J250" i="12"/>
  <c r="I250" i="12"/>
  <c r="G250" i="12"/>
  <c r="F250" i="12"/>
  <c r="E250" i="12"/>
  <c r="D250" i="12"/>
  <c r="R249" i="12"/>
  <c r="J249" i="12"/>
  <c r="I249" i="12"/>
  <c r="G249" i="12"/>
  <c r="F249" i="12"/>
  <c r="E249" i="12"/>
  <c r="D249" i="12"/>
  <c r="R247" i="12"/>
  <c r="J247" i="12"/>
  <c r="I247" i="12"/>
  <c r="G247" i="12"/>
  <c r="F247" i="12"/>
  <c r="E247" i="12"/>
  <c r="D247" i="12"/>
  <c r="R245" i="12"/>
  <c r="J245" i="12"/>
  <c r="I245" i="12"/>
  <c r="G245" i="12"/>
  <c r="F245" i="12"/>
  <c r="E245" i="12"/>
  <c r="D245" i="12"/>
  <c r="R243" i="12"/>
  <c r="J243" i="12"/>
  <c r="I243" i="12"/>
  <c r="G243" i="12"/>
  <c r="F243" i="12"/>
  <c r="E243" i="12"/>
  <c r="D243" i="12"/>
  <c r="R239" i="12"/>
  <c r="J239" i="12"/>
  <c r="I239" i="12"/>
  <c r="G239" i="12"/>
  <c r="F239" i="12"/>
  <c r="E239" i="12"/>
  <c r="D239" i="12"/>
  <c r="R140" i="12"/>
  <c r="J140" i="12"/>
  <c r="I140" i="12"/>
  <c r="G140" i="12"/>
  <c r="F140" i="12"/>
  <c r="E140" i="12"/>
  <c r="D140" i="12"/>
  <c r="R240" i="12"/>
  <c r="J240" i="12"/>
  <c r="I240" i="12"/>
  <c r="G240" i="12"/>
  <c r="F240" i="12"/>
  <c r="E240" i="12"/>
  <c r="D240" i="12"/>
  <c r="R236" i="12"/>
  <c r="J236" i="12"/>
  <c r="I236" i="12"/>
  <c r="G236" i="12"/>
  <c r="F236" i="12"/>
  <c r="E236" i="12"/>
  <c r="D236" i="12"/>
  <c r="R234" i="12"/>
  <c r="J234" i="12"/>
  <c r="I234" i="12"/>
  <c r="G234" i="12"/>
  <c r="F234" i="12"/>
  <c r="E234" i="12"/>
  <c r="D234" i="12"/>
  <c r="R232" i="12"/>
  <c r="J232" i="12"/>
  <c r="I232" i="12"/>
  <c r="G232" i="12"/>
  <c r="F232" i="12"/>
  <c r="E232" i="12"/>
  <c r="D232" i="12"/>
  <c r="R229" i="12"/>
  <c r="J229" i="12"/>
  <c r="I229" i="12"/>
  <c r="G229" i="12"/>
  <c r="F229" i="12"/>
  <c r="E229" i="12"/>
  <c r="D229" i="12"/>
  <c r="R225" i="12"/>
  <c r="J225" i="12"/>
  <c r="I225" i="12"/>
  <c r="G225" i="12"/>
  <c r="F225" i="12"/>
  <c r="E225" i="12"/>
  <c r="D225" i="12"/>
  <c r="R115" i="12"/>
  <c r="J115" i="12"/>
  <c r="I115" i="12"/>
  <c r="G115" i="12"/>
  <c r="F115" i="12"/>
  <c r="E115" i="12"/>
  <c r="D115" i="12"/>
  <c r="R231" i="12"/>
  <c r="J231" i="12"/>
  <c r="I231" i="12"/>
  <c r="G231" i="12"/>
  <c r="F231" i="12"/>
  <c r="E231" i="12"/>
  <c r="D231" i="12"/>
  <c r="R227" i="12"/>
  <c r="J227" i="12"/>
  <c r="I227" i="12"/>
  <c r="G227" i="12"/>
  <c r="F227" i="12"/>
  <c r="E227" i="12"/>
  <c r="D227" i="12"/>
  <c r="R221" i="12"/>
  <c r="J221" i="12"/>
  <c r="I221" i="12"/>
  <c r="G221" i="12"/>
  <c r="F221" i="12"/>
  <c r="E221" i="12"/>
  <c r="D221" i="12"/>
  <c r="R216" i="12"/>
  <c r="J216" i="12"/>
  <c r="I216" i="12"/>
  <c r="G216" i="12"/>
  <c r="F216" i="12"/>
  <c r="E216" i="12"/>
  <c r="D216" i="12"/>
  <c r="R210" i="12"/>
  <c r="J210" i="12"/>
  <c r="I210" i="12"/>
  <c r="G210" i="12"/>
  <c r="F210" i="12"/>
  <c r="E210" i="12"/>
  <c r="D210" i="12"/>
  <c r="R203" i="12"/>
  <c r="J203" i="12"/>
  <c r="I203" i="12"/>
  <c r="G203" i="12"/>
  <c r="F203" i="12"/>
  <c r="E203" i="12"/>
  <c r="D203" i="12"/>
  <c r="R95" i="12"/>
  <c r="J95" i="12"/>
  <c r="I95" i="12"/>
  <c r="G95" i="12"/>
  <c r="F95" i="12"/>
  <c r="E95" i="12"/>
  <c r="D95" i="12"/>
  <c r="R220" i="12"/>
  <c r="J220" i="12"/>
  <c r="I220" i="12"/>
  <c r="G220" i="12"/>
  <c r="F220" i="12"/>
  <c r="E220" i="12"/>
  <c r="D220" i="12"/>
  <c r="R212" i="12"/>
  <c r="J212" i="12"/>
  <c r="I212" i="12"/>
  <c r="G212" i="12"/>
  <c r="F212" i="12"/>
  <c r="E212" i="12"/>
  <c r="D212" i="12"/>
  <c r="R200" i="12"/>
  <c r="J200" i="12"/>
  <c r="I200" i="12"/>
  <c r="G200" i="12"/>
  <c r="F200" i="12"/>
  <c r="E200" i="12"/>
  <c r="D200" i="12"/>
  <c r="R196" i="12"/>
  <c r="J196" i="12"/>
  <c r="I196" i="12"/>
  <c r="G196" i="12"/>
  <c r="F196" i="12"/>
  <c r="E196" i="12"/>
  <c r="D196" i="12"/>
  <c r="R193" i="12"/>
  <c r="J193" i="12"/>
  <c r="I193" i="12"/>
  <c r="G193" i="12"/>
  <c r="F193" i="12"/>
  <c r="E193" i="12"/>
  <c r="D193" i="12"/>
  <c r="R188" i="12"/>
  <c r="J188" i="12"/>
  <c r="I188" i="12"/>
  <c r="G188" i="12"/>
  <c r="F188" i="12"/>
  <c r="E188" i="12"/>
  <c r="D188" i="12"/>
  <c r="R70" i="12"/>
  <c r="J70" i="12"/>
  <c r="I70" i="12"/>
  <c r="G70" i="12"/>
  <c r="F70" i="12"/>
  <c r="E70" i="12"/>
  <c r="D70" i="12"/>
  <c r="R204" i="12"/>
  <c r="J204" i="12"/>
  <c r="I204" i="12"/>
  <c r="G204" i="12"/>
  <c r="F204" i="12"/>
  <c r="E204" i="12"/>
  <c r="D204" i="12"/>
  <c r="R195" i="12"/>
  <c r="J195" i="12"/>
  <c r="I195" i="12"/>
  <c r="G195" i="12"/>
  <c r="F195" i="12"/>
  <c r="E195" i="12"/>
  <c r="D195" i="12"/>
  <c r="R190" i="12"/>
  <c r="J190" i="12"/>
  <c r="I190" i="12"/>
  <c r="G190" i="12"/>
  <c r="F190" i="12"/>
  <c r="E190" i="12"/>
  <c r="D190" i="12"/>
  <c r="R182" i="12"/>
  <c r="J182" i="12"/>
  <c r="I182" i="12"/>
  <c r="G182" i="12"/>
  <c r="F182" i="12"/>
  <c r="E182" i="12"/>
  <c r="D182" i="12"/>
  <c r="R177" i="12"/>
  <c r="J177" i="12"/>
  <c r="I177" i="12"/>
  <c r="G177" i="12"/>
  <c r="F177" i="12"/>
  <c r="E177" i="12"/>
  <c r="D177" i="12"/>
  <c r="R172" i="12"/>
  <c r="J172" i="12"/>
  <c r="I172" i="12"/>
  <c r="G172" i="12"/>
  <c r="F172" i="12"/>
  <c r="E172" i="12"/>
  <c r="D172" i="12"/>
  <c r="R49" i="12"/>
  <c r="J49" i="12"/>
  <c r="I49" i="12"/>
  <c r="G49" i="12"/>
  <c r="F49" i="12"/>
  <c r="E49" i="12"/>
  <c r="D49" i="12"/>
  <c r="R248" i="12"/>
  <c r="J248" i="12"/>
  <c r="I248" i="12"/>
  <c r="G248" i="12"/>
  <c r="F248" i="12"/>
  <c r="E248" i="12"/>
  <c r="D248" i="12"/>
  <c r="R246" i="12"/>
  <c r="J246" i="12"/>
  <c r="I246" i="12"/>
  <c r="G246" i="12"/>
  <c r="F246" i="12"/>
  <c r="E246" i="12"/>
  <c r="D246" i="12"/>
  <c r="R242" i="12"/>
  <c r="J242" i="12"/>
  <c r="I242" i="12"/>
  <c r="G242" i="12"/>
  <c r="F242" i="12"/>
  <c r="E242" i="12"/>
  <c r="D242" i="12"/>
  <c r="R237" i="12"/>
  <c r="J237" i="12"/>
  <c r="I237" i="12"/>
  <c r="G237" i="12"/>
  <c r="F237" i="12"/>
  <c r="E237" i="12"/>
  <c r="D237" i="12"/>
  <c r="R138" i="12"/>
  <c r="J138" i="12"/>
  <c r="I138" i="12"/>
  <c r="G138" i="12"/>
  <c r="F138" i="12"/>
  <c r="E138" i="12"/>
  <c r="D138" i="12"/>
  <c r="R134" i="12"/>
  <c r="J134" i="12"/>
  <c r="I134" i="12"/>
  <c r="G134" i="12"/>
  <c r="F134" i="12"/>
  <c r="E134" i="12"/>
  <c r="D134" i="12"/>
  <c r="R130" i="12"/>
  <c r="J130" i="12"/>
  <c r="I130" i="12"/>
  <c r="G130" i="12"/>
  <c r="F130" i="12"/>
  <c r="E130" i="12"/>
  <c r="D130" i="12"/>
  <c r="R235" i="12"/>
  <c r="J235" i="12"/>
  <c r="I235" i="12"/>
  <c r="G235" i="12"/>
  <c r="F235" i="12"/>
  <c r="E235" i="12"/>
  <c r="D235" i="12"/>
  <c r="R233" i="12"/>
  <c r="J233" i="12"/>
  <c r="I233" i="12"/>
  <c r="G233" i="12"/>
  <c r="F233" i="12"/>
  <c r="E233" i="12"/>
  <c r="D233" i="12"/>
  <c r="R228" i="12"/>
  <c r="J228" i="12"/>
  <c r="I228" i="12"/>
  <c r="G228" i="12"/>
  <c r="F228" i="12"/>
  <c r="E228" i="12"/>
  <c r="D228" i="12"/>
  <c r="R223" i="12"/>
  <c r="J223" i="12"/>
  <c r="I223" i="12"/>
  <c r="G223" i="12"/>
  <c r="F223" i="12"/>
  <c r="E223" i="12"/>
  <c r="D223" i="12"/>
  <c r="R111" i="12"/>
  <c r="J111" i="12"/>
  <c r="I111" i="12"/>
  <c r="G111" i="12"/>
  <c r="F111" i="12"/>
  <c r="E111" i="12"/>
  <c r="D111" i="12"/>
  <c r="R107" i="12"/>
  <c r="J107" i="12"/>
  <c r="I107" i="12"/>
  <c r="G107" i="12"/>
  <c r="F107" i="12"/>
  <c r="E107" i="12"/>
  <c r="D107" i="12"/>
  <c r="R103" i="12"/>
  <c r="J103" i="12"/>
  <c r="I103" i="12"/>
  <c r="G103" i="12"/>
  <c r="F103" i="12"/>
  <c r="E103" i="12"/>
  <c r="D103" i="12"/>
  <c r="R222" i="12"/>
  <c r="J222" i="12"/>
  <c r="I222" i="12"/>
  <c r="G222" i="12"/>
  <c r="F222" i="12"/>
  <c r="E222" i="12"/>
  <c r="D222" i="12"/>
  <c r="R218" i="12"/>
  <c r="J218" i="12"/>
  <c r="I218" i="12"/>
  <c r="G218" i="12"/>
  <c r="F218" i="12"/>
  <c r="E218" i="12"/>
  <c r="D218" i="12"/>
  <c r="R209" i="12"/>
  <c r="J209" i="12"/>
  <c r="I209" i="12"/>
  <c r="G209" i="12"/>
  <c r="F209" i="12"/>
  <c r="E209" i="12"/>
  <c r="D209" i="12"/>
  <c r="R199" i="12"/>
  <c r="J199" i="12"/>
  <c r="I199" i="12"/>
  <c r="G199" i="12"/>
  <c r="F199" i="12"/>
  <c r="E199" i="12"/>
  <c r="D199" i="12"/>
  <c r="R91" i="12"/>
  <c r="J91" i="12"/>
  <c r="I91" i="12"/>
  <c r="G91" i="12"/>
  <c r="F91" i="12"/>
  <c r="E91" i="12"/>
  <c r="D91" i="12"/>
  <c r="R84" i="12"/>
  <c r="J84" i="12"/>
  <c r="I84" i="12"/>
  <c r="G84" i="12"/>
  <c r="F84" i="12"/>
  <c r="E84" i="12"/>
  <c r="D84" i="12"/>
  <c r="R76" i="12"/>
  <c r="J76" i="12"/>
  <c r="I76" i="12"/>
  <c r="G76" i="12"/>
  <c r="F76" i="12"/>
  <c r="E76" i="12"/>
  <c r="D76" i="12"/>
  <c r="R207" i="12"/>
  <c r="J207" i="12"/>
  <c r="I207" i="12"/>
  <c r="G207" i="12"/>
  <c r="F207" i="12"/>
  <c r="E207" i="12"/>
  <c r="D207" i="12"/>
  <c r="R197" i="12"/>
  <c r="J197" i="12"/>
  <c r="I197" i="12"/>
  <c r="G197" i="12"/>
  <c r="F197" i="12"/>
  <c r="E197" i="12"/>
  <c r="D197" i="12"/>
  <c r="R192" i="12"/>
  <c r="J192" i="12"/>
  <c r="I192" i="12"/>
  <c r="G192" i="12"/>
  <c r="F192" i="12"/>
  <c r="E192" i="12"/>
  <c r="D192" i="12"/>
  <c r="R185" i="12"/>
  <c r="J185" i="12"/>
  <c r="I185" i="12"/>
  <c r="G185" i="12"/>
  <c r="F185" i="12"/>
  <c r="E185" i="12"/>
  <c r="D185" i="12"/>
  <c r="R67" i="12"/>
  <c r="J67" i="12"/>
  <c r="I67" i="12"/>
  <c r="G67" i="12"/>
  <c r="F67" i="12"/>
  <c r="E67" i="12"/>
  <c r="D67" i="12"/>
  <c r="R60" i="12"/>
  <c r="J60" i="12"/>
  <c r="I60" i="12"/>
  <c r="G60" i="12"/>
  <c r="F60" i="12"/>
  <c r="E60" i="12"/>
  <c r="D60" i="12"/>
  <c r="R52" i="12"/>
  <c r="J52" i="12"/>
  <c r="I52" i="12"/>
  <c r="G52" i="12"/>
  <c r="F52" i="12"/>
  <c r="E52" i="12"/>
  <c r="D52" i="12"/>
  <c r="R191" i="12"/>
  <c r="J191" i="12"/>
  <c r="I191" i="12"/>
  <c r="G191" i="12"/>
  <c r="F191" i="12"/>
  <c r="E191" i="12"/>
  <c r="D191" i="12"/>
  <c r="R184" i="12"/>
  <c r="J184" i="12"/>
  <c r="I184" i="12"/>
  <c r="G184" i="12"/>
  <c r="F184" i="12"/>
  <c r="E184" i="12"/>
  <c r="D184" i="12"/>
  <c r="R176" i="12"/>
  <c r="J176" i="12"/>
  <c r="I176" i="12"/>
  <c r="G176" i="12"/>
  <c r="F176" i="12"/>
  <c r="E176" i="12"/>
  <c r="D176" i="12"/>
  <c r="R169" i="12"/>
  <c r="J169" i="12"/>
  <c r="I169" i="12"/>
  <c r="G169" i="12"/>
  <c r="F169" i="12"/>
  <c r="E169" i="12"/>
  <c r="D169" i="12"/>
  <c r="R44" i="12"/>
  <c r="J44" i="12"/>
  <c r="I44" i="12"/>
  <c r="G44" i="12"/>
  <c r="F44" i="12"/>
  <c r="E44" i="12"/>
  <c r="D44" i="12"/>
  <c r="R36" i="12"/>
  <c r="J36" i="12"/>
  <c r="I36" i="12"/>
  <c r="G36" i="12"/>
  <c r="F36" i="12"/>
  <c r="E36" i="12"/>
  <c r="D36" i="12"/>
  <c r="R27" i="12"/>
  <c r="J27" i="12"/>
  <c r="I27" i="12"/>
  <c r="G27" i="12"/>
  <c r="F27" i="12"/>
  <c r="E27" i="12"/>
  <c r="D27" i="12"/>
  <c r="R244" i="12"/>
  <c r="J244" i="12"/>
  <c r="I244" i="12"/>
  <c r="G244" i="12"/>
  <c r="F244" i="12"/>
  <c r="E244" i="12"/>
  <c r="D244" i="12"/>
  <c r="R241" i="12"/>
  <c r="J241" i="12"/>
  <c r="I241" i="12"/>
  <c r="G241" i="12"/>
  <c r="F241" i="12"/>
  <c r="E241" i="12"/>
  <c r="D241" i="12"/>
  <c r="R139" i="12"/>
  <c r="J139" i="12"/>
  <c r="I139" i="12"/>
  <c r="G139" i="12"/>
  <c r="F139" i="12"/>
  <c r="E139" i="12"/>
  <c r="D139" i="12"/>
  <c r="R135" i="12"/>
  <c r="J135" i="12"/>
  <c r="I135" i="12"/>
  <c r="G135" i="12"/>
  <c r="F135" i="12"/>
  <c r="E135" i="12"/>
  <c r="D135" i="12"/>
  <c r="R129" i="12"/>
  <c r="J129" i="12"/>
  <c r="I129" i="12"/>
  <c r="G129" i="12"/>
  <c r="F129" i="12"/>
  <c r="E129" i="12"/>
  <c r="D129" i="12"/>
  <c r="R127" i="12"/>
  <c r="J127" i="12"/>
  <c r="I127" i="12"/>
  <c r="G127" i="12"/>
  <c r="F127" i="12"/>
  <c r="E127" i="12"/>
  <c r="D127" i="12"/>
  <c r="R122" i="12"/>
  <c r="J122" i="12"/>
  <c r="I122" i="12"/>
  <c r="G122" i="12"/>
  <c r="F122" i="12"/>
  <c r="E122" i="12"/>
  <c r="D122" i="12"/>
  <c r="R230" i="12"/>
  <c r="J230" i="12"/>
  <c r="I230" i="12"/>
  <c r="G230" i="12"/>
  <c r="F230" i="12"/>
  <c r="E230" i="12"/>
  <c r="D230" i="12"/>
  <c r="R226" i="12"/>
  <c r="J226" i="12"/>
  <c r="I226" i="12"/>
  <c r="G226" i="12"/>
  <c r="F226" i="12"/>
  <c r="E226" i="12"/>
  <c r="D226" i="12"/>
  <c r="R114" i="12"/>
  <c r="J114" i="12"/>
  <c r="I114" i="12"/>
  <c r="G114" i="12"/>
  <c r="F114" i="12"/>
  <c r="E114" i="12"/>
  <c r="D114" i="12"/>
  <c r="R108" i="12"/>
  <c r="J108" i="12"/>
  <c r="I108" i="12"/>
  <c r="G108" i="12"/>
  <c r="F108" i="12"/>
  <c r="E108" i="12"/>
  <c r="D108" i="12"/>
  <c r="R102" i="12"/>
  <c r="J102" i="12"/>
  <c r="I102" i="12"/>
  <c r="G102" i="12"/>
  <c r="F102" i="12"/>
  <c r="E102" i="12"/>
  <c r="D102" i="12"/>
  <c r="R100" i="12"/>
  <c r="J100" i="12"/>
  <c r="I100" i="12"/>
  <c r="G100" i="12"/>
  <c r="F100" i="12"/>
  <c r="E100" i="12"/>
  <c r="D100" i="12"/>
  <c r="R94" i="12"/>
  <c r="J94" i="12"/>
  <c r="I94" i="12"/>
  <c r="G94" i="12"/>
  <c r="F94" i="12"/>
  <c r="E94" i="12"/>
  <c r="D94" i="12"/>
  <c r="R214" i="12"/>
  <c r="J214" i="12"/>
  <c r="I214" i="12"/>
  <c r="G214" i="12"/>
  <c r="F214" i="12"/>
  <c r="E214" i="12"/>
  <c r="D214" i="12"/>
  <c r="R206" i="12"/>
  <c r="J206" i="12"/>
  <c r="I206" i="12"/>
  <c r="M206" i="12" s="1"/>
  <c r="O206" i="12" s="1"/>
  <c r="G206" i="12"/>
  <c r="F206" i="12"/>
  <c r="E206" i="12"/>
  <c r="D206" i="12"/>
  <c r="R93" i="12"/>
  <c r="J93" i="12"/>
  <c r="I93" i="12"/>
  <c r="F93" i="12"/>
  <c r="E93" i="12"/>
  <c r="D93" i="12"/>
  <c r="R85" i="12"/>
  <c r="J85" i="12"/>
  <c r="I85" i="12"/>
  <c r="G85" i="12"/>
  <c r="F85" i="12"/>
  <c r="E85" i="12"/>
  <c r="D85" i="12"/>
  <c r="R75" i="12"/>
  <c r="J75" i="12"/>
  <c r="I75" i="12"/>
  <c r="G75" i="12"/>
  <c r="F75" i="12"/>
  <c r="E75" i="12"/>
  <c r="D75" i="12"/>
  <c r="R73" i="12"/>
  <c r="J73" i="12"/>
  <c r="I73" i="12"/>
  <c r="G73" i="12"/>
  <c r="F73" i="12"/>
  <c r="E73" i="12"/>
  <c r="D73" i="12"/>
  <c r="R63" i="12"/>
  <c r="J63" i="12"/>
  <c r="I63" i="12"/>
  <c r="G63" i="12"/>
  <c r="F63" i="12"/>
  <c r="E63" i="12"/>
  <c r="D63" i="12"/>
  <c r="R194" i="12"/>
  <c r="J194" i="12"/>
  <c r="I194" i="12"/>
  <c r="G194" i="12"/>
  <c r="F194" i="12"/>
  <c r="E194" i="12"/>
  <c r="D194" i="12"/>
  <c r="R189" i="12"/>
  <c r="J189" i="12"/>
  <c r="I189" i="12"/>
  <c r="G189" i="12"/>
  <c r="F189" i="12"/>
  <c r="E189" i="12"/>
  <c r="D189" i="12"/>
  <c r="R69" i="12"/>
  <c r="J69" i="12"/>
  <c r="I69" i="12"/>
  <c r="G69" i="12"/>
  <c r="F69" i="12"/>
  <c r="E69" i="12"/>
  <c r="D69" i="12"/>
  <c r="R62" i="12"/>
  <c r="J62" i="12"/>
  <c r="I62" i="12"/>
  <c r="G62" i="12"/>
  <c r="F62" i="12"/>
  <c r="E62" i="12"/>
  <c r="D62" i="12"/>
  <c r="R51" i="12"/>
  <c r="J51" i="12"/>
  <c r="I51" i="12"/>
  <c r="G51" i="12"/>
  <c r="F51" i="12"/>
  <c r="E51" i="12"/>
  <c r="D51" i="12"/>
  <c r="R42" i="12"/>
  <c r="J42" i="12"/>
  <c r="I42" i="12"/>
  <c r="G42" i="12"/>
  <c r="F42" i="12"/>
  <c r="E42" i="12"/>
  <c r="D42" i="12"/>
  <c r="R34" i="12"/>
  <c r="J34" i="12"/>
  <c r="I34" i="12"/>
  <c r="G34" i="12"/>
  <c r="F34" i="12"/>
  <c r="E34" i="12"/>
  <c r="D34" i="12"/>
  <c r="R180" i="12"/>
  <c r="J180" i="12"/>
  <c r="I180" i="12"/>
  <c r="G180" i="12"/>
  <c r="F180" i="12"/>
  <c r="E180" i="12"/>
  <c r="D180" i="12"/>
  <c r="R174" i="12"/>
  <c r="J174" i="12"/>
  <c r="I174" i="12"/>
  <c r="G174" i="12"/>
  <c r="F174" i="12"/>
  <c r="E174" i="12"/>
  <c r="D174" i="12"/>
  <c r="R48" i="12"/>
  <c r="J48" i="12"/>
  <c r="I48" i="12"/>
  <c r="G48" i="12"/>
  <c r="F48" i="12"/>
  <c r="E48" i="12"/>
  <c r="D48" i="12"/>
  <c r="R37" i="12"/>
  <c r="J37" i="12"/>
  <c r="I37" i="12"/>
  <c r="G37" i="12"/>
  <c r="F37" i="12"/>
  <c r="E37" i="12"/>
  <c r="D37" i="12"/>
  <c r="R26" i="12"/>
  <c r="J26" i="12"/>
  <c r="I26" i="12"/>
  <c r="G26" i="12"/>
  <c r="F26" i="12"/>
  <c r="E26" i="12"/>
  <c r="D26" i="12"/>
  <c r="R21" i="12"/>
  <c r="J21" i="12"/>
  <c r="I21" i="12"/>
  <c r="G21" i="12"/>
  <c r="F21" i="12"/>
  <c r="E21" i="12"/>
  <c r="D21" i="12"/>
  <c r="R14" i="12"/>
  <c r="J14" i="12"/>
  <c r="I14" i="12"/>
  <c r="G14" i="12"/>
  <c r="F14" i="12"/>
  <c r="E14" i="12"/>
  <c r="D14" i="12"/>
  <c r="R238" i="12"/>
  <c r="J238" i="12"/>
  <c r="I238" i="12"/>
  <c r="G238" i="12"/>
  <c r="F238" i="12"/>
  <c r="E238" i="12"/>
  <c r="D238" i="12"/>
  <c r="R137" i="12"/>
  <c r="J137" i="12"/>
  <c r="I137" i="12"/>
  <c r="G137" i="12"/>
  <c r="F137" i="12"/>
  <c r="E137" i="12"/>
  <c r="D137" i="12"/>
  <c r="R133" i="12"/>
  <c r="J133" i="12"/>
  <c r="I133" i="12"/>
  <c r="G133" i="12"/>
  <c r="F133" i="12"/>
  <c r="E133" i="12"/>
  <c r="D133" i="12"/>
  <c r="R128" i="12"/>
  <c r="J128" i="12"/>
  <c r="I128" i="12"/>
  <c r="G128" i="12"/>
  <c r="F128" i="12"/>
  <c r="E128" i="12"/>
  <c r="D128" i="12"/>
  <c r="R123" i="12"/>
  <c r="J123" i="12"/>
  <c r="I123" i="12"/>
  <c r="G123" i="12"/>
  <c r="F123" i="12"/>
  <c r="E123" i="12"/>
  <c r="D123" i="12"/>
  <c r="R118" i="12"/>
  <c r="J118" i="12"/>
  <c r="I118" i="12"/>
  <c r="G118" i="12"/>
  <c r="F118" i="12"/>
  <c r="E118" i="12"/>
  <c r="D118" i="12"/>
  <c r="R113" i="12"/>
  <c r="J113" i="12"/>
  <c r="I113" i="12"/>
  <c r="G113" i="12"/>
  <c r="F113" i="12"/>
  <c r="E113" i="12"/>
  <c r="D113" i="12"/>
  <c r="R224" i="12"/>
  <c r="J224" i="12"/>
  <c r="I224" i="12"/>
  <c r="G224" i="12"/>
  <c r="F224" i="12"/>
  <c r="E224" i="12"/>
  <c r="D224" i="12"/>
  <c r="R110" i="12"/>
  <c r="J110" i="12"/>
  <c r="I110" i="12"/>
  <c r="G110" i="12"/>
  <c r="F110" i="12"/>
  <c r="E110" i="12"/>
  <c r="D110" i="12"/>
  <c r="R106" i="12"/>
  <c r="J106" i="12"/>
  <c r="I106" i="12"/>
  <c r="G106" i="12"/>
  <c r="F106" i="12"/>
  <c r="E106" i="12"/>
  <c r="D106" i="12"/>
  <c r="R101" i="12"/>
  <c r="J101" i="12"/>
  <c r="I101" i="12"/>
  <c r="G101" i="12"/>
  <c r="F101" i="12"/>
  <c r="E101" i="12"/>
  <c r="D101" i="12"/>
  <c r="R96" i="12"/>
  <c r="R98" i="12" s="1" a="1"/>
  <c r="R98" i="12" s="1"/>
  <c r="J96" i="12"/>
  <c r="I96" i="12"/>
  <c r="G96" i="12"/>
  <c r="F96" i="12"/>
  <c r="E96" i="12"/>
  <c r="D96" i="12"/>
  <c r="R86" i="12"/>
  <c r="J86" i="12"/>
  <c r="I86" i="12"/>
  <c r="G86" i="12"/>
  <c r="F86" i="12"/>
  <c r="E86" i="12"/>
  <c r="D86" i="12"/>
  <c r="R81" i="12"/>
  <c r="J81" i="12"/>
  <c r="I81" i="12"/>
  <c r="G81" i="12"/>
  <c r="F81" i="12"/>
  <c r="E81" i="12"/>
  <c r="D81" i="12"/>
  <c r="R202" i="12"/>
  <c r="J202" i="12"/>
  <c r="I202" i="12"/>
  <c r="G202" i="12"/>
  <c r="F202" i="12"/>
  <c r="E202" i="12"/>
  <c r="D202" i="12"/>
  <c r="R90" i="12"/>
  <c r="J90" i="12"/>
  <c r="I90" i="12"/>
  <c r="G90" i="12"/>
  <c r="F90" i="12"/>
  <c r="E90" i="12"/>
  <c r="D90" i="12"/>
  <c r="R79" i="12"/>
  <c r="J79" i="12"/>
  <c r="I79" i="12"/>
  <c r="G79" i="12"/>
  <c r="F79" i="12"/>
  <c r="E79" i="12"/>
  <c r="D79" i="12"/>
  <c r="R74" i="12"/>
  <c r="J74" i="12"/>
  <c r="I74" i="12"/>
  <c r="G74" i="12"/>
  <c r="F74" i="12"/>
  <c r="E74" i="12"/>
  <c r="D74" i="12"/>
  <c r="R64" i="12"/>
  <c r="J64" i="12"/>
  <c r="I64" i="12"/>
  <c r="G64" i="12"/>
  <c r="F64" i="12"/>
  <c r="E64" i="12"/>
  <c r="D64" i="12"/>
  <c r="R57" i="12"/>
  <c r="J57" i="12"/>
  <c r="I57" i="12"/>
  <c r="G57" i="12"/>
  <c r="F57" i="12"/>
  <c r="E57" i="12"/>
  <c r="D57" i="12"/>
  <c r="R47" i="12"/>
  <c r="J47" i="12"/>
  <c r="I47" i="12"/>
  <c r="G47" i="12"/>
  <c r="F47" i="12"/>
  <c r="E47" i="12"/>
  <c r="D47" i="12"/>
  <c r="R187" i="12"/>
  <c r="J187" i="12"/>
  <c r="I187" i="12"/>
  <c r="G187" i="12"/>
  <c r="F187" i="12"/>
  <c r="E187" i="12"/>
  <c r="D187" i="12"/>
  <c r="R66" i="12"/>
  <c r="J66" i="12"/>
  <c r="I66" i="12"/>
  <c r="G66" i="12"/>
  <c r="F66" i="12"/>
  <c r="E66" i="12"/>
  <c r="D66" i="12"/>
  <c r="R56" i="12"/>
  <c r="J56" i="12"/>
  <c r="I56" i="12"/>
  <c r="G56" i="12"/>
  <c r="F56" i="12"/>
  <c r="E56" i="12"/>
  <c r="D56" i="12"/>
  <c r="R45" i="12"/>
  <c r="J45" i="12"/>
  <c r="I45" i="12"/>
  <c r="G45" i="12"/>
  <c r="F45" i="12"/>
  <c r="E45" i="12"/>
  <c r="D45" i="12"/>
  <c r="R35" i="12"/>
  <c r="J35" i="12"/>
  <c r="I35" i="12"/>
  <c r="G35" i="12"/>
  <c r="F35" i="12"/>
  <c r="E35" i="12"/>
  <c r="D35" i="12"/>
  <c r="R25" i="12"/>
  <c r="J25" i="12"/>
  <c r="I25" i="12"/>
  <c r="G25" i="12"/>
  <c r="F25" i="12"/>
  <c r="E25" i="12"/>
  <c r="D25" i="12"/>
  <c r="R18" i="12"/>
  <c r="J18" i="12"/>
  <c r="I18" i="12"/>
  <c r="G18" i="12"/>
  <c r="F18" i="12"/>
  <c r="E18" i="12"/>
  <c r="D18" i="12"/>
  <c r="R171" i="12"/>
  <c r="J171" i="12"/>
  <c r="I171" i="12"/>
  <c r="G171" i="12"/>
  <c r="F171" i="12"/>
  <c r="E171" i="12"/>
  <c r="D171" i="12"/>
  <c r="R43" i="12"/>
  <c r="J43" i="12"/>
  <c r="I43" i="12"/>
  <c r="G43" i="12"/>
  <c r="F43" i="12"/>
  <c r="E43" i="12"/>
  <c r="D43" i="12"/>
  <c r="R33" i="12"/>
  <c r="J33" i="12"/>
  <c r="I33" i="12"/>
  <c r="G33" i="12"/>
  <c r="F33" i="12"/>
  <c r="E33" i="12"/>
  <c r="D33" i="12"/>
  <c r="R23" i="12"/>
  <c r="J23" i="12"/>
  <c r="I23" i="12"/>
  <c r="G23" i="12"/>
  <c r="F23" i="12"/>
  <c r="E23" i="12"/>
  <c r="D23" i="12"/>
  <c r="R15" i="12"/>
  <c r="J15" i="12"/>
  <c r="I15" i="12"/>
  <c r="G15" i="12"/>
  <c r="F15" i="12"/>
  <c r="E15" i="12"/>
  <c r="D15" i="12"/>
  <c r="R10" i="12"/>
  <c r="J10" i="12"/>
  <c r="I10" i="12"/>
  <c r="G10" i="12"/>
  <c r="F10" i="12"/>
  <c r="E10" i="12"/>
  <c r="D10" i="12"/>
  <c r="R7" i="12"/>
  <c r="J7" i="12"/>
  <c r="I7" i="12"/>
  <c r="G7" i="12"/>
  <c r="F7" i="12"/>
  <c r="E7" i="12"/>
  <c r="D7" i="12"/>
  <c r="R136" i="12"/>
  <c r="J136" i="12"/>
  <c r="I136" i="12"/>
  <c r="G136" i="12"/>
  <c r="F136" i="12"/>
  <c r="E136" i="12"/>
  <c r="D136" i="12"/>
  <c r="R132" i="12"/>
  <c r="J132" i="12"/>
  <c r="I132" i="12"/>
  <c r="G132" i="12"/>
  <c r="F132" i="12"/>
  <c r="E132" i="12"/>
  <c r="D132" i="12"/>
  <c r="R126" i="12"/>
  <c r="J126" i="12"/>
  <c r="I126" i="12"/>
  <c r="G126" i="12"/>
  <c r="F126" i="12"/>
  <c r="E126" i="12"/>
  <c r="D126" i="12"/>
  <c r="R121" i="12"/>
  <c r="J121" i="12"/>
  <c r="I121" i="12"/>
  <c r="G121" i="12"/>
  <c r="F121" i="12"/>
  <c r="E121" i="12"/>
  <c r="D121" i="12"/>
  <c r="R117" i="12"/>
  <c r="J117" i="12"/>
  <c r="I117" i="12"/>
  <c r="G117" i="12"/>
  <c r="F117" i="12"/>
  <c r="E117" i="12"/>
  <c r="D117" i="12"/>
  <c r="R219" i="12"/>
  <c r="J219" i="12"/>
  <c r="I219" i="12"/>
  <c r="G219" i="12"/>
  <c r="F219" i="12"/>
  <c r="E219" i="12"/>
  <c r="D219" i="12"/>
  <c r="R213" i="12"/>
  <c r="J213" i="12"/>
  <c r="I213" i="12"/>
  <c r="G213" i="12"/>
  <c r="F213" i="12"/>
  <c r="E213" i="12"/>
  <c r="D213" i="12"/>
  <c r="R109" i="12"/>
  <c r="J109" i="12"/>
  <c r="I109" i="12"/>
  <c r="G109" i="12"/>
  <c r="F109" i="12"/>
  <c r="E109" i="12"/>
  <c r="D109" i="12"/>
  <c r="R105" i="12"/>
  <c r="J105" i="12"/>
  <c r="I105" i="12"/>
  <c r="G105" i="12"/>
  <c r="F105" i="12"/>
  <c r="E105" i="12"/>
  <c r="D105" i="12"/>
  <c r="R99" i="12"/>
  <c r="J99" i="12"/>
  <c r="I99" i="12"/>
  <c r="G99" i="12"/>
  <c r="F99" i="12"/>
  <c r="E99" i="12"/>
  <c r="D99" i="12"/>
  <c r="R92" i="12"/>
  <c r="J92" i="12"/>
  <c r="I92" i="12"/>
  <c r="G92" i="12"/>
  <c r="F92" i="12"/>
  <c r="E92" i="12"/>
  <c r="D92" i="12"/>
  <c r="R83" i="12"/>
  <c r="J83" i="12"/>
  <c r="I83" i="12"/>
  <c r="G83" i="12"/>
  <c r="F83" i="12"/>
  <c r="E83" i="12"/>
  <c r="D83" i="12"/>
  <c r="R186" i="12"/>
  <c r="J186" i="12"/>
  <c r="I186" i="12"/>
  <c r="G186" i="12"/>
  <c r="F186" i="12"/>
  <c r="E186" i="12"/>
  <c r="D186" i="12"/>
  <c r="R179" i="12"/>
  <c r="J179" i="12"/>
  <c r="I179" i="12"/>
  <c r="G179" i="12"/>
  <c r="F179" i="12"/>
  <c r="E179" i="12"/>
  <c r="D179" i="12"/>
  <c r="R87" i="12"/>
  <c r="J87" i="12"/>
  <c r="I87" i="12"/>
  <c r="G87" i="12"/>
  <c r="F87" i="12"/>
  <c r="E87" i="12"/>
  <c r="D87" i="12"/>
  <c r="R78" i="12"/>
  <c r="J78" i="12"/>
  <c r="I78" i="12"/>
  <c r="G78" i="12"/>
  <c r="F78" i="12"/>
  <c r="E78" i="12"/>
  <c r="D78" i="12"/>
  <c r="R72" i="12"/>
  <c r="J72" i="12"/>
  <c r="I72" i="12"/>
  <c r="G72" i="12"/>
  <c r="F72" i="12"/>
  <c r="E72" i="12"/>
  <c r="D72" i="12"/>
  <c r="R61" i="12"/>
  <c r="J61" i="12"/>
  <c r="I61" i="12"/>
  <c r="G61" i="12"/>
  <c r="F61" i="12"/>
  <c r="E61" i="12"/>
  <c r="D61" i="12"/>
  <c r="R53" i="12"/>
  <c r="J53" i="12"/>
  <c r="I53" i="12"/>
  <c r="G53" i="12"/>
  <c r="F53" i="12"/>
  <c r="E53" i="12"/>
  <c r="D53" i="12"/>
  <c r="R167" i="12"/>
  <c r="J167" i="12"/>
  <c r="I167" i="12"/>
  <c r="G167" i="12"/>
  <c r="F167" i="12"/>
  <c r="E167" i="12"/>
  <c r="D167" i="12"/>
  <c r="R164" i="12"/>
  <c r="J164" i="12"/>
  <c r="I164" i="12"/>
  <c r="G164" i="12"/>
  <c r="F164" i="12"/>
  <c r="E164" i="12"/>
  <c r="D164" i="12"/>
  <c r="R65" i="12"/>
  <c r="J65" i="12"/>
  <c r="I65" i="12"/>
  <c r="G65" i="12"/>
  <c r="F65" i="12"/>
  <c r="E65" i="12"/>
  <c r="D65" i="12"/>
  <c r="R55" i="12"/>
  <c r="J55" i="12"/>
  <c r="I55" i="12"/>
  <c r="G55" i="12"/>
  <c r="F55" i="12"/>
  <c r="E55" i="12"/>
  <c r="D55" i="12"/>
  <c r="R41" i="12"/>
  <c r="J41" i="12"/>
  <c r="I41" i="12"/>
  <c r="G41" i="12"/>
  <c r="F41" i="12"/>
  <c r="E41" i="12"/>
  <c r="D41" i="12"/>
  <c r="R32" i="12"/>
  <c r="J32" i="12"/>
  <c r="I32" i="12"/>
  <c r="G32" i="12"/>
  <c r="F32" i="12"/>
  <c r="E32" i="12"/>
  <c r="D32" i="12"/>
  <c r="R24" i="12"/>
  <c r="J24" i="12"/>
  <c r="I24" i="12"/>
  <c r="G24" i="12"/>
  <c r="F24" i="12"/>
  <c r="E24" i="12"/>
  <c r="D24" i="12"/>
  <c r="R159" i="12"/>
  <c r="J159" i="12"/>
  <c r="I159" i="12"/>
  <c r="G159" i="12"/>
  <c r="F159" i="12"/>
  <c r="E159" i="12"/>
  <c r="D159" i="12"/>
  <c r="R155" i="12"/>
  <c r="J155" i="12"/>
  <c r="I155" i="12"/>
  <c r="G155" i="12"/>
  <c r="F155" i="12"/>
  <c r="E155" i="12"/>
  <c r="D155" i="12"/>
  <c r="R40" i="12"/>
  <c r="J40" i="12"/>
  <c r="I40" i="12"/>
  <c r="G40" i="12"/>
  <c r="F40" i="12"/>
  <c r="E40" i="12"/>
  <c r="D40" i="12"/>
  <c r="R31" i="12"/>
  <c r="J31" i="12"/>
  <c r="I31" i="12"/>
  <c r="G31" i="12"/>
  <c r="F31" i="12"/>
  <c r="E31" i="12"/>
  <c r="D31" i="12"/>
  <c r="R20" i="12"/>
  <c r="J20" i="12"/>
  <c r="I20" i="12"/>
  <c r="G20" i="12"/>
  <c r="F20" i="12"/>
  <c r="E20" i="12"/>
  <c r="D20" i="12"/>
  <c r="R13" i="12"/>
  <c r="J13" i="12"/>
  <c r="I13" i="12"/>
  <c r="G13" i="12"/>
  <c r="F13" i="12"/>
  <c r="E13" i="12"/>
  <c r="D13" i="12"/>
  <c r="R9" i="12"/>
  <c r="J9" i="12"/>
  <c r="I9" i="12"/>
  <c r="G9" i="12"/>
  <c r="F9" i="12"/>
  <c r="E9" i="12"/>
  <c r="D9" i="12"/>
  <c r="R151" i="12"/>
  <c r="J151" i="12"/>
  <c r="I151" i="12"/>
  <c r="G151" i="12"/>
  <c r="F151" i="12"/>
  <c r="E151" i="12"/>
  <c r="D151" i="12"/>
  <c r="R147" i="12"/>
  <c r="J147" i="12"/>
  <c r="I147" i="12"/>
  <c r="G147" i="12"/>
  <c r="F147" i="12"/>
  <c r="E147" i="12"/>
  <c r="D147" i="12"/>
  <c r="R131" i="12"/>
  <c r="J131" i="12"/>
  <c r="I131" i="12"/>
  <c r="G131" i="12"/>
  <c r="F131" i="12"/>
  <c r="E131" i="12"/>
  <c r="D131" i="12"/>
  <c r="R124" i="12"/>
  <c r="J124" i="12"/>
  <c r="I124" i="12"/>
  <c r="G124" i="12"/>
  <c r="F124" i="12"/>
  <c r="E124" i="12"/>
  <c r="D124" i="12"/>
  <c r="R120" i="12"/>
  <c r="J120" i="12"/>
  <c r="I120" i="12"/>
  <c r="G120" i="12"/>
  <c r="F120" i="12"/>
  <c r="E120" i="12"/>
  <c r="D120" i="12"/>
  <c r="R116" i="12"/>
  <c r="J116" i="12"/>
  <c r="I116" i="12"/>
  <c r="G116" i="12"/>
  <c r="F116" i="12"/>
  <c r="E116" i="12"/>
  <c r="D116" i="12"/>
  <c r="R217" i="12"/>
  <c r="J217" i="12"/>
  <c r="I217" i="12"/>
  <c r="G217" i="12"/>
  <c r="F217" i="12"/>
  <c r="E217" i="12"/>
  <c r="D217" i="12"/>
  <c r="R211" i="12"/>
  <c r="J211" i="12"/>
  <c r="I211" i="12"/>
  <c r="G211" i="12"/>
  <c r="F211" i="12"/>
  <c r="E211" i="12"/>
  <c r="D211" i="12"/>
  <c r="R205" i="12"/>
  <c r="J205" i="12"/>
  <c r="I205" i="12"/>
  <c r="G205" i="12"/>
  <c r="F205" i="12"/>
  <c r="E205" i="12"/>
  <c r="D205" i="12"/>
  <c r="R104" i="12"/>
  <c r="J104" i="12"/>
  <c r="I104" i="12"/>
  <c r="G104" i="12"/>
  <c r="F104" i="12"/>
  <c r="E104" i="12"/>
  <c r="D104" i="12"/>
  <c r="R97" i="12"/>
  <c r="J97" i="12"/>
  <c r="I97" i="12"/>
  <c r="G97" i="12"/>
  <c r="F97" i="12"/>
  <c r="E97" i="12"/>
  <c r="D97" i="12"/>
  <c r="R89" i="12"/>
  <c r="J89" i="12"/>
  <c r="I89" i="12"/>
  <c r="G89" i="12"/>
  <c r="F89" i="12"/>
  <c r="E89" i="12"/>
  <c r="D89" i="12"/>
  <c r="R82" i="12"/>
  <c r="J82" i="12"/>
  <c r="I82" i="12"/>
  <c r="G82" i="12"/>
  <c r="F82" i="12"/>
  <c r="E82" i="12"/>
  <c r="D82" i="12"/>
  <c r="R183" i="12"/>
  <c r="J183" i="12"/>
  <c r="I183" i="12"/>
  <c r="G183" i="12"/>
  <c r="F183" i="12"/>
  <c r="E183" i="12"/>
  <c r="D183" i="12"/>
  <c r="R178" i="12"/>
  <c r="J178" i="12"/>
  <c r="I178" i="12"/>
  <c r="G178" i="12"/>
  <c r="F178" i="12"/>
  <c r="E178" i="12"/>
  <c r="D178" i="12"/>
  <c r="R173" i="12"/>
  <c r="J173" i="12"/>
  <c r="I173" i="12"/>
  <c r="G173" i="12"/>
  <c r="F173" i="12"/>
  <c r="E173" i="12"/>
  <c r="D173" i="12"/>
  <c r="R77" i="12"/>
  <c r="J77" i="12"/>
  <c r="I77" i="12"/>
  <c r="G77" i="12"/>
  <c r="F77" i="12"/>
  <c r="E77" i="12"/>
  <c r="D77" i="12"/>
  <c r="R68" i="12"/>
  <c r="J68" i="12"/>
  <c r="I68" i="12"/>
  <c r="G68" i="12"/>
  <c r="F68" i="12"/>
  <c r="E68" i="12"/>
  <c r="D68" i="12"/>
  <c r="R59" i="12"/>
  <c r="J59" i="12"/>
  <c r="I59" i="12"/>
  <c r="G59" i="12"/>
  <c r="F59" i="12"/>
  <c r="E59" i="12"/>
  <c r="D59" i="12"/>
  <c r="R50" i="12"/>
  <c r="J50" i="12"/>
  <c r="I50" i="12"/>
  <c r="G50" i="12"/>
  <c r="F50" i="12"/>
  <c r="E50" i="12"/>
  <c r="D50" i="12"/>
  <c r="R166" i="12"/>
  <c r="J166" i="12"/>
  <c r="I166" i="12"/>
  <c r="G166" i="12"/>
  <c r="F166" i="12"/>
  <c r="E166" i="12"/>
  <c r="D166" i="12"/>
  <c r="R163" i="12"/>
  <c r="J163" i="12"/>
  <c r="I163" i="12"/>
  <c r="G163" i="12"/>
  <c r="F163" i="12"/>
  <c r="E163" i="12"/>
  <c r="D163" i="12"/>
  <c r="R161" i="12"/>
  <c r="J161" i="12"/>
  <c r="I161" i="12"/>
  <c r="G161" i="12"/>
  <c r="F161" i="12"/>
  <c r="E161" i="12"/>
  <c r="D161" i="12"/>
  <c r="R54" i="12"/>
  <c r="J54" i="12"/>
  <c r="I54" i="12"/>
  <c r="G54" i="12"/>
  <c r="F54" i="12"/>
  <c r="E54" i="12"/>
  <c r="D54" i="12"/>
  <c r="R38" i="12"/>
  <c r="J38" i="12"/>
  <c r="I38" i="12"/>
  <c r="G38" i="12"/>
  <c r="F38" i="12"/>
  <c r="E38" i="12"/>
  <c r="D38" i="12"/>
  <c r="R30" i="12"/>
  <c r="J30" i="12"/>
  <c r="I30" i="12"/>
  <c r="G30" i="12"/>
  <c r="F30" i="12"/>
  <c r="E30" i="12"/>
  <c r="D30" i="12"/>
  <c r="R22" i="12"/>
  <c r="J22" i="12"/>
  <c r="I22" i="12"/>
  <c r="G22" i="12"/>
  <c r="F22" i="12"/>
  <c r="E22" i="12"/>
  <c r="D22" i="12"/>
  <c r="R157" i="12"/>
  <c r="J157" i="12"/>
  <c r="I157" i="12"/>
  <c r="G157" i="12"/>
  <c r="F157" i="12"/>
  <c r="E157" i="12"/>
  <c r="D157" i="12"/>
  <c r="R154" i="12"/>
  <c r="J154" i="12"/>
  <c r="I154" i="12"/>
  <c r="G154" i="12"/>
  <c r="F154" i="12"/>
  <c r="E154" i="12"/>
  <c r="D154" i="12"/>
  <c r="R152" i="12"/>
  <c r="J152" i="12"/>
  <c r="I152" i="12"/>
  <c r="G152" i="12"/>
  <c r="F152" i="12"/>
  <c r="E152" i="12"/>
  <c r="D152" i="12"/>
  <c r="R29" i="12"/>
  <c r="J29" i="12"/>
  <c r="I29" i="12"/>
  <c r="G29" i="12"/>
  <c r="F29" i="12"/>
  <c r="E29" i="12"/>
  <c r="D29" i="12"/>
  <c r="R16" i="12"/>
  <c r="J16" i="12"/>
  <c r="I16" i="12"/>
  <c r="G16" i="12"/>
  <c r="F16" i="12"/>
  <c r="E16" i="12"/>
  <c r="D16" i="12"/>
  <c r="R12" i="12"/>
  <c r="J12" i="12"/>
  <c r="I12" i="12"/>
  <c r="G12" i="12"/>
  <c r="F12" i="12"/>
  <c r="E12" i="12"/>
  <c r="D12" i="12"/>
  <c r="R8" i="12"/>
  <c r="J8" i="12"/>
  <c r="I8" i="12"/>
  <c r="G8" i="12"/>
  <c r="F8" i="12"/>
  <c r="E8" i="12"/>
  <c r="D8" i="12"/>
  <c r="R149" i="12"/>
  <c r="J149" i="12"/>
  <c r="I149" i="12"/>
  <c r="G149" i="12"/>
  <c r="F149" i="12"/>
  <c r="E149" i="12"/>
  <c r="D149" i="12"/>
  <c r="R145" i="12"/>
  <c r="J145" i="12"/>
  <c r="I145" i="12"/>
  <c r="G145" i="12"/>
  <c r="F145" i="12"/>
  <c r="E145" i="12"/>
  <c r="D145" i="12"/>
  <c r="R143" i="12"/>
  <c r="J143" i="12"/>
  <c r="I143" i="12"/>
  <c r="G143" i="12"/>
  <c r="F143" i="12"/>
  <c r="E143" i="12"/>
  <c r="D143" i="12"/>
  <c r="R125" i="12"/>
  <c r="J125" i="12"/>
  <c r="I125" i="12"/>
  <c r="G125" i="12"/>
  <c r="F125" i="12"/>
  <c r="E125" i="12"/>
  <c r="D125" i="12"/>
  <c r="R119" i="12"/>
  <c r="J119" i="12"/>
  <c r="I119" i="12"/>
  <c r="G119" i="12"/>
  <c r="F119" i="12"/>
  <c r="E119" i="12"/>
  <c r="D119" i="12"/>
  <c r="R112" i="12"/>
  <c r="J112" i="12"/>
  <c r="I112" i="12"/>
  <c r="F112" i="12"/>
  <c r="E112" i="12"/>
  <c r="D112" i="12"/>
  <c r="R215" i="12"/>
  <c r="J215" i="12"/>
  <c r="I215" i="12"/>
  <c r="G215" i="12"/>
  <c r="F215" i="12"/>
  <c r="E215" i="12"/>
  <c r="D215" i="12"/>
  <c r="R208" i="12"/>
  <c r="J208" i="12"/>
  <c r="I208" i="12"/>
  <c r="G208" i="12"/>
  <c r="F208" i="12"/>
  <c r="E208" i="12"/>
  <c r="D208" i="12"/>
  <c r="R201" i="12"/>
  <c r="J201" i="12"/>
  <c r="I201" i="12"/>
  <c r="G201" i="12"/>
  <c r="F201" i="12"/>
  <c r="E201" i="12"/>
  <c r="D201" i="12"/>
  <c r="R198" i="12"/>
  <c r="J198" i="12"/>
  <c r="I198" i="12"/>
  <c r="G198" i="12"/>
  <c r="F198" i="12"/>
  <c r="E198" i="12"/>
  <c r="D198" i="12"/>
  <c r="J98" i="12"/>
  <c r="I98" i="12"/>
  <c r="G98" i="12"/>
  <c r="F98" i="12"/>
  <c r="E98" i="12"/>
  <c r="D98" i="12"/>
  <c r="R88" i="12"/>
  <c r="J88" i="12"/>
  <c r="I88" i="12"/>
  <c r="G88" i="12"/>
  <c r="F88" i="12"/>
  <c r="E88" i="12"/>
  <c r="D88" i="12"/>
  <c r="R80" i="12"/>
  <c r="J80" i="12"/>
  <c r="I80" i="12"/>
  <c r="G80" i="12"/>
  <c r="F80" i="12"/>
  <c r="E80" i="12"/>
  <c r="D80" i="12"/>
  <c r="R181" i="12"/>
  <c r="J181" i="12"/>
  <c r="I181" i="12"/>
  <c r="G181" i="12"/>
  <c r="F181" i="12"/>
  <c r="E181" i="12"/>
  <c r="D181" i="12"/>
  <c r="R175" i="12"/>
  <c r="J175" i="12"/>
  <c r="I175" i="12"/>
  <c r="G175" i="12"/>
  <c r="F175" i="12"/>
  <c r="E175" i="12"/>
  <c r="D175" i="12"/>
  <c r="R170" i="12"/>
  <c r="J170" i="12"/>
  <c r="I170" i="12"/>
  <c r="G170" i="12"/>
  <c r="F170" i="12"/>
  <c r="E170" i="12"/>
  <c r="D170" i="12"/>
  <c r="R168" i="12"/>
  <c r="J168" i="12"/>
  <c r="I168" i="12"/>
  <c r="G168" i="12"/>
  <c r="F168" i="12"/>
  <c r="E168" i="12"/>
  <c r="D168" i="12"/>
  <c r="R71" i="12"/>
  <c r="J71" i="12"/>
  <c r="I71" i="12"/>
  <c r="G71" i="12"/>
  <c r="F71" i="12"/>
  <c r="E71" i="12"/>
  <c r="D71" i="12"/>
  <c r="R58" i="12"/>
  <c r="J58" i="12"/>
  <c r="I58" i="12"/>
  <c r="G58" i="12"/>
  <c r="F58" i="12"/>
  <c r="E58" i="12"/>
  <c r="D58" i="12"/>
  <c r="R46" i="12"/>
  <c r="J46" i="12"/>
  <c r="I46" i="12"/>
  <c r="G46" i="12"/>
  <c r="F46" i="12"/>
  <c r="E46" i="12"/>
  <c r="D46" i="12"/>
  <c r="R165" i="12"/>
  <c r="J165" i="12"/>
  <c r="I165" i="12"/>
  <c r="G165" i="12"/>
  <c r="F165" i="12"/>
  <c r="E165" i="12"/>
  <c r="D165" i="12"/>
  <c r="R162" i="12"/>
  <c r="J162" i="12"/>
  <c r="I162" i="12"/>
  <c r="G162" i="12"/>
  <c r="F162" i="12"/>
  <c r="E162" i="12"/>
  <c r="D162" i="12"/>
  <c r="R160" i="12"/>
  <c r="J160" i="12"/>
  <c r="I160" i="12"/>
  <c r="G160" i="12"/>
  <c r="F160" i="12"/>
  <c r="E160" i="12"/>
  <c r="D160" i="12"/>
  <c r="R158" i="12"/>
  <c r="J158" i="12"/>
  <c r="I158" i="12"/>
  <c r="G158" i="12"/>
  <c r="F158" i="12"/>
  <c r="E158" i="12"/>
  <c r="D158" i="12"/>
  <c r="R39" i="12"/>
  <c r="J39" i="12"/>
  <c r="I39" i="12"/>
  <c r="G39" i="12"/>
  <c r="F39" i="12"/>
  <c r="E39" i="12"/>
  <c r="D39" i="12"/>
  <c r="R28" i="12"/>
  <c r="J28" i="12"/>
  <c r="I28" i="12"/>
  <c r="G28" i="12"/>
  <c r="F28" i="12"/>
  <c r="E28" i="12"/>
  <c r="D28" i="12"/>
  <c r="R17" i="12"/>
  <c r="J17" i="12"/>
  <c r="I17" i="12"/>
  <c r="G17" i="12"/>
  <c r="F17" i="12"/>
  <c r="E17" i="12"/>
  <c r="D17" i="12"/>
  <c r="R156" i="12"/>
  <c r="J156" i="12"/>
  <c r="I156" i="12"/>
  <c r="G156" i="12"/>
  <c r="F156" i="12"/>
  <c r="E156" i="12"/>
  <c r="D156" i="12"/>
  <c r="R153" i="12"/>
  <c r="J153" i="12"/>
  <c r="I153" i="12"/>
  <c r="G153" i="12"/>
  <c r="F153" i="12"/>
  <c r="E153" i="12"/>
  <c r="D153" i="12"/>
  <c r="R150" i="12"/>
  <c r="J150" i="12"/>
  <c r="I150" i="12"/>
  <c r="G150" i="12"/>
  <c r="F150" i="12"/>
  <c r="E150" i="12"/>
  <c r="D150" i="12"/>
  <c r="R146" i="12"/>
  <c r="J146" i="12"/>
  <c r="I146" i="12"/>
  <c r="G146" i="12"/>
  <c r="F146" i="12"/>
  <c r="E146" i="12"/>
  <c r="D146" i="12"/>
  <c r="R19" i="12"/>
  <c r="J19" i="12"/>
  <c r="I19" i="12"/>
  <c r="G19" i="12"/>
  <c r="F19" i="12"/>
  <c r="E19" i="12"/>
  <c r="D19" i="12"/>
  <c r="R11" i="12"/>
  <c r="J11" i="12"/>
  <c r="I11" i="12"/>
  <c r="G11" i="12"/>
  <c r="F11" i="12"/>
  <c r="E11" i="12"/>
  <c r="D11" i="12"/>
  <c r="R6" i="12"/>
  <c r="J6" i="12"/>
  <c r="I6" i="12"/>
  <c r="G6" i="12"/>
  <c r="F6" i="12"/>
  <c r="E6" i="12"/>
  <c r="D6" i="12"/>
  <c r="R148" i="12"/>
  <c r="J148" i="12"/>
  <c r="I148" i="12"/>
  <c r="G148" i="12"/>
  <c r="F148" i="12"/>
  <c r="E148" i="12"/>
  <c r="D148" i="12"/>
  <c r="R144" i="12"/>
  <c r="J144" i="12"/>
  <c r="I144" i="12"/>
  <c r="G144" i="12"/>
  <c r="F144" i="12"/>
  <c r="E144" i="12"/>
  <c r="D144" i="12"/>
  <c r="R142" i="12"/>
  <c r="J142" i="12"/>
  <c r="I142" i="12"/>
  <c r="G142" i="12"/>
  <c r="F142" i="12"/>
  <c r="E142" i="12"/>
  <c r="D142" i="12"/>
  <c r="R141" i="12"/>
  <c r="J141" i="12"/>
  <c r="I141" i="12"/>
  <c r="G141" i="12"/>
  <c r="F141" i="12"/>
  <c r="E141" i="12"/>
  <c r="D141" i="12"/>
  <c r="R250" i="9"/>
  <c r="J250" i="9"/>
  <c r="I250" i="9"/>
  <c r="G250" i="9"/>
  <c r="F250" i="9"/>
  <c r="E250" i="9"/>
  <c r="D250" i="9"/>
  <c r="R249" i="9"/>
  <c r="J249" i="9"/>
  <c r="I249" i="9"/>
  <c r="G249" i="9"/>
  <c r="F249" i="9"/>
  <c r="E249" i="9"/>
  <c r="D249" i="9"/>
  <c r="R248" i="9"/>
  <c r="J248" i="9"/>
  <c r="I248" i="9"/>
  <c r="G248" i="9"/>
  <c r="F248" i="9"/>
  <c r="E248" i="9"/>
  <c r="D248" i="9"/>
  <c r="R247" i="9"/>
  <c r="J247" i="9"/>
  <c r="I247" i="9"/>
  <c r="G247" i="9"/>
  <c r="F247" i="9"/>
  <c r="E247" i="9"/>
  <c r="D247" i="9"/>
  <c r="R246" i="9"/>
  <c r="J246" i="9"/>
  <c r="I246" i="9"/>
  <c r="G246" i="9"/>
  <c r="F246" i="9"/>
  <c r="E246" i="9"/>
  <c r="D246" i="9"/>
  <c r="R245" i="9"/>
  <c r="J245" i="9"/>
  <c r="I245" i="9"/>
  <c r="G245" i="9"/>
  <c r="F245" i="9"/>
  <c r="E245" i="9"/>
  <c r="D245" i="9"/>
  <c r="R244" i="9"/>
  <c r="J244" i="9"/>
  <c r="I244" i="9"/>
  <c r="G244" i="9"/>
  <c r="F244" i="9"/>
  <c r="E244" i="9"/>
  <c r="D244" i="9"/>
  <c r="R243" i="9"/>
  <c r="J243" i="9"/>
  <c r="I243" i="9"/>
  <c r="G243" i="9"/>
  <c r="F243" i="9"/>
  <c r="E243" i="9"/>
  <c r="D243" i="9"/>
  <c r="R242" i="9"/>
  <c r="J242" i="9"/>
  <c r="I242" i="9"/>
  <c r="G242" i="9"/>
  <c r="F242" i="9"/>
  <c r="E242" i="9"/>
  <c r="D242" i="9"/>
  <c r="R241" i="9"/>
  <c r="J241" i="9"/>
  <c r="I241" i="9"/>
  <c r="G241" i="9"/>
  <c r="F241" i="9"/>
  <c r="E241" i="9"/>
  <c r="D241" i="9"/>
  <c r="R240" i="9"/>
  <c r="J240" i="9"/>
  <c r="I240" i="9"/>
  <c r="G240" i="9"/>
  <c r="F240" i="9"/>
  <c r="E240" i="9"/>
  <c r="D240" i="9"/>
  <c r="R239" i="9"/>
  <c r="J239" i="9"/>
  <c r="I239" i="9"/>
  <c r="G239" i="9"/>
  <c r="F239" i="9"/>
  <c r="E239" i="9"/>
  <c r="D239" i="9"/>
  <c r="R238" i="9"/>
  <c r="J238" i="9"/>
  <c r="I238" i="9"/>
  <c r="G238" i="9"/>
  <c r="F238" i="9"/>
  <c r="E238" i="9"/>
  <c r="D238" i="9"/>
  <c r="R237" i="9"/>
  <c r="J237" i="9"/>
  <c r="I237" i="9"/>
  <c r="G237" i="9"/>
  <c r="F237" i="9"/>
  <c r="E237" i="9"/>
  <c r="D237" i="9"/>
  <c r="R236" i="9"/>
  <c r="J236" i="9"/>
  <c r="I236" i="9"/>
  <c r="G236" i="9"/>
  <c r="F236" i="9"/>
  <c r="E236" i="9"/>
  <c r="D236" i="9"/>
  <c r="R235" i="9"/>
  <c r="J235" i="9"/>
  <c r="I235" i="9"/>
  <c r="G235" i="9"/>
  <c r="F235" i="9"/>
  <c r="E235" i="9"/>
  <c r="D235" i="9"/>
  <c r="R234" i="9"/>
  <c r="J234" i="9"/>
  <c r="I234" i="9"/>
  <c r="G234" i="9"/>
  <c r="F234" i="9"/>
  <c r="E234" i="9"/>
  <c r="D234" i="9"/>
  <c r="R233" i="9"/>
  <c r="J233" i="9"/>
  <c r="I233" i="9"/>
  <c r="G233" i="9"/>
  <c r="F233" i="9"/>
  <c r="E233" i="9"/>
  <c r="D233" i="9"/>
  <c r="R232" i="9"/>
  <c r="J232" i="9"/>
  <c r="I232" i="9"/>
  <c r="G232" i="9"/>
  <c r="F232" i="9"/>
  <c r="E232" i="9"/>
  <c r="D232" i="9"/>
  <c r="R231" i="9"/>
  <c r="J231" i="9"/>
  <c r="I231" i="9"/>
  <c r="G231" i="9"/>
  <c r="F231" i="9"/>
  <c r="E231" i="9"/>
  <c r="D231" i="9"/>
  <c r="R230" i="9"/>
  <c r="J230" i="9"/>
  <c r="I230" i="9"/>
  <c r="G230" i="9"/>
  <c r="F230" i="9"/>
  <c r="E230" i="9"/>
  <c r="D230" i="9"/>
  <c r="R229" i="9"/>
  <c r="J229" i="9"/>
  <c r="I229" i="9"/>
  <c r="G229" i="9"/>
  <c r="F229" i="9"/>
  <c r="E229" i="9"/>
  <c r="D229" i="9"/>
  <c r="R228" i="9"/>
  <c r="J228" i="9"/>
  <c r="I228" i="9"/>
  <c r="G228" i="9"/>
  <c r="F228" i="9"/>
  <c r="E228" i="9"/>
  <c r="D228" i="9"/>
  <c r="R227" i="9"/>
  <c r="J227" i="9"/>
  <c r="I227" i="9"/>
  <c r="G227" i="9"/>
  <c r="F227" i="9"/>
  <c r="E227" i="9"/>
  <c r="D227" i="9"/>
  <c r="R226" i="9"/>
  <c r="J226" i="9"/>
  <c r="I226" i="9"/>
  <c r="G226" i="9"/>
  <c r="F226" i="9"/>
  <c r="E226" i="9"/>
  <c r="D226" i="9"/>
  <c r="R225" i="9"/>
  <c r="J225" i="9"/>
  <c r="I225" i="9"/>
  <c r="G225" i="9"/>
  <c r="F225" i="9"/>
  <c r="E225" i="9"/>
  <c r="D225" i="9"/>
  <c r="R224" i="9"/>
  <c r="J224" i="9"/>
  <c r="I224" i="9"/>
  <c r="G224" i="9"/>
  <c r="F224" i="9"/>
  <c r="E224" i="9"/>
  <c r="D224" i="9"/>
  <c r="R223" i="9"/>
  <c r="J223" i="9"/>
  <c r="I223" i="9"/>
  <c r="G223" i="9"/>
  <c r="F223" i="9"/>
  <c r="E223" i="9"/>
  <c r="D223" i="9"/>
  <c r="R222" i="9"/>
  <c r="J222" i="9"/>
  <c r="I222" i="9"/>
  <c r="G222" i="9"/>
  <c r="F222" i="9"/>
  <c r="E222" i="9"/>
  <c r="D222" i="9"/>
  <c r="R221" i="9"/>
  <c r="J221" i="9"/>
  <c r="I221" i="9"/>
  <c r="G221" i="9"/>
  <c r="F221" i="9"/>
  <c r="E221" i="9"/>
  <c r="D221" i="9"/>
  <c r="R220" i="9"/>
  <c r="J220" i="9"/>
  <c r="I220" i="9"/>
  <c r="G220" i="9"/>
  <c r="F220" i="9"/>
  <c r="E220" i="9"/>
  <c r="D220" i="9"/>
  <c r="R219" i="9"/>
  <c r="J219" i="9"/>
  <c r="I219" i="9"/>
  <c r="G219" i="9"/>
  <c r="F219" i="9"/>
  <c r="E219" i="9"/>
  <c r="D219" i="9"/>
  <c r="R218" i="9"/>
  <c r="J218" i="9"/>
  <c r="I218" i="9"/>
  <c r="G218" i="9"/>
  <c r="F218" i="9"/>
  <c r="E218" i="9"/>
  <c r="D218" i="9"/>
  <c r="R217" i="9"/>
  <c r="J217" i="9"/>
  <c r="I217" i="9"/>
  <c r="G217" i="9"/>
  <c r="F217" i="9"/>
  <c r="E217" i="9"/>
  <c r="D217" i="9"/>
  <c r="R216" i="9"/>
  <c r="J216" i="9"/>
  <c r="I216" i="9"/>
  <c r="G216" i="9"/>
  <c r="F216" i="9"/>
  <c r="E216" i="9"/>
  <c r="D216" i="9"/>
  <c r="R215" i="9"/>
  <c r="J215" i="9"/>
  <c r="I215" i="9"/>
  <c r="G215" i="9"/>
  <c r="F215" i="9"/>
  <c r="E215" i="9"/>
  <c r="D215" i="9"/>
  <c r="R214" i="9"/>
  <c r="J214" i="9"/>
  <c r="I214" i="9"/>
  <c r="G214" i="9"/>
  <c r="F214" i="9"/>
  <c r="E214" i="9"/>
  <c r="D214" i="9"/>
  <c r="R213" i="9"/>
  <c r="J213" i="9"/>
  <c r="I213" i="9"/>
  <c r="G213" i="9"/>
  <c r="F213" i="9"/>
  <c r="E213" i="9"/>
  <c r="D213" i="9"/>
  <c r="R212" i="9"/>
  <c r="J212" i="9"/>
  <c r="I212" i="9"/>
  <c r="G212" i="9"/>
  <c r="F212" i="9"/>
  <c r="E212" i="9"/>
  <c r="D212" i="9"/>
  <c r="R211" i="9"/>
  <c r="J211" i="9"/>
  <c r="I211" i="9"/>
  <c r="G211" i="9"/>
  <c r="F211" i="9"/>
  <c r="E211" i="9"/>
  <c r="D211" i="9"/>
  <c r="R210" i="9"/>
  <c r="J210" i="9"/>
  <c r="I210" i="9"/>
  <c r="G210" i="9"/>
  <c r="F210" i="9"/>
  <c r="E210" i="9"/>
  <c r="D210" i="9"/>
  <c r="R209" i="9"/>
  <c r="J209" i="9"/>
  <c r="I209" i="9"/>
  <c r="G209" i="9"/>
  <c r="F209" i="9"/>
  <c r="E209" i="9"/>
  <c r="D209" i="9"/>
  <c r="R208" i="9"/>
  <c r="J208" i="9"/>
  <c r="I208" i="9"/>
  <c r="G208" i="9"/>
  <c r="F208" i="9"/>
  <c r="E208" i="9"/>
  <c r="D208" i="9"/>
  <c r="R207" i="9"/>
  <c r="J207" i="9"/>
  <c r="I207" i="9"/>
  <c r="G207" i="9"/>
  <c r="F207" i="9"/>
  <c r="E207" i="9"/>
  <c r="D207" i="9"/>
  <c r="R206" i="9"/>
  <c r="J206" i="9"/>
  <c r="I206" i="9"/>
  <c r="G206" i="9"/>
  <c r="F206" i="9"/>
  <c r="E206" i="9"/>
  <c r="D206" i="9"/>
  <c r="R205" i="9"/>
  <c r="J205" i="9"/>
  <c r="I205" i="9"/>
  <c r="G205" i="9"/>
  <c r="F205" i="9"/>
  <c r="E205" i="9"/>
  <c r="D205" i="9"/>
  <c r="R204" i="9"/>
  <c r="J204" i="9"/>
  <c r="I204" i="9"/>
  <c r="G204" i="9"/>
  <c r="F204" i="9"/>
  <c r="E204" i="9"/>
  <c r="D204" i="9"/>
  <c r="R203" i="9"/>
  <c r="J203" i="9"/>
  <c r="I203" i="9"/>
  <c r="G203" i="9"/>
  <c r="F203" i="9"/>
  <c r="E203" i="9"/>
  <c r="D203" i="9"/>
  <c r="R202" i="9"/>
  <c r="J202" i="9"/>
  <c r="I202" i="9"/>
  <c r="G202" i="9"/>
  <c r="F202" i="9"/>
  <c r="E202" i="9"/>
  <c r="D202" i="9"/>
  <c r="R201" i="9"/>
  <c r="J201" i="9"/>
  <c r="I201" i="9"/>
  <c r="G201" i="9"/>
  <c r="F201" i="9"/>
  <c r="E201" i="9"/>
  <c r="D201" i="9"/>
  <c r="R200" i="9"/>
  <c r="J200" i="9"/>
  <c r="I200" i="9"/>
  <c r="G200" i="9"/>
  <c r="F200" i="9"/>
  <c r="E200" i="9"/>
  <c r="D200" i="9"/>
  <c r="R199" i="9"/>
  <c r="J199" i="9"/>
  <c r="I199" i="9"/>
  <c r="G199" i="9"/>
  <c r="F199" i="9"/>
  <c r="E199" i="9"/>
  <c r="D199" i="9"/>
  <c r="R198" i="9"/>
  <c r="J198" i="9"/>
  <c r="I198" i="9"/>
  <c r="G198" i="9"/>
  <c r="F198" i="9"/>
  <c r="E198" i="9"/>
  <c r="D198" i="9"/>
  <c r="R197" i="9"/>
  <c r="J197" i="9"/>
  <c r="I197" i="9"/>
  <c r="G197" i="9"/>
  <c r="F197" i="9"/>
  <c r="E197" i="9"/>
  <c r="D197" i="9"/>
  <c r="R196" i="9"/>
  <c r="J196" i="9"/>
  <c r="I196" i="9"/>
  <c r="G196" i="9"/>
  <c r="F196" i="9"/>
  <c r="E196" i="9"/>
  <c r="D196" i="9"/>
  <c r="R195" i="9"/>
  <c r="J195" i="9"/>
  <c r="I195" i="9"/>
  <c r="G195" i="9"/>
  <c r="F195" i="9"/>
  <c r="E195" i="9"/>
  <c r="D195" i="9"/>
  <c r="R194" i="9"/>
  <c r="J194" i="9"/>
  <c r="I194" i="9"/>
  <c r="G194" i="9"/>
  <c r="F194" i="9"/>
  <c r="E194" i="9"/>
  <c r="D194" i="9"/>
  <c r="R193" i="9"/>
  <c r="J193" i="9"/>
  <c r="I193" i="9"/>
  <c r="G193" i="9"/>
  <c r="F193" i="9"/>
  <c r="E193" i="9"/>
  <c r="D193" i="9"/>
  <c r="R192" i="9"/>
  <c r="J192" i="9"/>
  <c r="I192" i="9"/>
  <c r="G192" i="9"/>
  <c r="F192" i="9"/>
  <c r="E192" i="9"/>
  <c r="D192" i="9"/>
  <c r="R191" i="9"/>
  <c r="J191" i="9"/>
  <c r="I191" i="9"/>
  <c r="G191" i="9"/>
  <c r="F191" i="9"/>
  <c r="E191" i="9"/>
  <c r="D191" i="9"/>
  <c r="R190" i="9"/>
  <c r="J190" i="9"/>
  <c r="I190" i="9"/>
  <c r="G190" i="9"/>
  <c r="F190" i="9"/>
  <c r="E190" i="9"/>
  <c r="D190" i="9"/>
  <c r="R189" i="9"/>
  <c r="J189" i="9"/>
  <c r="I189" i="9"/>
  <c r="G189" i="9"/>
  <c r="F189" i="9"/>
  <c r="E189" i="9"/>
  <c r="D189" i="9"/>
  <c r="R188" i="9"/>
  <c r="J188" i="9"/>
  <c r="I188" i="9"/>
  <c r="G188" i="9"/>
  <c r="F188" i="9"/>
  <c r="E188" i="9"/>
  <c r="D188" i="9"/>
  <c r="R187" i="9"/>
  <c r="J187" i="9"/>
  <c r="I187" i="9"/>
  <c r="G187" i="9"/>
  <c r="F187" i="9"/>
  <c r="E187" i="9"/>
  <c r="D187" i="9"/>
  <c r="R186" i="9"/>
  <c r="J186" i="9"/>
  <c r="I186" i="9"/>
  <c r="G186" i="9"/>
  <c r="F186" i="9"/>
  <c r="E186" i="9"/>
  <c r="D186" i="9"/>
  <c r="R185" i="9"/>
  <c r="J185" i="9"/>
  <c r="I185" i="9"/>
  <c r="G185" i="9"/>
  <c r="F185" i="9"/>
  <c r="E185" i="9"/>
  <c r="D185" i="9"/>
  <c r="R184" i="9"/>
  <c r="J184" i="9"/>
  <c r="I184" i="9"/>
  <c r="G184" i="9"/>
  <c r="F184" i="9"/>
  <c r="E184" i="9"/>
  <c r="D184" i="9"/>
  <c r="R183" i="9"/>
  <c r="J183" i="9"/>
  <c r="I183" i="9"/>
  <c r="G183" i="9"/>
  <c r="F183" i="9"/>
  <c r="E183" i="9"/>
  <c r="D183" i="9"/>
  <c r="R182" i="9"/>
  <c r="J182" i="9"/>
  <c r="I182" i="9"/>
  <c r="G182" i="9"/>
  <c r="F182" i="9"/>
  <c r="E182" i="9"/>
  <c r="D182" i="9"/>
  <c r="R181" i="9"/>
  <c r="J181" i="9"/>
  <c r="I181" i="9"/>
  <c r="G181" i="9"/>
  <c r="F181" i="9"/>
  <c r="E181" i="9"/>
  <c r="D181" i="9"/>
  <c r="R180" i="9"/>
  <c r="J180" i="9"/>
  <c r="I180" i="9"/>
  <c r="G180" i="9"/>
  <c r="F180" i="9"/>
  <c r="E180" i="9"/>
  <c r="D180" i="9"/>
  <c r="R179" i="9"/>
  <c r="J179" i="9"/>
  <c r="I179" i="9"/>
  <c r="G179" i="9"/>
  <c r="F179" i="9"/>
  <c r="E179" i="9"/>
  <c r="D179" i="9"/>
  <c r="R178" i="9"/>
  <c r="J178" i="9"/>
  <c r="I178" i="9"/>
  <c r="G178" i="9"/>
  <c r="F178" i="9"/>
  <c r="E178" i="9"/>
  <c r="D178" i="9"/>
  <c r="R177" i="9"/>
  <c r="J177" i="9"/>
  <c r="I177" i="9"/>
  <c r="G177" i="9"/>
  <c r="F177" i="9"/>
  <c r="E177" i="9"/>
  <c r="D177" i="9"/>
  <c r="R176" i="9"/>
  <c r="J176" i="9"/>
  <c r="I176" i="9"/>
  <c r="G176" i="9"/>
  <c r="F176" i="9"/>
  <c r="E176" i="9"/>
  <c r="D176" i="9"/>
  <c r="R175" i="9"/>
  <c r="J175" i="9"/>
  <c r="I175" i="9"/>
  <c r="G175" i="9"/>
  <c r="F175" i="9"/>
  <c r="E175" i="9"/>
  <c r="D175" i="9"/>
  <c r="R174" i="9"/>
  <c r="J174" i="9"/>
  <c r="I174" i="9"/>
  <c r="G174" i="9"/>
  <c r="F174" i="9"/>
  <c r="E174" i="9"/>
  <c r="D174" i="9"/>
  <c r="R173" i="9"/>
  <c r="J173" i="9"/>
  <c r="I173" i="9"/>
  <c r="G173" i="9"/>
  <c r="F173" i="9"/>
  <c r="E173" i="9"/>
  <c r="D173" i="9"/>
  <c r="R172" i="9"/>
  <c r="J172" i="9"/>
  <c r="I172" i="9"/>
  <c r="G172" i="9"/>
  <c r="F172" i="9"/>
  <c r="E172" i="9"/>
  <c r="D172" i="9"/>
  <c r="R171" i="9"/>
  <c r="J171" i="9"/>
  <c r="I171" i="9"/>
  <c r="G171" i="9"/>
  <c r="F171" i="9"/>
  <c r="E171" i="9"/>
  <c r="D171" i="9"/>
  <c r="R170" i="9"/>
  <c r="J170" i="9"/>
  <c r="I170" i="9"/>
  <c r="G170" i="9"/>
  <c r="F170" i="9"/>
  <c r="E170" i="9"/>
  <c r="D170" i="9"/>
  <c r="R169" i="9"/>
  <c r="J169" i="9"/>
  <c r="I169" i="9"/>
  <c r="G169" i="9"/>
  <c r="F169" i="9"/>
  <c r="E169" i="9"/>
  <c r="D169" i="9"/>
  <c r="R168" i="9"/>
  <c r="J168" i="9"/>
  <c r="I168" i="9"/>
  <c r="G168" i="9"/>
  <c r="F168" i="9"/>
  <c r="E168" i="9"/>
  <c r="D168" i="9"/>
  <c r="R167" i="9"/>
  <c r="J167" i="9"/>
  <c r="I167" i="9"/>
  <c r="G167" i="9"/>
  <c r="F167" i="9"/>
  <c r="E167" i="9"/>
  <c r="D167" i="9"/>
  <c r="R166" i="9"/>
  <c r="J166" i="9"/>
  <c r="I166" i="9"/>
  <c r="G166" i="9"/>
  <c r="F166" i="9"/>
  <c r="E166" i="9"/>
  <c r="D166" i="9"/>
  <c r="R165" i="9"/>
  <c r="J165" i="9"/>
  <c r="I165" i="9"/>
  <c r="G165" i="9"/>
  <c r="F165" i="9"/>
  <c r="E165" i="9"/>
  <c r="D165" i="9"/>
  <c r="R164" i="9"/>
  <c r="J164" i="9"/>
  <c r="I164" i="9"/>
  <c r="G164" i="9"/>
  <c r="F164" i="9"/>
  <c r="E164" i="9"/>
  <c r="D164" i="9"/>
  <c r="R163" i="9"/>
  <c r="J163" i="9"/>
  <c r="I163" i="9"/>
  <c r="G163" i="9"/>
  <c r="F163" i="9"/>
  <c r="E163" i="9"/>
  <c r="D163" i="9"/>
  <c r="R162" i="9"/>
  <c r="J162" i="9"/>
  <c r="I162" i="9"/>
  <c r="G162" i="9"/>
  <c r="F162" i="9"/>
  <c r="E162" i="9"/>
  <c r="D162" i="9"/>
  <c r="R161" i="9"/>
  <c r="J161" i="9"/>
  <c r="I161" i="9"/>
  <c r="G161" i="9"/>
  <c r="F161" i="9"/>
  <c r="E161" i="9"/>
  <c r="D161" i="9"/>
  <c r="R160" i="9"/>
  <c r="J160" i="9"/>
  <c r="I160" i="9"/>
  <c r="G160" i="9"/>
  <c r="F160" i="9"/>
  <c r="E160" i="9"/>
  <c r="D160" i="9"/>
  <c r="R159" i="9"/>
  <c r="J159" i="9"/>
  <c r="I159" i="9"/>
  <c r="G159" i="9"/>
  <c r="F159" i="9"/>
  <c r="E159" i="9"/>
  <c r="D159" i="9"/>
  <c r="R158" i="9"/>
  <c r="J158" i="9"/>
  <c r="I158" i="9"/>
  <c r="G158" i="9"/>
  <c r="F158" i="9"/>
  <c r="E158" i="9"/>
  <c r="D158" i="9"/>
  <c r="R157" i="9"/>
  <c r="J157" i="9"/>
  <c r="I157" i="9"/>
  <c r="G157" i="9"/>
  <c r="F157" i="9"/>
  <c r="E157" i="9"/>
  <c r="D157" i="9"/>
  <c r="R156" i="9"/>
  <c r="J156" i="9"/>
  <c r="I156" i="9"/>
  <c r="G156" i="9"/>
  <c r="F156" i="9"/>
  <c r="E156" i="9"/>
  <c r="D156" i="9"/>
  <c r="R155" i="9"/>
  <c r="J155" i="9"/>
  <c r="I155" i="9"/>
  <c r="G155" i="9"/>
  <c r="F155" i="9"/>
  <c r="E155" i="9"/>
  <c r="D155" i="9"/>
  <c r="R154" i="9"/>
  <c r="J154" i="9"/>
  <c r="I154" i="9"/>
  <c r="G154" i="9"/>
  <c r="F154" i="9"/>
  <c r="E154" i="9"/>
  <c r="D154" i="9"/>
  <c r="R153" i="9"/>
  <c r="J153" i="9"/>
  <c r="I153" i="9"/>
  <c r="G153" i="9"/>
  <c r="F153" i="9"/>
  <c r="E153" i="9"/>
  <c r="D153" i="9"/>
  <c r="R152" i="9"/>
  <c r="J152" i="9"/>
  <c r="I152" i="9"/>
  <c r="G152" i="9"/>
  <c r="F152" i="9"/>
  <c r="E152" i="9"/>
  <c r="D152" i="9"/>
  <c r="R151" i="9"/>
  <c r="J151" i="9"/>
  <c r="I151" i="9"/>
  <c r="G151" i="9"/>
  <c r="F151" i="9"/>
  <c r="E151" i="9"/>
  <c r="D151" i="9"/>
  <c r="R150" i="9"/>
  <c r="J150" i="9"/>
  <c r="I150" i="9"/>
  <c r="G150" i="9"/>
  <c r="F150" i="9"/>
  <c r="E150" i="9"/>
  <c r="D150" i="9"/>
  <c r="R149" i="9"/>
  <c r="J149" i="9"/>
  <c r="I149" i="9"/>
  <c r="G149" i="9"/>
  <c r="F149" i="9"/>
  <c r="E149" i="9"/>
  <c r="D149" i="9"/>
  <c r="R148" i="9"/>
  <c r="J148" i="9"/>
  <c r="I148" i="9"/>
  <c r="G148" i="9"/>
  <c r="F148" i="9"/>
  <c r="E148" i="9"/>
  <c r="D148" i="9"/>
  <c r="R147" i="9"/>
  <c r="J147" i="9"/>
  <c r="I147" i="9"/>
  <c r="G147" i="9"/>
  <c r="F147" i="9"/>
  <c r="E147" i="9"/>
  <c r="D147" i="9"/>
  <c r="R146" i="9"/>
  <c r="J146" i="9"/>
  <c r="I146" i="9"/>
  <c r="G146" i="9"/>
  <c r="F146" i="9"/>
  <c r="E146" i="9"/>
  <c r="D146" i="9"/>
  <c r="R145" i="9"/>
  <c r="J145" i="9"/>
  <c r="I145" i="9"/>
  <c r="G145" i="9"/>
  <c r="F145" i="9"/>
  <c r="E145" i="9"/>
  <c r="D145" i="9"/>
  <c r="R144" i="9"/>
  <c r="J144" i="9"/>
  <c r="I144" i="9"/>
  <c r="G144" i="9"/>
  <c r="F144" i="9"/>
  <c r="E144" i="9"/>
  <c r="D144" i="9"/>
  <c r="R143" i="9"/>
  <c r="J143" i="9"/>
  <c r="I143" i="9"/>
  <c r="G143" i="9"/>
  <c r="F143" i="9"/>
  <c r="E143" i="9"/>
  <c r="D143" i="9"/>
  <c r="R142" i="9"/>
  <c r="J142" i="9"/>
  <c r="I142" i="9"/>
  <c r="G142" i="9"/>
  <c r="F142" i="9"/>
  <c r="E142" i="9"/>
  <c r="D142" i="9"/>
  <c r="R141" i="9"/>
  <c r="J141" i="9"/>
  <c r="I141" i="9"/>
  <c r="G141" i="9"/>
  <c r="F141" i="9"/>
  <c r="E141" i="9"/>
  <c r="D141" i="9"/>
  <c r="R140" i="9"/>
  <c r="J140" i="9"/>
  <c r="I140" i="9"/>
  <c r="G140" i="9"/>
  <c r="F140" i="9"/>
  <c r="E140" i="9"/>
  <c r="D140" i="9"/>
  <c r="R139" i="9"/>
  <c r="J139" i="9"/>
  <c r="I139" i="9"/>
  <c r="G139" i="9"/>
  <c r="F139" i="9"/>
  <c r="E139" i="9"/>
  <c r="D139" i="9"/>
  <c r="R138" i="9"/>
  <c r="J138" i="9"/>
  <c r="I138" i="9"/>
  <c r="G138" i="9"/>
  <c r="F138" i="9"/>
  <c r="E138" i="9"/>
  <c r="D138" i="9"/>
  <c r="R137" i="9"/>
  <c r="J137" i="9"/>
  <c r="I137" i="9"/>
  <c r="G137" i="9"/>
  <c r="F137" i="9"/>
  <c r="E137" i="9"/>
  <c r="D137" i="9"/>
  <c r="R136" i="9"/>
  <c r="J136" i="9"/>
  <c r="I136" i="9"/>
  <c r="G136" i="9"/>
  <c r="F136" i="9"/>
  <c r="E136" i="9"/>
  <c r="D136" i="9"/>
  <c r="R135" i="9"/>
  <c r="J135" i="9"/>
  <c r="I135" i="9"/>
  <c r="G135" i="9"/>
  <c r="F135" i="9"/>
  <c r="E135" i="9"/>
  <c r="D135" i="9"/>
  <c r="R134" i="9"/>
  <c r="J134" i="9"/>
  <c r="I134" i="9"/>
  <c r="G134" i="9"/>
  <c r="F134" i="9"/>
  <c r="E134" i="9"/>
  <c r="D134" i="9"/>
  <c r="R133" i="9"/>
  <c r="J133" i="9"/>
  <c r="I133" i="9"/>
  <c r="G133" i="9"/>
  <c r="F133" i="9"/>
  <c r="E133" i="9"/>
  <c r="D133" i="9"/>
  <c r="R132" i="9"/>
  <c r="J132" i="9"/>
  <c r="I132" i="9"/>
  <c r="G132" i="9"/>
  <c r="F132" i="9"/>
  <c r="E132" i="9"/>
  <c r="D132" i="9"/>
  <c r="R131" i="9"/>
  <c r="J131" i="9"/>
  <c r="I131" i="9"/>
  <c r="G131" i="9"/>
  <c r="F131" i="9"/>
  <c r="E131" i="9"/>
  <c r="D131" i="9"/>
  <c r="R130" i="9"/>
  <c r="J130" i="9"/>
  <c r="I130" i="9"/>
  <c r="G130" i="9"/>
  <c r="F130" i="9"/>
  <c r="E130" i="9"/>
  <c r="D130" i="9"/>
  <c r="R129" i="9"/>
  <c r="J129" i="9"/>
  <c r="I129" i="9"/>
  <c r="G129" i="9"/>
  <c r="F129" i="9"/>
  <c r="E129" i="9"/>
  <c r="D129" i="9"/>
  <c r="R128" i="9"/>
  <c r="J128" i="9"/>
  <c r="I128" i="9"/>
  <c r="G128" i="9"/>
  <c r="F128" i="9"/>
  <c r="E128" i="9"/>
  <c r="D128" i="9"/>
  <c r="R127" i="9"/>
  <c r="J127" i="9"/>
  <c r="I127" i="9"/>
  <c r="G127" i="9"/>
  <c r="F127" i="9"/>
  <c r="E127" i="9"/>
  <c r="D127" i="9"/>
  <c r="R126" i="9"/>
  <c r="J126" i="9"/>
  <c r="I126" i="9"/>
  <c r="G126" i="9"/>
  <c r="F126" i="9"/>
  <c r="E126" i="9"/>
  <c r="D126" i="9"/>
  <c r="R125" i="9"/>
  <c r="J125" i="9"/>
  <c r="I125" i="9"/>
  <c r="G125" i="9"/>
  <c r="F125" i="9"/>
  <c r="E125" i="9"/>
  <c r="D125" i="9"/>
  <c r="R124" i="9"/>
  <c r="J124" i="9"/>
  <c r="I124" i="9"/>
  <c r="G124" i="9"/>
  <c r="F124" i="9"/>
  <c r="E124" i="9"/>
  <c r="D124" i="9"/>
  <c r="R123" i="9"/>
  <c r="J123" i="9"/>
  <c r="I123" i="9"/>
  <c r="G123" i="9"/>
  <c r="F123" i="9"/>
  <c r="E123" i="9"/>
  <c r="D123" i="9"/>
  <c r="R122" i="9"/>
  <c r="J122" i="9"/>
  <c r="I122" i="9"/>
  <c r="G122" i="9"/>
  <c r="F122" i="9"/>
  <c r="E122" i="9"/>
  <c r="D122" i="9"/>
  <c r="R121" i="9"/>
  <c r="J121" i="9"/>
  <c r="I121" i="9"/>
  <c r="G121" i="9"/>
  <c r="F121" i="9"/>
  <c r="E121" i="9"/>
  <c r="D121" i="9"/>
  <c r="R120" i="9"/>
  <c r="J120" i="9"/>
  <c r="I120" i="9"/>
  <c r="G120" i="9"/>
  <c r="F120" i="9"/>
  <c r="E120" i="9"/>
  <c r="D120" i="9"/>
  <c r="R119" i="9"/>
  <c r="J119" i="9"/>
  <c r="I119" i="9"/>
  <c r="G119" i="9"/>
  <c r="F119" i="9"/>
  <c r="E119" i="9"/>
  <c r="D119" i="9"/>
  <c r="R118" i="9"/>
  <c r="J118" i="9"/>
  <c r="I118" i="9"/>
  <c r="G118" i="9"/>
  <c r="F118" i="9"/>
  <c r="E118" i="9"/>
  <c r="D118" i="9"/>
  <c r="R117" i="9"/>
  <c r="J117" i="9"/>
  <c r="I117" i="9"/>
  <c r="G117" i="9"/>
  <c r="F117" i="9"/>
  <c r="E117" i="9"/>
  <c r="D117" i="9"/>
  <c r="R116" i="9"/>
  <c r="J116" i="9"/>
  <c r="I116" i="9"/>
  <c r="G116" i="9"/>
  <c r="F116" i="9"/>
  <c r="E116" i="9"/>
  <c r="D116" i="9"/>
  <c r="R115" i="9"/>
  <c r="J115" i="9"/>
  <c r="I115" i="9"/>
  <c r="G115" i="9"/>
  <c r="F115" i="9"/>
  <c r="E115" i="9"/>
  <c r="D115" i="9"/>
  <c r="R114" i="9"/>
  <c r="J114" i="9"/>
  <c r="I114" i="9"/>
  <c r="G114" i="9"/>
  <c r="F114" i="9"/>
  <c r="E114" i="9"/>
  <c r="D114" i="9"/>
  <c r="R113" i="9"/>
  <c r="J113" i="9"/>
  <c r="I113" i="9"/>
  <c r="G113" i="9"/>
  <c r="F113" i="9"/>
  <c r="E113" i="9"/>
  <c r="D113" i="9"/>
  <c r="R112" i="9"/>
  <c r="J112" i="9"/>
  <c r="I112" i="9"/>
  <c r="G112" i="9"/>
  <c r="F112" i="9"/>
  <c r="E112" i="9"/>
  <c r="D112" i="9"/>
  <c r="R111" i="9"/>
  <c r="J111" i="9"/>
  <c r="I111" i="9"/>
  <c r="G111" i="9"/>
  <c r="F111" i="9"/>
  <c r="E111" i="9"/>
  <c r="D111" i="9"/>
  <c r="R110" i="9"/>
  <c r="J110" i="9"/>
  <c r="I110" i="9"/>
  <c r="G110" i="9"/>
  <c r="F110" i="9"/>
  <c r="E110" i="9"/>
  <c r="D110" i="9"/>
  <c r="R109" i="9"/>
  <c r="J109" i="9"/>
  <c r="I109" i="9"/>
  <c r="G109" i="9"/>
  <c r="F109" i="9"/>
  <c r="E109" i="9"/>
  <c r="D109" i="9"/>
  <c r="R108" i="9"/>
  <c r="J108" i="9"/>
  <c r="I108" i="9"/>
  <c r="G108" i="9"/>
  <c r="F108" i="9"/>
  <c r="E108" i="9"/>
  <c r="D108" i="9"/>
  <c r="R107" i="9"/>
  <c r="J107" i="9"/>
  <c r="I107" i="9"/>
  <c r="G107" i="9"/>
  <c r="F107" i="9"/>
  <c r="E107" i="9"/>
  <c r="D107" i="9"/>
  <c r="R106" i="9"/>
  <c r="J106" i="9"/>
  <c r="I106" i="9"/>
  <c r="G106" i="9"/>
  <c r="F106" i="9"/>
  <c r="E106" i="9"/>
  <c r="D106" i="9"/>
  <c r="R105" i="9"/>
  <c r="J105" i="9"/>
  <c r="I105" i="9"/>
  <c r="G105" i="9"/>
  <c r="F105" i="9"/>
  <c r="E105" i="9"/>
  <c r="D105" i="9"/>
  <c r="R104" i="9"/>
  <c r="J104" i="9"/>
  <c r="I104" i="9"/>
  <c r="G104" i="9"/>
  <c r="F104" i="9"/>
  <c r="E104" i="9"/>
  <c r="D104" i="9"/>
  <c r="R103" i="9"/>
  <c r="J103" i="9"/>
  <c r="I103" i="9"/>
  <c r="G103" i="9"/>
  <c r="F103" i="9"/>
  <c r="E103" i="9"/>
  <c r="D103" i="9"/>
  <c r="R102" i="9"/>
  <c r="J102" i="9"/>
  <c r="I102" i="9"/>
  <c r="G102" i="9"/>
  <c r="F102" i="9"/>
  <c r="E102" i="9"/>
  <c r="D102" i="9"/>
  <c r="R101" i="9"/>
  <c r="J101" i="9"/>
  <c r="I101" i="9"/>
  <c r="G101" i="9"/>
  <c r="F101" i="9"/>
  <c r="E101" i="9"/>
  <c r="D101" i="9"/>
  <c r="R100" i="9"/>
  <c r="J100" i="9"/>
  <c r="I100" i="9"/>
  <c r="G100" i="9"/>
  <c r="F100" i="9"/>
  <c r="E100" i="9"/>
  <c r="D100" i="9"/>
  <c r="R99" i="9"/>
  <c r="J99" i="9"/>
  <c r="I99" i="9"/>
  <c r="G99" i="9"/>
  <c r="F99" i="9"/>
  <c r="E99" i="9"/>
  <c r="D99" i="9"/>
  <c r="R98" i="9"/>
  <c r="J98" i="9"/>
  <c r="I98" i="9"/>
  <c r="G98" i="9"/>
  <c r="F98" i="9"/>
  <c r="E98" i="9"/>
  <c r="D98" i="9"/>
  <c r="R97" i="9"/>
  <c r="J97" i="9"/>
  <c r="I97" i="9"/>
  <c r="G97" i="9"/>
  <c r="F97" i="9"/>
  <c r="E97" i="9"/>
  <c r="D97" i="9"/>
  <c r="R96" i="9"/>
  <c r="J96" i="9"/>
  <c r="I96" i="9"/>
  <c r="G96" i="9"/>
  <c r="F96" i="9"/>
  <c r="E96" i="9"/>
  <c r="D96" i="9"/>
  <c r="R95" i="9"/>
  <c r="J95" i="9"/>
  <c r="I95" i="9"/>
  <c r="G95" i="9"/>
  <c r="F95" i="9"/>
  <c r="E95" i="9"/>
  <c r="D95" i="9"/>
  <c r="R94" i="9"/>
  <c r="J94" i="9"/>
  <c r="I94" i="9"/>
  <c r="G94" i="9"/>
  <c r="F94" i="9"/>
  <c r="E94" i="9"/>
  <c r="D94" i="9"/>
  <c r="R93" i="9"/>
  <c r="J93" i="9"/>
  <c r="I93" i="9"/>
  <c r="G93" i="9"/>
  <c r="F93" i="9"/>
  <c r="E93" i="9"/>
  <c r="D93" i="9"/>
  <c r="R92" i="9"/>
  <c r="J92" i="9"/>
  <c r="I92" i="9"/>
  <c r="G92" i="9"/>
  <c r="F92" i="9"/>
  <c r="E92" i="9"/>
  <c r="D92" i="9"/>
  <c r="R91" i="9"/>
  <c r="J91" i="9"/>
  <c r="I91" i="9"/>
  <c r="G91" i="9"/>
  <c r="F91" i="9"/>
  <c r="E91" i="9"/>
  <c r="D91" i="9"/>
  <c r="R90" i="9"/>
  <c r="J90" i="9"/>
  <c r="I90" i="9"/>
  <c r="G90" i="9"/>
  <c r="F90" i="9"/>
  <c r="E90" i="9"/>
  <c r="D90" i="9"/>
  <c r="R89" i="9"/>
  <c r="J89" i="9"/>
  <c r="I89" i="9"/>
  <c r="G89" i="9"/>
  <c r="F89" i="9"/>
  <c r="E89" i="9"/>
  <c r="D89" i="9"/>
  <c r="R88" i="9"/>
  <c r="J88" i="9"/>
  <c r="I88" i="9"/>
  <c r="G88" i="9"/>
  <c r="F88" i="9"/>
  <c r="E88" i="9"/>
  <c r="D88" i="9"/>
  <c r="R87" i="9"/>
  <c r="J87" i="9"/>
  <c r="I87" i="9"/>
  <c r="G87" i="9"/>
  <c r="F87" i="9"/>
  <c r="E87" i="9"/>
  <c r="D87" i="9"/>
  <c r="R86" i="9"/>
  <c r="J86" i="9"/>
  <c r="I86" i="9"/>
  <c r="G86" i="9"/>
  <c r="F86" i="9"/>
  <c r="E86" i="9"/>
  <c r="D86" i="9"/>
  <c r="R85" i="9"/>
  <c r="J85" i="9"/>
  <c r="I85" i="9"/>
  <c r="G85" i="9"/>
  <c r="F85" i="9"/>
  <c r="E85" i="9"/>
  <c r="D85" i="9"/>
  <c r="R84" i="9"/>
  <c r="J84" i="9"/>
  <c r="I84" i="9"/>
  <c r="G84" i="9"/>
  <c r="F84" i="9"/>
  <c r="E84" i="9"/>
  <c r="D84" i="9"/>
  <c r="R83" i="9"/>
  <c r="J83" i="9"/>
  <c r="I83" i="9"/>
  <c r="G83" i="9"/>
  <c r="F83" i="9"/>
  <c r="E83" i="9"/>
  <c r="D83" i="9"/>
  <c r="R82" i="9"/>
  <c r="J82" i="9"/>
  <c r="I82" i="9"/>
  <c r="G82" i="9"/>
  <c r="F82" i="9"/>
  <c r="E82" i="9"/>
  <c r="D82" i="9"/>
  <c r="R81" i="9"/>
  <c r="J81" i="9"/>
  <c r="I81" i="9"/>
  <c r="G81" i="9"/>
  <c r="F81" i="9"/>
  <c r="E81" i="9"/>
  <c r="D81" i="9"/>
  <c r="R80" i="9"/>
  <c r="J80" i="9"/>
  <c r="I80" i="9"/>
  <c r="G80" i="9"/>
  <c r="F80" i="9"/>
  <c r="E80" i="9"/>
  <c r="D80" i="9"/>
  <c r="R79" i="9"/>
  <c r="J79" i="9"/>
  <c r="I79" i="9"/>
  <c r="G79" i="9"/>
  <c r="F79" i="9"/>
  <c r="E79" i="9"/>
  <c r="D79" i="9"/>
  <c r="R78" i="9"/>
  <c r="J78" i="9"/>
  <c r="I78" i="9"/>
  <c r="G78" i="9"/>
  <c r="F78" i="9"/>
  <c r="E78" i="9"/>
  <c r="D78" i="9"/>
  <c r="R77" i="9"/>
  <c r="J77" i="9"/>
  <c r="I77" i="9"/>
  <c r="G77" i="9"/>
  <c r="F77" i="9"/>
  <c r="E77" i="9"/>
  <c r="D77" i="9"/>
  <c r="R76" i="9"/>
  <c r="J76" i="9"/>
  <c r="I76" i="9"/>
  <c r="G76" i="9"/>
  <c r="F76" i="9"/>
  <c r="E76" i="9"/>
  <c r="D76" i="9"/>
  <c r="R75" i="9"/>
  <c r="J75" i="9"/>
  <c r="I75" i="9"/>
  <c r="G75" i="9"/>
  <c r="F75" i="9"/>
  <c r="E75" i="9"/>
  <c r="D75" i="9"/>
  <c r="R74" i="9"/>
  <c r="J74" i="9"/>
  <c r="I74" i="9"/>
  <c r="G74" i="9"/>
  <c r="F74" i="9"/>
  <c r="E74" i="9"/>
  <c r="D74" i="9"/>
  <c r="R73" i="9"/>
  <c r="J73" i="9"/>
  <c r="I73" i="9"/>
  <c r="G73" i="9"/>
  <c r="F73" i="9"/>
  <c r="E73" i="9"/>
  <c r="D73" i="9"/>
  <c r="R72" i="9"/>
  <c r="J72" i="9"/>
  <c r="I72" i="9"/>
  <c r="G72" i="9"/>
  <c r="F72" i="9"/>
  <c r="E72" i="9"/>
  <c r="D72" i="9"/>
  <c r="R71" i="9"/>
  <c r="J71" i="9"/>
  <c r="I71" i="9"/>
  <c r="G71" i="9"/>
  <c r="F71" i="9"/>
  <c r="E71" i="9"/>
  <c r="D71" i="9"/>
  <c r="R70" i="9"/>
  <c r="J70" i="9"/>
  <c r="I70" i="9"/>
  <c r="G70" i="9"/>
  <c r="F70" i="9"/>
  <c r="E70" i="9"/>
  <c r="D70" i="9"/>
  <c r="R69" i="9"/>
  <c r="J69" i="9"/>
  <c r="I69" i="9"/>
  <c r="G69" i="9"/>
  <c r="F69" i="9"/>
  <c r="E69" i="9"/>
  <c r="D69" i="9"/>
  <c r="R68" i="9"/>
  <c r="J68" i="9"/>
  <c r="I68" i="9"/>
  <c r="G68" i="9"/>
  <c r="F68" i="9"/>
  <c r="E68" i="9"/>
  <c r="D68" i="9"/>
  <c r="R67" i="9"/>
  <c r="J67" i="9"/>
  <c r="I67" i="9"/>
  <c r="G67" i="9"/>
  <c r="F67" i="9"/>
  <c r="E67" i="9"/>
  <c r="D67" i="9"/>
  <c r="R66" i="9"/>
  <c r="J66" i="9"/>
  <c r="I66" i="9"/>
  <c r="G66" i="9"/>
  <c r="F66" i="9"/>
  <c r="E66" i="9"/>
  <c r="D66" i="9"/>
  <c r="R65" i="9"/>
  <c r="J65" i="9"/>
  <c r="I65" i="9"/>
  <c r="G65" i="9"/>
  <c r="F65" i="9"/>
  <c r="E65" i="9"/>
  <c r="D65" i="9"/>
  <c r="R64" i="9"/>
  <c r="J64" i="9"/>
  <c r="I64" i="9"/>
  <c r="G64" i="9"/>
  <c r="F64" i="9"/>
  <c r="E64" i="9"/>
  <c r="D64" i="9"/>
  <c r="R63" i="9"/>
  <c r="J63" i="9"/>
  <c r="I63" i="9"/>
  <c r="G63" i="9"/>
  <c r="F63" i="9"/>
  <c r="E63" i="9"/>
  <c r="D63" i="9"/>
  <c r="R62" i="9"/>
  <c r="J62" i="9"/>
  <c r="I62" i="9"/>
  <c r="G62" i="9"/>
  <c r="F62" i="9"/>
  <c r="E62" i="9"/>
  <c r="D62" i="9"/>
  <c r="R61" i="9"/>
  <c r="J61" i="9"/>
  <c r="I61" i="9"/>
  <c r="G61" i="9"/>
  <c r="F61" i="9"/>
  <c r="E61" i="9"/>
  <c r="D61" i="9"/>
  <c r="R60" i="9"/>
  <c r="J60" i="9"/>
  <c r="I60" i="9"/>
  <c r="G60" i="9"/>
  <c r="F60" i="9"/>
  <c r="E60" i="9"/>
  <c r="D60" i="9"/>
  <c r="R59" i="9"/>
  <c r="J59" i="9"/>
  <c r="I59" i="9"/>
  <c r="G59" i="9"/>
  <c r="F59" i="9"/>
  <c r="E59" i="9"/>
  <c r="D59" i="9"/>
  <c r="R58" i="9"/>
  <c r="J58" i="9"/>
  <c r="I58" i="9"/>
  <c r="G58" i="9"/>
  <c r="F58" i="9"/>
  <c r="E58" i="9"/>
  <c r="D58" i="9"/>
  <c r="R57" i="9"/>
  <c r="J57" i="9"/>
  <c r="I57" i="9"/>
  <c r="G57" i="9"/>
  <c r="F57" i="9"/>
  <c r="E57" i="9"/>
  <c r="D57" i="9"/>
  <c r="R56" i="9"/>
  <c r="J56" i="9"/>
  <c r="I56" i="9"/>
  <c r="G56" i="9"/>
  <c r="F56" i="9"/>
  <c r="E56" i="9"/>
  <c r="D56" i="9"/>
  <c r="R55" i="9"/>
  <c r="J55" i="9"/>
  <c r="I55" i="9"/>
  <c r="G55" i="9"/>
  <c r="F55" i="9"/>
  <c r="E55" i="9"/>
  <c r="D55" i="9"/>
  <c r="R54" i="9"/>
  <c r="J54" i="9"/>
  <c r="I54" i="9"/>
  <c r="G54" i="9"/>
  <c r="F54" i="9"/>
  <c r="E54" i="9"/>
  <c r="D54" i="9"/>
  <c r="R53" i="9"/>
  <c r="J53" i="9"/>
  <c r="I53" i="9"/>
  <c r="G53" i="9"/>
  <c r="F53" i="9"/>
  <c r="E53" i="9"/>
  <c r="D53" i="9"/>
  <c r="R52" i="9"/>
  <c r="J52" i="9"/>
  <c r="I52" i="9"/>
  <c r="G52" i="9"/>
  <c r="F52" i="9"/>
  <c r="E52" i="9"/>
  <c r="D52" i="9"/>
  <c r="R51" i="9"/>
  <c r="J51" i="9"/>
  <c r="I51" i="9"/>
  <c r="G51" i="9"/>
  <c r="F51" i="9"/>
  <c r="E51" i="9"/>
  <c r="D51" i="9"/>
  <c r="R50" i="9"/>
  <c r="J50" i="9"/>
  <c r="I50" i="9"/>
  <c r="G50" i="9"/>
  <c r="F50" i="9"/>
  <c r="E50" i="9"/>
  <c r="D50" i="9"/>
  <c r="R49" i="9"/>
  <c r="J49" i="9"/>
  <c r="I49" i="9"/>
  <c r="G49" i="9"/>
  <c r="F49" i="9"/>
  <c r="E49" i="9"/>
  <c r="D49" i="9"/>
  <c r="R48" i="9"/>
  <c r="J48" i="9"/>
  <c r="I48" i="9"/>
  <c r="G48" i="9"/>
  <c r="F48" i="9"/>
  <c r="E48" i="9"/>
  <c r="D48" i="9"/>
  <c r="R47" i="9"/>
  <c r="J47" i="9"/>
  <c r="I47" i="9"/>
  <c r="G47" i="9"/>
  <c r="F47" i="9"/>
  <c r="E47" i="9"/>
  <c r="D47" i="9"/>
  <c r="R46" i="9"/>
  <c r="J46" i="9"/>
  <c r="I46" i="9"/>
  <c r="G46" i="9"/>
  <c r="F46" i="9"/>
  <c r="E46" i="9"/>
  <c r="D46" i="9"/>
  <c r="R45" i="9"/>
  <c r="J45" i="9"/>
  <c r="I45" i="9"/>
  <c r="G45" i="9"/>
  <c r="F45" i="9"/>
  <c r="E45" i="9"/>
  <c r="D45" i="9"/>
  <c r="R44" i="9"/>
  <c r="J44" i="9"/>
  <c r="I44" i="9"/>
  <c r="G44" i="9"/>
  <c r="F44" i="9"/>
  <c r="E44" i="9"/>
  <c r="D44" i="9"/>
  <c r="R43" i="9"/>
  <c r="J43" i="9"/>
  <c r="I43" i="9"/>
  <c r="G43" i="9"/>
  <c r="F43" i="9"/>
  <c r="E43" i="9"/>
  <c r="D43" i="9"/>
  <c r="R42" i="9"/>
  <c r="J42" i="9"/>
  <c r="I42" i="9"/>
  <c r="G42" i="9"/>
  <c r="F42" i="9"/>
  <c r="E42" i="9"/>
  <c r="D42" i="9"/>
  <c r="R41" i="9"/>
  <c r="J41" i="9"/>
  <c r="I41" i="9"/>
  <c r="G41" i="9"/>
  <c r="F41" i="9"/>
  <c r="E41" i="9"/>
  <c r="D41" i="9"/>
  <c r="R40" i="9"/>
  <c r="J40" i="9"/>
  <c r="I40" i="9"/>
  <c r="G40" i="9"/>
  <c r="F40" i="9"/>
  <c r="E40" i="9"/>
  <c r="D40" i="9"/>
  <c r="R39" i="9"/>
  <c r="J39" i="9"/>
  <c r="I39" i="9"/>
  <c r="G39" i="9"/>
  <c r="F39" i="9"/>
  <c r="E39" i="9"/>
  <c r="D39" i="9"/>
  <c r="R38" i="9"/>
  <c r="J38" i="9"/>
  <c r="I38" i="9"/>
  <c r="G38" i="9"/>
  <c r="F38" i="9"/>
  <c r="E38" i="9"/>
  <c r="D38" i="9"/>
  <c r="R37" i="9"/>
  <c r="J37" i="9"/>
  <c r="I37" i="9"/>
  <c r="G37" i="9"/>
  <c r="F37" i="9"/>
  <c r="E37" i="9"/>
  <c r="D37" i="9"/>
  <c r="R36" i="9"/>
  <c r="J36" i="9"/>
  <c r="I36" i="9"/>
  <c r="G36" i="9"/>
  <c r="F36" i="9"/>
  <c r="E36" i="9"/>
  <c r="D36" i="9"/>
  <c r="R35" i="9"/>
  <c r="J35" i="9"/>
  <c r="I35" i="9"/>
  <c r="G35" i="9"/>
  <c r="F35" i="9"/>
  <c r="E35" i="9"/>
  <c r="D35" i="9"/>
  <c r="R34" i="9"/>
  <c r="J34" i="9"/>
  <c r="I34" i="9"/>
  <c r="G34" i="9"/>
  <c r="F34" i="9"/>
  <c r="E34" i="9"/>
  <c r="D34" i="9"/>
  <c r="R33" i="9"/>
  <c r="J33" i="9"/>
  <c r="I33" i="9"/>
  <c r="G33" i="9"/>
  <c r="F33" i="9"/>
  <c r="E33" i="9"/>
  <c r="D33" i="9"/>
  <c r="R32" i="9"/>
  <c r="J32" i="9"/>
  <c r="I32" i="9"/>
  <c r="G32" i="9"/>
  <c r="F32" i="9"/>
  <c r="E32" i="9"/>
  <c r="D32" i="9"/>
  <c r="R31" i="9"/>
  <c r="J31" i="9"/>
  <c r="I31" i="9"/>
  <c r="G31" i="9"/>
  <c r="F31" i="9"/>
  <c r="E31" i="9"/>
  <c r="D31" i="9"/>
  <c r="R30" i="9"/>
  <c r="J30" i="9"/>
  <c r="I30" i="9"/>
  <c r="G30" i="9"/>
  <c r="F30" i="9"/>
  <c r="E30" i="9"/>
  <c r="D30" i="9"/>
  <c r="R29" i="9"/>
  <c r="J29" i="9"/>
  <c r="I29" i="9"/>
  <c r="G29" i="9"/>
  <c r="F29" i="9"/>
  <c r="E29" i="9"/>
  <c r="D29" i="9"/>
  <c r="R28" i="9"/>
  <c r="J28" i="9"/>
  <c r="I28" i="9"/>
  <c r="G28" i="9"/>
  <c r="F28" i="9"/>
  <c r="E28" i="9"/>
  <c r="D28" i="9"/>
  <c r="R27" i="9"/>
  <c r="J27" i="9"/>
  <c r="I27" i="9"/>
  <c r="G27" i="9"/>
  <c r="F27" i="9"/>
  <c r="E27" i="9"/>
  <c r="D27" i="9"/>
  <c r="R26" i="9"/>
  <c r="J26" i="9"/>
  <c r="I26" i="9"/>
  <c r="G26" i="9"/>
  <c r="F26" i="9"/>
  <c r="E26" i="9"/>
  <c r="D26" i="9"/>
  <c r="R25" i="9"/>
  <c r="J25" i="9"/>
  <c r="I25" i="9"/>
  <c r="G25" i="9"/>
  <c r="F25" i="9"/>
  <c r="E25" i="9"/>
  <c r="D25" i="9"/>
  <c r="R24" i="9"/>
  <c r="J24" i="9"/>
  <c r="I24" i="9"/>
  <c r="G24" i="9"/>
  <c r="F24" i="9"/>
  <c r="E24" i="9"/>
  <c r="D24" i="9"/>
  <c r="R23" i="9"/>
  <c r="J23" i="9"/>
  <c r="I23" i="9"/>
  <c r="G23" i="9"/>
  <c r="F23" i="9"/>
  <c r="E23" i="9"/>
  <c r="D23" i="9"/>
  <c r="R22" i="9"/>
  <c r="J22" i="9"/>
  <c r="I22" i="9"/>
  <c r="G22" i="9"/>
  <c r="F22" i="9"/>
  <c r="E22" i="9"/>
  <c r="D22" i="9"/>
  <c r="R21" i="9"/>
  <c r="J21" i="9"/>
  <c r="I21" i="9"/>
  <c r="G21" i="9"/>
  <c r="F21" i="9"/>
  <c r="E21" i="9"/>
  <c r="D21" i="9"/>
  <c r="R20" i="9"/>
  <c r="J20" i="9"/>
  <c r="I20" i="9"/>
  <c r="G20" i="9"/>
  <c r="F20" i="9"/>
  <c r="E20" i="9"/>
  <c r="D20" i="9"/>
  <c r="R19" i="9"/>
  <c r="J19" i="9"/>
  <c r="I19" i="9"/>
  <c r="G19" i="9"/>
  <c r="F19" i="9"/>
  <c r="E19" i="9"/>
  <c r="D19" i="9"/>
  <c r="R18" i="9"/>
  <c r="J18" i="9"/>
  <c r="I18" i="9"/>
  <c r="G18" i="9"/>
  <c r="F18" i="9"/>
  <c r="E18" i="9"/>
  <c r="D18" i="9"/>
  <c r="R17" i="9"/>
  <c r="J17" i="9"/>
  <c r="I17" i="9"/>
  <c r="G17" i="9"/>
  <c r="F17" i="9"/>
  <c r="E17" i="9"/>
  <c r="D17" i="9"/>
  <c r="R16" i="9"/>
  <c r="J16" i="9"/>
  <c r="I16" i="9"/>
  <c r="G16" i="9"/>
  <c r="F16" i="9"/>
  <c r="E16" i="9"/>
  <c r="D16" i="9"/>
  <c r="R15" i="9"/>
  <c r="J15" i="9"/>
  <c r="I15" i="9"/>
  <c r="G15" i="9"/>
  <c r="F15" i="9"/>
  <c r="E15" i="9"/>
  <c r="D15" i="9"/>
  <c r="R14" i="9"/>
  <c r="J14" i="9"/>
  <c r="I14" i="9"/>
  <c r="G14" i="9"/>
  <c r="F14" i="9"/>
  <c r="E14" i="9"/>
  <c r="D14" i="9"/>
  <c r="R13" i="9"/>
  <c r="J13" i="9"/>
  <c r="I13" i="9"/>
  <c r="G13" i="9"/>
  <c r="F13" i="9"/>
  <c r="E13" i="9"/>
  <c r="D13" i="9"/>
  <c r="R12" i="9"/>
  <c r="J12" i="9"/>
  <c r="I12" i="9"/>
  <c r="G12" i="9"/>
  <c r="F12" i="9"/>
  <c r="E12" i="9"/>
  <c r="D12" i="9"/>
  <c r="R11" i="9"/>
  <c r="J11" i="9"/>
  <c r="I11" i="9"/>
  <c r="G11" i="9"/>
  <c r="F11" i="9"/>
  <c r="E11" i="9"/>
  <c r="D11" i="9"/>
  <c r="R10" i="9"/>
  <c r="J10" i="9"/>
  <c r="I10" i="9"/>
  <c r="G10" i="9"/>
  <c r="F10" i="9"/>
  <c r="E10" i="9"/>
  <c r="D10" i="9"/>
  <c r="R9" i="9"/>
  <c r="J9" i="9"/>
  <c r="I9" i="9"/>
  <c r="G9" i="9"/>
  <c r="F9" i="9"/>
  <c r="E9" i="9"/>
  <c r="D9" i="9"/>
  <c r="R8" i="9"/>
  <c r="J8" i="9"/>
  <c r="I8" i="9"/>
  <c r="G8" i="9"/>
  <c r="F8" i="9"/>
  <c r="E8" i="9"/>
  <c r="D8" i="9"/>
  <c r="R7" i="9"/>
  <c r="J7" i="9"/>
  <c r="I7" i="9"/>
  <c r="G7" i="9"/>
  <c r="F7" i="9"/>
  <c r="E7" i="9"/>
  <c r="D7" i="9"/>
  <c r="R6" i="9"/>
  <c r="J6" i="9"/>
  <c r="I6" i="9"/>
  <c r="G6" i="9"/>
  <c r="F6" i="9"/>
  <c r="E6" i="9"/>
  <c r="D6" i="9"/>
  <c r="R250" i="11"/>
  <c r="J250" i="11"/>
  <c r="I250" i="11"/>
  <c r="G250" i="11"/>
  <c r="F250" i="11"/>
  <c r="E250" i="11"/>
  <c r="D250" i="11"/>
  <c r="R249" i="11"/>
  <c r="J249" i="11"/>
  <c r="I249" i="11"/>
  <c r="G249" i="11"/>
  <c r="F249" i="11"/>
  <c r="E249" i="11"/>
  <c r="D249" i="11"/>
  <c r="R248" i="11"/>
  <c r="J248" i="11"/>
  <c r="I248" i="11"/>
  <c r="G248" i="11"/>
  <c r="F248" i="11"/>
  <c r="E248" i="11"/>
  <c r="D248" i="11"/>
  <c r="R247" i="11"/>
  <c r="J247" i="11"/>
  <c r="I247" i="11"/>
  <c r="G247" i="11"/>
  <c r="F247" i="11"/>
  <c r="E247" i="11"/>
  <c r="D247" i="11"/>
  <c r="R246" i="11"/>
  <c r="J246" i="11"/>
  <c r="I246" i="11"/>
  <c r="G246" i="11"/>
  <c r="F246" i="11"/>
  <c r="E246" i="11"/>
  <c r="D246" i="11"/>
  <c r="R245" i="11"/>
  <c r="J245" i="11"/>
  <c r="I245" i="11"/>
  <c r="G245" i="11"/>
  <c r="F245" i="11"/>
  <c r="E245" i="11"/>
  <c r="D245" i="11"/>
  <c r="R244" i="11"/>
  <c r="J244" i="11"/>
  <c r="I244" i="11"/>
  <c r="G244" i="11"/>
  <c r="F244" i="11"/>
  <c r="E244" i="11"/>
  <c r="D244" i="11"/>
  <c r="R243" i="11"/>
  <c r="J243" i="11"/>
  <c r="I243" i="11"/>
  <c r="G243" i="11"/>
  <c r="F243" i="11"/>
  <c r="E243" i="11"/>
  <c r="D243" i="11"/>
  <c r="R242" i="11"/>
  <c r="J242" i="11"/>
  <c r="I242" i="11"/>
  <c r="G242" i="11"/>
  <c r="F242" i="11"/>
  <c r="E242" i="11"/>
  <c r="D242" i="11"/>
  <c r="R241" i="11"/>
  <c r="J241" i="11"/>
  <c r="I241" i="11"/>
  <c r="G241" i="11"/>
  <c r="F241" i="11"/>
  <c r="E241" i="11"/>
  <c r="D241" i="11"/>
  <c r="R240" i="11"/>
  <c r="J240" i="11"/>
  <c r="I240" i="11"/>
  <c r="G240" i="11"/>
  <c r="F240" i="11"/>
  <c r="E240" i="11"/>
  <c r="D240" i="11"/>
  <c r="R239" i="11"/>
  <c r="J239" i="11"/>
  <c r="I239" i="11"/>
  <c r="G239" i="11"/>
  <c r="F239" i="11"/>
  <c r="E239" i="11"/>
  <c r="D239" i="11"/>
  <c r="R238" i="11"/>
  <c r="J238" i="11"/>
  <c r="I238" i="11"/>
  <c r="G238" i="11"/>
  <c r="F238" i="11"/>
  <c r="E238" i="11"/>
  <c r="D238" i="11"/>
  <c r="R237" i="11"/>
  <c r="J237" i="11"/>
  <c r="I237" i="11"/>
  <c r="G237" i="11"/>
  <c r="F237" i="11"/>
  <c r="E237" i="11"/>
  <c r="D237" i="11"/>
  <c r="R236" i="11"/>
  <c r="J236" i="11"/>
  <c r="I236" i="11"/>
  <c r="G236" i="11"/>
  <c r="F236" i="11"/>
  <c r="E236" i="11"/>
  <c r="D236" i="11"/>
  <c r="R235" i="11"/>
  <c r="J235" i="11"/>
  <c r="I235" i="11"/>
  <c r="G235" i="11"/>
  <c r="F235" i="11"/>
  <c r="E235" i="11"/>
  <c r="D235" i="11"/>
  <c r="R234" i="11"/>
  <c r="J234" i="11"/>
  <c r="I234" i="11"/>
  <c r="G234" i="11"/>
  <c r="F234" i="11"/>
  <c r="E234" i="11"/>
  <c r="D234" i="11"/>
  <c r="R233" i="11"/>
  <c r="J233" i="11"/>
  <c r="I233" i="11"/>
  <c r="G233" i="11"/>
  <c r="F233" i="11"/>
  <c r="E233" i="11"/>
  <c r="D233" i="11"/>
  <c r="R232" i="11"/>
  <c r="J232" i="11"/>
  <c r="I232" i="11"/>
  <c r="G232" i="11"/>
  <c r="F232" i="11"/>
  <c r="E232" i="11"/>
  <c r="D232" i="11"/>
  <c r="R231" i="11"/>
  <c r="J231" i="11"/>
  <c r="I231" i="11"/>
  <c r="G231" i="11"/>
  <c r="F231" i="11"/>
  <c r="E231" i="11"/>
  <c r="D231" i="11"/>
  <c r="R230" i="11"/>
  <c r="J230" i="11"/>
  <c r="I230" i="11"/>
  <c r="G230" i="11"/>
  <c r="F230" i="11"/>
  <c r="E230" i="11"/>
  <c r="D230" i="11"/>
  <c r="R229" i="11"/>
  <c r="J229" i="11"/>
  <c r="I229" i="11"/>
  <c r="G229" i="11"/>
  <c r="F229" i="11"/>
  <c r="E229" i="11"/>
  <c r="D229" i="11"/>
  <c r="R228" i="11"/>
  <c r="J228" i="11"/>
  <c r="I228" i="11"/>
  <c r="G228" i="11"/>
  <c r="F228" i="11"/>
  <c r="E228" i="11"/>
  <c r="D228" i="11"/>
  <c r="R227" i="11"/>
  <c r="J227" i="11"/>
  <c r="I227" i="11"/>
  <c r="G227" i="11"/>
  <c r="F227" i="11"/>
  <c r="E227" i="11"/>
  <c r="D227" i="11"/>
  <c r="R226" i="11"/>
  <c r="J226" i="11"/>
  <c r="I226" i="11"/>
  <c r="G226" i="11"/>
  <c r="F226" i="11"/>
  <c r="E226" i="11"/>
  <c r="D226" i="11"/>
  <c r="R225" i="11"/>
  <c r="J225" i="11"/>
  <c r="I225" i="11"/>
  <c r="G225" i="11"/>
  <c r="F225" i="11"/>
  <c r="E225" i="11"/>
  <c r="D225" i="11"/>
  <c r="R224" i="11"/>
  <c r="J224" i="11"/>
  <c r="I224" i="11"/>
  <c r="G224" i="11"/>
  <c r="F224" i="11"/>
  <c r="E224" i="11"/>
  <c r="D224" i="11"/>
  <c r="R223" i="11"/>
  <c r="J223" i="11"/>
  <c r="I223" i="11"/>
  <c r="G223" i="11"/>
  <c r="F223" i="11"/>
  <c r="E223" i="11"/>
  <c r="D223" i="11"/>
  <c r="R222" i="11"/>
  <c r="J222" i="11"/>
  <c r="I222" i="11"/>
  <c r="G222" i="11"/>
  <c r="F222" i="11"/>
  <c r="E222" i="11"/>
  <c r="D222" i="11"/>
  <c r="R221" i="11"/>
  <c r="J221" i="11"/>
  <c r="I221" i="11"/>
  <c r="G221" i="11"/>
  <c r="F221" i="11"/>
  <c r="E221" i="11"/>
  <c r="D221" i="11"/>
  <c r="R220" i="11"/>
  <c r="J220" i="11"/>
  <c r="I220" i="11"/>
  <c r="G220" i="11"/>
  <c r="F220" i="11"/>
  <c r="E220" i="11"/>
  <c r="D220" i="11"/>
  <c r="R219" i="11"/>
  <c r="J219" i="11"/>
  <c r="I219" i="11"/>
  <c r="G219" i="11"/>
  <c r="F219" i="11"/>
  <c r="E219" i="11"/>
  <c r="D219" i="11"/>
  <c r="R218" i="11"/>
  <c r="J218" i="11"/>
  <c r="I218" i="11"/>
  <c r="G218" i="11"/>
  <c r="F218" i="11"/>
  <c r="E218" i="11"/>
  <c r="D218" i="11"/>
  <c r="R217" i="11"/>
  <c r="J217" i="11"/>
  <c r="I217" i="11"/>
  <c r="G217" i="11"/>
  <c r="F217" i="11"/>
  <c r="E217" i="11"/>
  <c r="D217" i="11"/>
  <c r="R216" i="11"/>
  <c r="J216" i="11"/>
  <c r="I216" i="11"/>
  <c r="G216" i="11"/>
  <c r="F216" i="11"/>
  <c r="E216" i="11"/>
  <c r="D216" i="11"/>
  <c r="R215" i="11"/>
  <c r="J215" i="11"/>
  <c r="I215" i="11"/>
  <c r="G215" i="11"/>
  <c r="F215" i="11"/>
  <c r="E215" i="11"/>
  <c r="D215" i="11"/>
  <c r="R214" i="11"/>
  <c r="J214" i="11"/>
  <c r="I214" i="11"/>
  <c r="G214" i="11"/>
  <c r="F214" i="11"/>
  <c r="E214" i="11"/>
  <c r="D214" i="11"/>
  <c r="R213" i="11"/>
  <c r="J213" i="11"/>
  <c r="I213" i="11"/>
  <c r="G213" i="11"/>
  <c r="F213" i="11"/>
  <c r="E213" i="11"/>
  <c r="D213" i="11"/>
  <c r="R212" i="11"/>
  <c r="J212" i="11"/>
  <c r="I212" i="11"/>
  <c r="G212" i="11"/>
  <c r="F212" i="11"/>
  <c r="E212" i="11"/>
  <c r="D212" i="11"/>
  <c r="R211" i="11"/>
  <c r="J211" i="11"/>
  <c r="I211" i="11"/>
  <c r="G211" i="11"/>
  <c r="F211" i="11"/>
  <c r="E211" i="11"/>
  <c r="D211" i="11"/>
  <c r="R210" i="11"/>
  <c r="J210" i="11"/>
  <c r="I210" i="11"/>
  <c r="G210" i="11"/>
  <c r="F210" i="11"/>
  <c r="E210" i="11"/>
  <c r="D210" i="11"/>
  <c r="R209" i="11"/>
  <c r="J209" i="11"/>
  <c r="I209" i="11"/>
  <c r="G209" i="11"/>
  <c r="F209" i="11"/>
  <c r="E209" i="11"/>
  <c r="D209" i="11"/>
  <c r="R208" i="11"/>
  <c r="J208" i="11"/>
  <c r="I208" i="11"/>
  <c r="G208" i="11"/>
  <c r="F208" i="11"/>
  <c r="E208" i="11"/>
  <c r="D208" i="11"/>
  <c r="R207" i="11"/>
  <c r="J207" i="11"/>
  <c r="I207" i="11"/>
  <c r="G207" i="11"/>
  <c r="F207" i="11"/>
  <c r="E207" i="11"/>
  <c r="D207" i="11"/>
  <c r="R206" i="11"/>
  <c r="J206" i="11"/>
  <c r="I206" i="11"/>
  <c r="G206" i="11"/>
  <c r="F206" i="11"/>
  <c r="E206" i="11"/>
  <c r="D206" i="11"/>
  <c r="R205" i="11"/>
  <c r="J205" i="11"/>
  <c r="I205" i="11"/>
  <c r="G205" i="11"/>
  <c r="F205" i="11"/>
  <c r="E205" i="11"/>
  <c r="D205" i="11"/>
  <c r="R204" i="11"/>
  <c r="J204" i="11"/>
  <c r="I204" i="11"/>
  <c r="G204" i="11"/>
  <c r="F204" i="11"/>
  <c r="E204" i="11"/>
  <c r="D204" i="11"/>
  <c r="R203" i="11"/>
  <c r="J203" i="11"/>
  <c r="I203" i="11"/>
  <c r="G203" i="11"/>
  <c r="F203" i="11"/>
  <c r="E203" i="11"/>
  <c r="D203" i="11"/>
  <c r="R202" i="11"/>
  <c r="J202" i="11"/>
  <c r="I202" i="11"/>
  <c r="G202" i="11"/>
  <c r="F202" i="11"/>
  <c r="E202" i="11"/>
  <c r="D202" i="11"/>
  <c r="R201" i="11"/>
  <c r="J201" i="11"/>
  <c r="I201" i="11"/>
  <c r="G201" i="11"/>
  <c r="F201" i="11"/>
  <c r="E201" i="11"/>
  <c r="D201" i="11"/>
  <c r="R200" i="11"/>
  <c r="J200" i="11"/>
  <c r="I200" i="11"/>
  <c r="G200" i="11"/>
  <c r="F200" i="11"/>
  <c r="E200" i="11"/>
  <c r="D200" i="11"/>
  <c r="R199" i="11"/>
  <c r="J199" i="11"/>
  <c r="I199" i="11"/>
  <c r="G199" i="11"/>
  <c r="F199" i="11"/>
  <c r="E199" i="11"/>
  <c r="D199" i="11"/>
  <c r="R198" i="11"/>
  <c r="J198" i="11"/>
  <c r="I198" i="11"/>
  <c r="G198" i="11"/>
  <c r="F198" i="11"/>
  <c r="E198" i="11"/>
  <c r="D198" i="11"/>
  <c r="R197" i="11"/>
  <c r="J197" i="11"/>
  <c r="I197" i="11"/>
  <c r="G197" i="11"/>
  <c r="F197" i="11"/>
  <c r="E197" i="11"/>
  <c r="D197" i="11"/>
  <c r="R196" i="11"/>
  <c r="J196" i="11"/>
  <c r="I196" i="11"/>
  <c r="G196" i="11"/>
  <c r="F196" i="11"/>
  <c r="E196" i="11"/>
  <c r="D196" i="11"/>
  <c r="R195" i="11"/>
  <c r="J195" i="11"/>
  <c r="I195" i="11"/>
  <c r="G195" i="11"/>
  <c r="F195" i="11"/>
  <c r="E195" i="11"/>
  <c r="D195" i="11"/>
  <c r="R194" i="11"/>
  <c r="J194" i="11"/>
  <c r="I194" i="11"/>
  <c r="G194" i="11"/>
  <c r="F194" i="11"/>
  <c r="E194" i="11"/>
  <c r="D194" i="11"/>
  <c r="R193" i="11"/>
  <c r="J193" i="11"/>
  <c r="I193" i="11"/>
  <c r="G193" i="11"/>
  <c r="F193" i="11"/>
  <c r="E193" i="11"/>
  <c r="D193" i="11"/>
  <c r="R192" i="11"/>
  <c r="J192" i="11"/>
  <c r="I192" i="11"/>
  <c r="G192" i="11"/>
  <c r="F192" i="11"/>
  <c r="E192" i="11"/>
  <c r="D192" i="11"/>
  <c r="R191" i="11"/>
  <c r="J191" i="11"/>
  <c r="I191" i="11"/>
  <c r="G191" i="11"/>
  <c r="F191" i="11"/>
  <c r="E191" i="11"/>
  <c r="D191" i="11"/>
  <c r="R190" i="11"/>
  <c r="J190" i="11"/>
  <c r="I190" i="11"/>
  <c r="G190" i="11"/>
  <c r="F190" i="11"/>
  <c r="E190" i="11"/>
  <c r="D190" i="11"/>
  <c r="R189" i="11"/>
  <c r="J189" i="11"/>
  <c r="I189" i="11"/>
  <c r="G189" i="11"/>
  <c r="F189" i="11"/>
  <c r="E189" i="11"/>
  <c r="D189" i="11"/>
  <c r="R188" i="11"/>
  <c r="J188" i="11"/>
  <c r="I188" i="11"/>
  <c r="G188" i="11"/>
  <c r="F188" i="11"/>
  <c r="E188" i="11"/>
  <c r="D188" i="11"/>
  <c r="R187" i="11"/>
  <c r="J187" i="11"/>
  <c r="I187" i="11"/>
  <c r="G187" i="11"/>
  <c r="F187" i="11"/>
  <c r="E187" i="11"/>
  <c r="D187" i="11"/>
  <c r="R186" i="11"/>
  <c r="J186" i="11"/>
  <c r="I186" i="11"/>
  <c r="G186" i="11"/>
  <c r="F186" i="11"/>
  <c r="E186" i="11"/>
  <c r="D186" i="11"/>
  <c r="R185" i="11"/>
  <c r="J185" i="11"/>
  <c r="I185" i="11"/>
  <c r="G185" i="11"/>
  <c r="F185" i="11"/>
  <c r="E185" i="11"/>
  <c r="D185" i="11"/>
  <c r="R184" i="11"/>
  <c r="J184" i="11"/>
  <c r="I184" i="11"/>
  <c r="G184" i="11"/>
  <c r="F184" i="11"/>
  <c r="E184" i="11"/>
  <c r="D184" i="11"/>
  <c r="R183" i="11"/>
  <c r="J183" i="11"/>
  <c r="I183" i="11"/>
  <c r="G183" i="11"/>
  <c r="F183" i="11"/>
  <c r="E183" i="11"/>
  <c r="D183" i="11"/>
  <c r="R182" i="11"/>
  <c r="J182" i="11"/>
  <c r="I182" i="11"/>
  <c r="G182" i="11"/>
  <c r="F182" i="11"/>
  <c r="E182" i="11"/>
  <c r="D182" i="11"/>
  <c r="R181" i="11"/>
  <c r="J181" i="11"/>
  <c r="I181" i="11"/>
  <c r="G181" i="11"/>
  <c r="F181" i="11"/>
  <c r="E181" i="11"/>
  <c r="D181" i="11"/>
  <c r="R180" i="11"/>
  <c r="J180" i="11"/>
  <c r="I180" i="11"/>
  <c r="G180" i="11"/>
  <c r="F180" i="11"/>
  <c r="E180" i="11"/>
  <c r="D180" i="11"/>
  <c r="R179" i="11"/>
  <c r="J179" i="11"/>
  <c r="I179" i="11"/>
  <c r="G179" i="11"/>
  <c r="F179" i="11"/>
  <c r="E179" i="11"/>
  <c r="D179" i="11"/>
  <c r="R178" i="11"/>
  <c r="J178" i="11"/>
  <c r="I178" i="11"/>
  <c r="G178" i="11"/>
  <c r="F178" i="11"/>
  <c r="E178" i="11"/>
  <c r="D178" i="11"/>
  <c r="R177" i="11"/>
  <c r="J177" i="11"/>
  <c r="I177" i="11"/>
  <c r="G177" i="11"/>
  <c r="F177" i="11"/>
  <c r="E177" i="11"/>
  <c r="D177" i="11"/>
  <c r="R176" i="11"/>
  <c r="J176" i="11"/>
  <c r="I176" i="11"/>
  <c r="G176" i="11"/>
  <c r="F176" i="11"/>
  <c r="E176" i="11"/>
  <c r="D176" i="11"/>
  <c r="R175" i="11"/>
  <c r="J175" i="11"/>
  <c r="I175" i="11"/>
  <c r="G175" i="11"/>
  <c r="F175" i="11"/>
  <c r="E175" i="11"/>
  <c r="D175" i="11"/>
  <c r="R174" i="11"/>
  <c r="J174" i="11"/>
  <c r="I174" i="11"/>
  <c r="G174" i="11"/>
  <c r="F174" i="11"/>
  <c r="E174" i="11"/>
  <c r="D174" i="11"/>
  <c r="R173" i="11"/>
  <c r="J173" i="11"/>
  <c r="I173" i="11"/>
  <c r="G173" i="11"/>
  <c r="F173" i="11"/>
  <c r="E173" i="11"/>
  <c r="D173" i="11"/>
  <c r="R172" i="11"/>
  <c r="J172" i="11"/>
  <c r="I172" i="11"/>
  <c r="G172" i="11"/>
  <c r="F172" i="11"/>
  <c r="E172" i="11"/>
  <c r="D172" i="11"/>
  <c r="R171" i="11"/>
  <c r="J171" i="11"/>
  <c r="I171" i="11"/>
  <c r="G171" i="11"/>
  <c r="F171" i="11"/>
  <c r="E171" i="11"/>
  <c r="D171" i="11"/>
  <c r="R170" i="11"/>
  <c r="J170" i="11"/>
  <c r="I170" i="11"/>
  <c r="G170" i="11"/>
  <c r="F170" i="11"/>
  <c r="E170" i="11"/>
  <c r="D170" i="11"/>
  <c r="R169" i="11"/>
  <c r="J169" i="11"/>
  <c r="I169" i="11"/>
  <c r="G169" i="11"/>
  <c r="F169" i="11"/>
  <c r="E169" i="11"/>
  <c r="D169" i="11"/>
  <c r="R168" i="11"/>
  <c r="J168" i="11"/>
  <c r="I168" i="11"/>
  <c r="G168" i="11"/>
  <c r="F168" i="11"/>
  <c r="E168" i="11"/>
  <c r="D168" i="11"/>
  <c r="R167" i="11"/>
  <c r="J167" i="11"/>
  <c r="I167" i="11"/>
  <c r="G167" i="11"/>
  <c r="F167" i="11"/>
  <c r="E167" i="11"/>
  <c r="D167" i="11"/>
  <c r="R166" i="11"/>
  <c r="J166" i="11"/>
  <c r="I166" i="11"/>
  <c r="G166" i="11"/>
  <c r="F166" i="11"/>
  <c r="E166" i="11"/>
  <c r="D166" i="11"/>
  <c r="R165" i="11"/>
  <c r="J165" i="11"/>
  <c r="I165" i="11"/>
  <c r="G165" i="11"/>
  <c r="F165" i="11"/>
  <c r="E165" i="11"/>
  <c r="D165" i="11"/>
  <c r="R164" i="11"/>
  <c r="J164" i="11"/>
  <c r="I164" i="11"/>
  <c r="G164" i="11"/>
  <c r="F164" i="11"/>
  <c r="E164" i="11"/>
  <c r="D164" i="11"/>
  <c r="R163" i="11"/>
  <c r="J163" i="11"/>
  <c r="I163" i="11"/>
  <c r="G163" i="11"/>
  <c r="F163" i="11"/>
  <c r="E163" i="11"/>
  <c r="D163" i="11"/>
  <c r="R162" i="11"/>
  <c r="J162" i="11"/>
  <c r="I162" i="11"/>
  <c r="G162" i="11"/>
  <c r="F162" i="11"/>
  <c r="E162" i="11"/>
  <c r="D162" i="11"/>
  <c r="R161" i="11"/>
  <c r="J161" i="11"/>
  <c r="I161" i="11"/>
  <c r="G161" i="11"/>
  <c r="F161" i="11"/>
  <c r="E161" i="11"/>
  <c r="D161" i="11"/>
  <c r="R160" i="11"/>
  <c r="J160" i="11"/>
  <c r="I160" i="11"/>
  <c r="G160" i="11"/>
  <c r="F160" i="11"/>
  <c r="E160" i="11"/>
  <c r="D160" i="11"/>
  <c r="R159" i="11"/>
  <c r="J159" i="11"/>
  <c r="I159" i="11"/>
  <c r="G159" i="11"/>
  <c r="F159" i="11"/>
  <c r="E159" i="11"/>
  <c r="D159" i="11"/>
  <c r="R158" i="11"/>
  <c r="J158" i="11"/>
  <c r="I158" i="11"/>
  <c r="G158" i="11"/>
  <c r="F158" i="11"/>
  <c r="E158" i="11"/>
  <c r="D158" i="11"/>
  <c r="R157" i="11"/>
  <c r="J157" i="11"/>
  <c r="I157" i="11"/>
  <c r="G157" i="11"/>
  <c r="F157" i="11"/>
  <c r="E157" i="11"/>
  <c r="D157" i="11"/>
  <c r="R156" i="11"/>
  <c r="J156" i="11"/>
  <c r="I156" i="11"/>
  <c r="G156" i="11"/>
  <c r="F156" i="11"/>
  <c r="E156" i="11"/>
  <c r="D156" i="11"/>
  <c r="R155" i="11"/>
  <c r="J155" i="11"/>
  <c r="I155" i="11"/>
  <c r="G155" i="11"/>
  <c r="F155" i="11"/>
  <c r="E155" i="11"/>
  <c r="D155" i="11"/>
  <c r="R154" i="11"/>
  <c r="J154" i="11"/>
  <c r="I154" i="11"/>
  <c r="G154" i="11"/>
  <c r="F154" i="11"/>
  <c r="E154" i="11"/>
  <c r="D154" i="11"/>
  <c r="R153" i="11"/>
  <c r="J153" i="11"/>
  <c r="I153" i="11"/>
  <c r="G153" i="11"/>
  <c r="F153" i="11"/>
  <c r="E153" i="11"/>
  <c r="D153" i="11"/>
  <c r="R152" i="11"/>
  <c r="J152" i="11"/>
  <c r="I152" i="11"/>
  <c r="G152" i="11"/>
  <c r="F152" i="11"/>
  <c r="E152" i="11"/>
  <c r="D152" i="11"/>
  <c r="R151" i="11"/>
  <c r="J151" i="11"/>
  <c r="I151" i="11"/>
  <c r="G151" i="11"/>
  <c r="F151" i="11"/>
  <c r="E151" i="11"/>
  <c r="D151" i="11"/>
  <c r="R150" i="11"/>
  <c r="J150" i="11"/>
  <c r="I150" i="11"/>
  <c r="G150" i="11"/>
  <c r="F150" i="11"/>
  <c r="E150" i="11"/>
  <c r="D150" i="11"/>
  <c r="R149" i="11"/>
  <c r="J149" i="11"/>
  <c r="I149" i="11"/>
  <c r="G149" i="11"/>
  <c r="F149" i="11"/>
  <c r="E149" i="11"/>
  <c r="D149" i="11"/>
  <c r="R148" i="11"/>
  <c r="J148" i="11"/>
  <c r="I148" i="11"/>
  <c r="G148" i="11"/>
  <c r="F148" i="11"/>
  <c r="E148" i="11"/>
  <c r="D148" i="11"/>
  <c r="R147" i="11"/>
  <c r="J147" i="11"/>
  <c r="I147" i="11"/>
  <c r="G147" i="11"/>
  <c r="F147" i="11"/>
  <c r="E147" i="11"/>
  <c r="D147" i="11"/>
  <c r="R146" i="11"/>
  <c r="J146" i="11"/>
  <c r="I146" i="11"/>
  <c r="G146" i="11"/>
  <c r="F146" i="11"/>
  <c r="E146" i="11"/>
  <c r="D146" i="11"/>
  <c r="R145" i="11"/>
  <c r="J145" i="11"/>
  <c r="I145" i="11"/>
  <c r="G145" i="11"/>
  <c r="F145" i="11"/>
  <c r="E145" i="11"/>
  <c r="D145" i="11"/>
  <c r="R144" i="11"/>
  <c r="J144" i="11"/>
  <c r="I144" i="11"/>
  <c r="G144" i="11"/>
  <c r="F144" i="11"/>
  <c r="E144" i="11"/>
  <c r="D144" i="11"/>
  <c r="R143" i="11"/>
  <c r="J143" i="11"/>
  <c r="I143" i="11"/>
  <c r="G143" i="11"/>
  <c r="F143" i="11"/>
  <c r="E143" i="11"/>
  <c r="D143" i="11"/>
  <c r="R142" i="11"/>
  <c r="J142" i="11"/>
  <c r="I142" i="11"/>
  <c r="G142" i="11"/>
  <c r="F142" i="11"/>
  <c r="E142" i="11"/>
  <c r="D142" i="11"/>
  <c r="R141" i="11"/>
  <c r="J141" i="11"/>
  <c r="I141" i="11"/>
  <c r="G141" i="11"/>
  <c r="F141" i="11"/>
  <c r="E141" i="11"/>
  <c r="D141" i="11"/>
  <c r="R140" i="11"/>
  <c r="J140" i="11"/>
  <c r="I140" i="11"/>
  <c r="G140" i="11"/>
  <c r="F140" i="11"/>
  <c r="E140" i="11"/>
  <c r="D140" i="11"/>
  <c r="R139" i="11"/>
  <c r="J139" i="11"/>
  <c r="I139" i="11"/>
  <c r="G139" i="11"/>
  <c r="F139" i="11"/>
  <c r="E139" i="11"/>
  <c r="D139" i="11"/>
  <c r="R138" i="11"/>
  <c r="J138" i="11"/>
  <c r="I138" i="11"/>
  <c r="G138" i="11"/>
  <c r="F138" i="11"/>
  <c r="E138" i="11"/>
  <c r="D138" i="11"/>
  <c r="R137" i="11"/>
  <c r="J137" i="11"/>
  <c r="I137" i="11"/>
  <c r="G137" i="11"/>
  <c r="F137" i="11"/>
  <c r="E137" i="11"/>
  <c r="D137" i="11"/>
  <c r="R136" i="11"/>
  <c r="J136" i="11"/>
  <c r="I136" i="11"/>
  <c r="G136" i="11"/>
  <c r="F136" i="11"/>
  <c r="E136" i="11"/>
  <c r="D136" i="11"/>
  <c r="R135" i="11"/>
  <c r="J135" i="11"/>
  <c r="I135" i="11"/>
  <c r="G135" i="11"/>
  <c r="F135" i="11"/>
  <c r="E135" i="11"/>
  <c r="D135" i="11"/>
  <c r="R134" i="11"/>
  <c r="J134" i="11"/>
  <c r="I134" i="11"/>
  <c r="G134" i="11"/>
  <c r="F134" i="11"/>
  <c r="E134" i="11"/>
  <c r="D134" i="11"/>
  <c r="R133" i="11"/>
  <c r="J133" i="11"/>
  <c r="I133" i="11"/>
  <c r="G133" i="11"/>
  <c r="F133" i="11"/>
  <c r="E133" i="11"/>
  <c r="D133" i="11"/>
  <c r="R132" i="11"/>
  <c r="J132" i="11"/>
  <c r="I132" i="11"/>
  <c r="G132" i="11"/>
  <c r="F132" i="11"/>
  <c r="E132" i="11"/>
  <c r="D132" i="11"/>
  <c r="R131" i="11"/>
  <c r="J131" i="11"/>
  <c r="I131" i="11"/>
  <c r="G131" i="11"/>
  <c r="F131" i="11"/>
  <c r="E131" i="11"/>
  <c r="D131" i="11"/>
  <c r="R130" i="11"/>
  <c r="J130" i="11"/>
  <c r="I130" i="11"/>
  <c r="G130" i="11"/>
  <c r="F130" i="11"/>
  <c r="E130" i="11"/>
  <c r="D130" i="11"/>
  <c r="R129" i="11"/>
  <c r="J129" i="11"/>
  <c r="I129" i="11"/>
  <c r="G129" i="11"/>
  <c r="F129" i="11"/>
  <c r="E129" i="11"/>
  <c r="D129" i="11"/>
  <c r="R128" i="11"/>
  <c r="J128" i="11"/>
  <c r="I128" i="11"/>
  <c r="G128" i="11"/>
  <c r="F128" i="11"/>
  <c r="E128" i="11"/>
  <c r="D128" i="11"/>
  <c r="R127" i="11"/>
  <c r="J127" i="11"/>
  <c r="I127" i="11"/>
  <c r="G127" i="11"/>
  <c r="F127" i="11"/>
  <c r="E127" i="11"/>
  <c r="D127" i="11"/>
  <c r="R126" i="11"/>
  <c r="J126" i="11"/>
  <c r="I126" i="11"/>
  <c r="G126" i="11"/>
  <c r="F126" i="11"/>
  <c r="E126" i="11"/>
  <c r="D126" i="11"/>
  <c r="R125" i="11"/>
  <c r="J125" i="11"/>
  <c r="I125" i="11"/>
  <c r="G125" i="11"/>
  <c r="F125" i="11"/>
  <c r="E125" i="11"/>
  <c r="D125" i="11"/>
  <c r="R124" i="11"/>
  <c r="J124" i="11"/>
  <c r="I124" i="11"/>
  <c r="G124" i="11"/>
  <c r="F124" i="11"/>
  <c r="E124" i="11"/>
  <c r="D124" i="11"/>
  <c r="R123" i="11"/>
  <c r="J123" i="11"/>
  <c r="I123" i="11"/>
  <c r="G123" i="11"/>
  <c r="F123" i="11"/>
  <c r="E123" i="11"/>
  <c r="D123" i="11"/>
  <c r="R122" i="11"/>
  <c r="J122" i="11"/>
  <c r="I122" i="11"/>
  <c r="G122" i="11"/>
  <c r="F122" i="11"/>
  <c r="E122" i="11"/>
  <c r="D122" i="11"/>
  <c r="R121" i="11"/>
  <c r="J121" i="11"/>
  <c r="I121" i="11"/>
  <c r="G121" i="11"/>
  <c r="F121" i="11"/>
  <c r="E121" i="11"/>
  <c r="D121" i="11"/>
  <c r="R120" i="11"/>
  <c r="J120" i="11"/>
  <c r="I120" i="11"/>
  <c r="G120" i="11"/>
  <c r="F120" i="11"/>
  <c r="E120" i="11"/>
  <c r="D120" i="11"/>
  <c r="R119" i="11"/>
  <c r="J119" i="11"/>
  <c r="I119" i="11"/>
  <c r="G119" i="11"/>
  <c r="F119" i="11"/>
  <c r="E119" i="11"/>
  <c r="D119" i="11"/>
  <c r="R118" i="11"/>
  <c r="J118" i="11"/>
  <c r="I118" i="11"/>
  <c r="G118" i="11"/>
  <c r="F118" i="11"/>
  <c r="E118" i="11"/>
  <c r="D118" i="11"/>
  <c r="R117" i="11"/>
  <c r="J117" i="11"/>
  <c r="I117" i="11"/>
  <c r="G117" i="11"/>
  <c r="F117" i="11"/>
  <c r="E117" i="11"/>
  <c r="D117" i="11"/>
  <c r="R116" i="11"/>
  <c r="J116" i="11"/>
  <c r="I116" i="11"/>
  <c r="G116" i="11"/>
  <c r="F116" i="11"/>
  <c r="E116" i="11"/>
  <c r="D116" i="11"/>
  <c r="R115" i="11"/>
  <c r="J115" i="11"/>
  <c r="I115" i="11"/>
  <c r="G115" i="11"/>
  <c r="F115" i="11"/>
  <c r="E115" i="11"/>
  <c r="D115" i="11"/>
  <c r="R114" i="11"/>
  <c r="J114" i="11"/>
  <c r="I114" i="11"/>
  <c r="G114" i="11"/>
  <c r="F114" i="11"/>
  <c r="E114" i="11"/>
  <c r="D114" i="11"/>
  <c r="R113" i="11"/>
  <c r="J113" i="11"/>
  <c r="I113" i="11"/>
  <c r="G113" i="11"/>
  <c r="F113" i="11"/>
  <c r="E113" i="11"/>
  <c r="D113" i="11"/>
  <c r="R112" i="11"/>
  <c r="J112" i="11"/>
  <c r="I112" i="11"/>
  <c r="G112" i="11"/>
  <c r="F112" i="11"/>
  <c r="E112" i="11"/>
  <c r="D112" i="11"/>
  <c r="R111" i="11"/>
  <c r="J111" i="11"/>
  <c r="I111" i="11"/>
  <c r="G111" i="11"/>
  <c r="F111" i="11"/>
  <c r="E111" i="11"/>
  <c r="D111" i="11"/>
  <c r="R110" i="11"/>
  <c r="J110" i="11"/>
  <c r="I110" i="11"/>
  <c r="G110" i="11"/>
  <c r="F110" i="11"/>
  <c r="E110" i="11"/>
  <c r="D110" i="11"/>
  <c r="R109" i="11"/>
  <c r="J109" i="11"/>
  <c r="I109" i="11"/>
  <c r="G109" i="11"/>
  <c r="F109" i="11"/>
  <c r="E109" i="11"/>
  <c r="D109" i="11"/>
  <c r="R108" i="11"/>
  <c r="J108" i="11"/>
  <c r="I108" i="11"/>
  <c r="G108" i="11"/>
  <c r="F108" i="11"/>
  <c r="E108" i="11"/>
  <c r="D108" i="11"/>
  <c r="R107" i="11"/>
  <c r="J107" i="11"/>
  <c r="I107" i="11"/>
  <c r="G107" i="11"/>
  <c r="F107" i="11"/>
  <c r="E107" i="11"/>
  <c r="D107" i="11"/>
  <c r="R106" i="11"/>
  <c r="J106" i="11"/>
  <c r="I106" i="11"/>
  <c r="G106" i="11"/>
  <c r="F106" i="11"/>
  <c r="E106" i="11"/>
  <c r="D106" i="11"/>
  <c r="R105" i="11"/>
  <c r="J105" i="11"/>
  <c r="I105" i="11"/>
  <c r="G105" i="11"/>
  <c r="F105" i="11"/>
  <c r="E105" i="11"/>
  <c r="D105" i="11"/>
  <c r="R104" i="11"/>
  <c r="J104" i="11"/>
  <c r="I104" i="11"/>
  <c r="G104" i="11"/>
  <c r="F104" i="11"/>
  <c r="E104" i="11"/>
  <c r="D104" i="11"/>
  <c r="R103" i="11"/>
  <c r="J103" i="11"/>
  <c r="I103" i="11"/>
  <c r="G103" i="11"/>
  <c r="F103" i="11"/>
  <c r="E103" i="11"/>
  <c r="D103" i="11"/>
  <c r="R102" i="11"/>
  <c r="J102" i="11"/>
  <c r="I102" i="11"/>
  <c r="G102" i="11"/>
  <c r="F102" i="11"/>
  <c r="E102" i="11"/>
  <c r="D102" i="11"/>
  <c r="R101" i="11"/>
  <c r="J101" i="11"/>
  <c r="I101" i="11"/>
  <c r="G101" i="11"/>
  <c r="F101" i="11"/>
  <c r="E101" i="11"/>
  <c r="D101" i="11"/>
  <c r="R100" i="11"/>
  <c r="J100" i="11"/>
  <c r="I100" i="11"/>
  <c r="G100" i="11"/>
  <c r="F100" i="11"/>
  <c r="E100" i="11"/>
  <c r="D100" i="11"/>
  <c r="R99" i="11"/>
  <c r="J99" i="11"/>
  <c r="I99" i="11"/>
  <c r="G99" i="11"/>
  <c r="F99" i="11"/>
  <c r="E99" i="11"/>
  <c r="D99" i="11"/>
  <c r="R98" i="11"/>
  <c r="J98" i="11"/>
  <c r="I98" i="11"/>
  <c r="G98" i="11"/>
  <c r="F98" i="11"/>
  <c r="E98" i="11"/>
  <c r="D98" i="11"/>
  <c r="R97" i="11"/>
  <c r="J97" i="11"/>
  <c r="I97" i="11"/>
  <c r="G97" i="11"/>
  <c r="F97" i="11"/>
  <c r="E97" i="11"/>
  <c r="D97" i="11"/>
  <c r="R96" i="11"/>
  <c r="J96" i="11"/>
  <c r="I96" i="11"/>
  <c r="G96" i="11"/>
  <c r="F96" i="11"/>
  <c r="E96" i="11"/>
  <c r="D96" i="11"/>
  <c r="R95" i="11"/>
  <c r="J95" i="11"/>
  <c r="I95" i="11"/>
  <c r="G95" i="11"/>
  <c r="F95" i="11"/>
  <c r="E95" i="11"/>
  <c r="D95" i="11"/>
  <c r="R94" i="11"/>
  <c r="J94" i="11"/>
  <c r="I94" i="11"/>
  <c r="G94" i="11"/>
  <c r="F94" i="11"/>
  <c r="E94" i="11"/>
  <c r="D94" i="11"/>
  <c r="R93" i="11"/>
  <c r="J93" i="11"/>
  <c r="I93" i="11"/>
  <c r="G93" i="11"/>
  <c r="F93" i="11"/>
  <c r="E93" i="11"/>
  <c r="D93" i="11"/>
  <c r="R92" i="11"/>
  <c r="J92" i="11"/>
  <c r="I92" i="11"/>
  <c r="G92" i="11"/>
  <c r="F92" i="11"/>
  <c r="E92" i="11"/>
  <c r="D92" i="11"/>
  <c r="R91" i="11"/>
  <c r="J91" i="11"/>
  <c r="I91" i="11"/>
  <c r="G91" i="11"/>
  <c r="F91" i="11"/>
  <c r="E91" i="11"/>
  <c r="D91" i="11"/>
  <c r="R90" i="11"/>
  <c r="J90" i="11"/>
  <c r="I90" i="11"/>
  <c r="G90" i="11"/>
  <c r="F90" i="11"/>
  <c r="E90" i="11"/>
  <c r="D90" i="11"/>
  <c r="R89" i="11"/>
  <c r="J89" i="11"/>
  <c r="I89" i="11"/>
  <c r="G89" i="11"/>
  <c r="F89" i="11"/>
  <c r="E89" i="11"/>
  <c r="D89" i="11"/>
  <c r="R88" i="11"/>
  <c r="J88" i="11"/>
  <c r="I88" i="11"/>
  <c r="G88" i="11"/>
  <c r="F88" i="11"/>
  <c r="E88" i="11"/>
  <c r="D88" i="11"/>
  <c r="R87" i="11"/>
  <c r="J87" i="11"/>
  <c r="I87" i="11"/>
  <c r="G87" i="11"/>
  <c r="F87" i="11"/>
  <c r="E87" i="11"/>
  <c r="D87" i="11"/>
  <c r="R86" i="11"/>
  <c r="J86" i="11"/>
  <c r="I86" i="11"/>
  <c r="G86" i="11"/>
  <c r="F86" i="11"/>
  <c r="E86" i="11"/>
  <c r="D86" i="11"/>
  <c r="R85" i="11"/>
  <c r="J85" i="11"/>
  <c r="I85" i="11"/>
  <c r="G85" i="11"/>
  <c r="F85" i="11"/>
  <c r="E85" i="11"/>
  <c r="D85" i="11"/>
  <c r="R84" i="11"/>
  <c r="J84" i="11"/>
  <c r="I84" i="11"/>
  <c r="G84" i="11"/>
  <c r="F84" i="11"/>
  <c r="E84" i="11"/>
  <c r="D84" i="11"/>
  <c r="R83" i="11"/>
  <c r="J83" i="11"/>
  <c r="I83" i="11"/>
  <c r="G83" i="11"/>
  <c r="F83" i="11"/>
  <c r="E83" i="11"/>
  <c r="D83" i="11"/>
  <c r="R82" i="11"/>
  <c r="J82" i="11"/>
  <c r="I82" i="11"/>
  <c r="G82" i="11"/>
  <c r="F82" i="11"/>
  <c r="E82" i="11"/>
  <c r="D82" i="11"/>
  <c r="R81" i="11"/>
  <c r="J81" i="11"/>
  <c r="I81" i="11"/>
  <c r="G81" i="11"/>
  <c r="F81" i="11"/>
  <c r="E81" i="11"/>
  <c r="D81" i="11"/>
  <c r="R80" i="11"/>
  <c r="J80" i="11"/>
  <c r="I80" i="11"/>
  <c r="G80" i="11"/>
  <c r="F80" i="11"/>
  <c r="E80" i="11"/>
  <c r="D80" i="11"/>
  <c r="R79" i="11"/>
  <c r="J79" i="11"/>
  <c r="I79" i="11"/>
  <c r="G79" i="11"/>
  <c r="F79" i="11"/>
  <c r="E79" i="11"/>
  <c r="D79" i="11"/>
  <c r="R78" i="11"/>
  <c r="J78" i="11"/>
  <c r="I78" i="11"/>
  <c r="G78" i="11"/>
  <c r="F78" i="11"/>
  <c r="E78" i="11"/>
  <c r="D78" i="11"/>
  <c r="R77" i="11"/>
  <c r="J77" i="11"/>
  <c r="I77" i="11"/>
  <c r="G77" i="11"/>
  <c r="F77" i="11"/>
  <c r="E77" i="11"/>
  <c r="D77" i="11"/>
  <c r="R76" i="11"/>
  <c r="J76" i="11"/>
  <c r="I76" i="11"/>
  <c r="G76" i="11"/>
  <c r="F76" i="11"/>
  <c r="E76" i="11"/>
  <c r="D76" i="11"/>
  <c r="R75" i="11"/>
  <c r="J75" i="11"/>
  <c r="I75" i="11"/>
  <c r="G75" i="11"/>
  <c r="F75" i="11"/>
  <c r="E75" i="11"/>
  <c r="D75" i="11"/>
  <c r="R74" i="11"/>
  <c r="J74" i="11"/>
  <c r="I74" i="11"/>
  <c r="G74" i="11"/>
  <c r="F74" i="11"/>
  <c r="E74" i="11"/>
  <c r="D74" i="11"/>
  <c r="R73" i="11"/>
  <c r="J73" i="11"/>
  <c r="I73" i="11"/>
  <c r="G73" i="11"/>
  <c r="F73" i="11"/>
  <c r="E73" i="11"/>
  <c r="D73" i="11"/>
  <c r="R72" i="11"/>
  <c r="J72" i="11"/>
  <c r="I72" i="11"/>
  <c r="G72" i="11"/>
  <c r="F72" i="11"/>
  <c r="E72" i="11"/>
  <c r="D72" i="11"/>
  <c r="R71" i="11"/>
  <c r="J71" i="11"/>
  <c r="I71" i="11"/>
  <c r="G71" i="11"/>
  <c r="F71" i="11"/>
  <c r="E71" i="11"/>
  <c r="D71" i="11"/>
  <c r="R70" i="11"/>
  <c r="J70" i="11"/>
  <c r="I70" i="11"/>
  <c r="G70" i="11"/>
  <c r="F70" i="11"/>
  <c r="E70" i="11"/>
  <c r="D70" i="11"/>
  <c r="R69" i="11"/>
  <c r="J69" i="11"/>
  <c r="I69" i="11"/>
  <c r="G69" i="11"/>
  <c r="F69" i="11"/>
  <c r="E69" i="11"/>
  <c r="D69" i="11"/>
  <c r="R68" i="11"/>
  <c r="J68" i="11"/>
  <c r="I68" i="11"/>
  <c r="G68" i="11"/>
  <c r="F68" i="11"/>
  <c r="E68" i="11"/>
  <c r="D68" i="11"/>
  <c r="R67" i="11"/>
  <c r="J67" i="11"/>
  <c r="I67" i="11"/>
  <c r="G67" i="11"/>
  <c r="F67" i="11"/>
  <c r="E67" i="11"/>
  <c r="D67" i="11"/>
  <c r="R66" i="11"/>
  <c r="J66" i="11"/>
  <c r="I66" i="11"/>
  <c r="G66" i="11"/>
  <c r="F66" i="11"/>
  <c r="E66" i="11"/>
  <c r="D66" i="11"/>
  <c r="R65" i="11"/>
  <c r="J65" i="11"/>
  <c r="I65" i="11"/>
  <c r="G65" i="11"/>
  <c r="F65" i="11"/>
  <c r="E65" i="11"/>
  <c r="D65" i="11"/>
  <c r="R64" i="11"/>
  <c r="J64" i="11"/>
  <c r="I64" i="11"/>
  <c r="G64" i="11"/>
  <c r="F64" i="11"/>
  <c r="E64" i="11"/>
  <c r="D64" i="11"/>
  <c r="R63" i="11"/>
  <c r="J63" i="11"/>
  <c r="I63" i="11"/>
  <c r="G63" i="11"/>
  <c r="F63" i="11"/>
  <c r="E63" i="11"/>
  <c r="D63" i="11"/>
  <c r="R62" i="11"/>
  <c r="J62" i="11"/>
  <c r="I62" i="11"/>
  <c r="G62" i="11"/>
  <c r="F62" i="11"/>
  <c r="E62" i="11"/>
  <c r="D62" i="11"/>
  <c r="R61" i="11"/>
  <c r="J61" i="11"/>
  <c r="I61" i="11"/>
  <c r="G61" i="11"/>
  <c r="F61" i="11"/>
  <c r="E61" i="11"/>
  <c r="D61" i="11"/>
  <c r="R60" i="11"/>
  <c r="J60" i="11"/>
  <c r="I60" i="11"/>
  <c r="G60" i="11"/>
  <c r="F60" i="11"/>
  <c r="E60" i="11"/>
  <c r="D60" i="11"/>
  <c r="R59" i="11"/>
  <c r="J59" i="11"/>
  <c r="I59" i="11"/>
  <c r="G59" i="11"/>
  <c r="F59" i="11"/>
  <c r="E59" i="11"/>
  <c r="D59" i="11"/>
  <c r="R58" i="11"/>
  <c r="J58" i="11"/>
  <c r="I58" i="11"/>
  <c r="G58" i="11"/>
  <c r="F58" i="11"/>
  <c r="E58" i="11"/>
  <c r="D58" i="11"/>
  <c r="R57" i="11"/>
  <c r="J57" i="11"/>
  <c r="I57" i="11"/>
  <c r="G57" i="11"/>
  <c r="F57" i="11"/>
  <c r="E57" i="11"/>
  <c r="D57" i="11"/>
  <c r="R56" i="11"/>
  <c r="J56" i="11"/>
  <c r="I56" i="11"/>
  <c r="G56" i="11"/>
  <c r="F56" i="11"/>
  <c r="E56" i="11"/>
  <c r="D56" i="11"/>
  <c r="R55" i="11"/>
  <c r="J55" i="11"/>
  <c r="I55" i="11"/>
  <c r="G55" i="11"/>
  <c r="F55" i="11"/>
  <c r="E55" i="11"/>
  <c r="D55" i="11"/>
  <c r="R54" i="11"/>
  <c r="J54" i="11"/>
  <c r="I54" i="11"/>
  <c r="G54" i="11"/>
  <c r="F54" i="11"/>
  <c r="E54" i="11"/>
  <c r="D54" i="11"/>
  <c r="R53" i="11"/>
  <c r="J53" i="11"/>
  <c r="I53" i="11"/>
  <c r="G53" i="11"/>
  <c r="F53" i="11"/>
  <c r="E53" i="11"/>
  <c r="D53" i="11"/>
  <c r="R52" i="11"/>
  <c r="J52" i="11"/>
  <c r="I52" i="11"/>
  <c r="G52" i="11"/>
  <c r="F52" i="11"/>
  <c r="E52" i="11"/>
  <c r="D52" i="11"/>
  <c r="R51" i="11"/>
  <c r="J51" i="11"/>
  <c r="I51" i="11"/>
  <c r="G51" i="11"/>
  <c r="F51" i="11"/>
  <c r="E51" i="11"/>
  <c r="D51" i="11"/>
  <c r="R50" i="11"/>
  <c r="J50" i="11"/>
  <c r="I50" i="11"/>
  <c r="G50" i="11"/>
  <c r="F50" i="11"/>
  <c r="E50" i="11"/>
  <c r="D50" i="11"/>
  <c r="R49" i="11"/>
  <c r="J49" i="11"/>
  <c r="I49" i="11"/>
  <c r="G49" i="11"/>
  <c r="F49" i="11"/>
  <c r="E49" i="11"/>
  <c r="D49" i="11"/>
  <c r="R48" i="11"/>
  <c r="J48" i="11"/>
  <c r="I48" i="11"/>
  <c r="G48" i="11"/>
  <c r="F48" i="11"/>
  <c r="E48" i="11"/>
  <c r="D48" i="11"/>
  <c r="R47" i="11"/>
  <c r="J47" i="11"/>
  <c r="I47" i="11"/>
  <c r="G47" i="11"/>
  <c r="F47" i="11"/>
  <c r="E47" i="11"/>
  <c r="D47" i="11"/>
  <c r="R46" i="11"/>
  <c r="J46" i="11"/>
  <c r="I46" i="11"/>
  <c r="G46" i="11"/>
  <c r="F46" i="11"/>
  <c r="E46" i="11"/>
  <c r="D46" i="11"/>
  <c r="R45" i="11"/>
  <c r="J45" i="11"/>
  <c r="I45" i="11"/>
  <c r="G45" i="11"/>
  <c r="F45" i="11"/>
  <c r="E45" i="11"/>
  <c r="D45" i="11"/>
  <c r="R44" i="11"/>
  <c r="J44" i="11"/>
  <c r="I44" i="11"/>
  <c r="G44" i="11"/>
  <c r="F44" i="11"/>
  <c r="E44" i="11"/>
  <c r="D44" i="11"/>
  <c r="R43" i="11"/>
  <c r="J43" i="11"/>
  <c r="I43" i="11"/>
  <c r="G43" i="11"/>
  <c r="F43" i="11"/>
  <c r="E43" i="11"/>
  <c r="D43" i="11"/>
  <c r="R42" i="11"/>
  <c r="J42" i="11"/>
  <c r="I42" i="11"/>
  <c r="G42" i="11"/>
  <c r="F42" i="11"/>
  <c r="E42" i="11"/>
  <c r="D42" i="11"/>
  <c r="R41" i="11"/>
  <c r="J41" i="11"/>
  <c r="I41" i="11"/>
  <c r="G41" i="11"/>
  <c r="F41" i="11"/>
  <c r="E41" i="11"/>
  <c r="D41" i="11"/>
  <c r="R40" i="11"/>
  <c r="J40" i="11"/>
  <c r="I40" i="11"/>
  <c r="G40" i="11"/>
  <c r="F40" i="11"/>
  <c r="E40" i="11"/>
  <c r="D40" i="11"/>
  <c r="R39" i="11"/>
  <c r="J39" i="11"/>
  <c r="I39" i="11"/>
  <c r="G39" i="11"/>
  <c r="F39" i="11"/>
  <c r="E39" i="11"/>
  <c r="D39" i="11"/>
  <c r="R38" i="11"/>
  <c r="J38" i="11"/>
  <c r="I38" i="11"/>
  <c r="G38" i="11"/>
  <c r="F38" i="11"/>
  <c r="E38" i="11"/>
  <c r="D38" i="11"/>
  <c r="R37" i="11"/>
  <c r="J37" i="11"/>
  <c r="I37" i="11"/>
  <c r="G37" i="11"/>
  <c r="F37" i="11"/>
  <c r="E37" i="11"/>
  <c r="D37" i="11"/>
  <c r="R36" i="11"/>
  <c r="J36" i="11"/>
  <c r="I36" i="11"/>
  <c r="G36" i="11"/>
  <c r="F36" i="11"/>
  <c r="E36" i="11"/>
  <c r="D36" i="11"/>
  <c r="R35" i="11"/>
  <c r="J35" i="11"/>
  <c r="I35" i="11"/>
  <c r="G35" i="11"/>
  <c r="F35" i="11"/>
  <c r="E35" i="11"/>
  <c r="D35" i="11"/>
  <c r="R34" i="11"/>
  <c r="J34" i="11"/>
  <c r="I34" i="11"/>
  <c r="G34" i="11"/>
  <c r="F34" i="11"/>
  <c r="E34" i="11"/>
  <c r="D34" i="11"/>
  <c r="R33" i="11"/>
  <c r="J33" i="11"/>
  <c r="I33" i="11"/>
  <c r="G33" i="11"/>
  <c r="F33" i="11"/>
  <c r="E33" i="11"/>
  <c r="D33" i="11"/>
  <c r="R32" i="11"/>
  <c r="J32" i="11"/>
  <c r="I32" i="11"/>
  <c r="G32" i="11"/>
  <c r="F32" i="11"/>
  <c r="E32" i="11"/>
  <c r="D32" i="11"/>
  <c r="R31" i="11"/>
  <c r="J31" i="11"/>
  <c r="I31" i="11"/>
  <c r="G31" i="11"/>
  <c r="F31" i="11"/>
  <c r="E31" i="11"/>
  <c r="D31" i="11"/>
  <c r="R30" i="11"/>
  <c r="J30" i="11"/>
  <c r="I30" i="11"/>
  <c r="G30" i="11"/>
  <c r="F30" i="11"/>
  <c r="E30" i="11"/>
  <c r="D30" i="11"/>
  <c r="R29" i="11"/>
  <c r="J29" i="11"/>
  <c r="I29" i="11"/>
  <c r="G29" i="11"/>
  <c r="F29" i="11"/>
  <c r="E29" i="11"/>
  <c r="D29" i="11"/>
  <c r="R28" i="11"/>
  <c r="J28" i="11"/>
  <c r="I28" i="11"/>
  <c r="G28" i="11"/>
  <c r="F28" i="11"/>
  <c r="E28" i="11"/>
  <c r="D28" i="11"/>
  <c r="R27" i="11"/>
  <c r="J27" i="11"/>
  <c r="I27" i="11"/>
  <c r="G27" i="11"/>
  <c r="F27" i="11"/>
  <c r="E27" i="11"/>
  <c r="D27" i="11"/>
  <c r="R26" i="11"/>
  <c r="J26" i="11"/>
  <c r="I26" i="11"/>
  <c r="G26" i="11"/>
  <c r="F26" i="11"/>
  <c r="E26" i="11"/>
  <c r="D26" i="11"/>
  <c r="R25" i="11"/>
  <c r="J25" i="11"/>
  <c r="I25" i="11"/>
  <c r="G25" i="11"/>
  <c r="F25" i="11"/>
  <c r="E25" i="11"/>
  <c r="D25" i="11"/>
  <c r="R24" i="11"/>
  <c r="J24" i="11"/>
  <c r="I24" i="11"/>
  <c r="G24" i="11"/>
  <c r="F24" i="11"/>
  <c r="E24" i="11"/>
  <c r="D24" i="11"/>
  <c r="R23" i="11"/>
  <c r="J23" i="11"/>
  <c r="I23" i="11"/>
  <c r="G23" i="11"/>
  <c r="F23" i="11"/>
  <c r="E23" i="11"/>
  <c r="D23" i="11"/>
  <c r="R22" i="11"/>
  <c r="J22" i="11"/>
  <c r="I22" i="11"/>
  <c r="G22" i="11"/>
  <c r="F22" i="11"/>
  <c r="E22" i="11"/>
  <c r="D22" i="11"/>
  <c r="R21" i="11"/>
  <c r="J21" i="11"/>
  <c r="I21" i="11"/>
  <c r="G21" i="11"/>
  <c r="F21" i="11"/>
  <c r="E21" i="11"/>
  <c r="D21" i="11"/>
  <c r="R20" i="11"/>
  <c r="J20" i="11"/>
  <c r="I20" i="11"/>
  <c r="G20" i="11"/>
  <c r="F20" i="11"/>
  <c r="E20" i="11"/>
  <c r="D20" i="11"/>
  <c r="R19" i="11"/>
  <c r="J19" i="11"/>
  <c r="I19" i="11"/>
  <c r="G19" i="11"/>
  <c r="F19" i="11"/>
  <c r="E19" i="11"/>
  <c r="D19" i="11"/>
  <c r="R18" i="11"/>
  <c r="J18" i="11"/>
  <c r="I18" i="11"/>
  <c r="G18" i="11"/>
  <c r="F18" i="11"/>
  <c r="E18" i="11"/>
  <c r="D18" i="11"/>
  <c r="R17" i="11"/>
  <c r="J17" i="11"/>
  <c r="I17" i="11"/>
  <c r="G17" i="11"/>
  <c r="F17" i="11"/>
  <c r="E17" i="11"/>
  <c r="D17" i="11"/>
  <c r="R16" i="11"/>
  <c r="J16" i="11"/>
  <c r="I16" i="11"/>
  <c r="G16" i="11"/>
  <c r="F16" i="11"/>
  <c r="E16" i="11"/>
  <c r="D16" i="11"/>
  <c r="R15" i="11"/>
  <c r="J15" i="11"/>
  <c r="I15" i="11"/>
  <c r="G15" i="11"/>
  <c r="F15" i="11"/>
  <c r="E15" i="11"/>
  <c r="D15" i="11"/>
  <c r="R14" i="11"/>
  <c r="J14" i="11"/>
  <c r="I14" i="11"/>
  <c r="G14" i="11"/>
  <c r="F14" i="11"/>
  <c r="E14" i="11"/>
  <c r="D14" i="11"/>
  <c r="R13" i="11"/>
  <c r="J13" i="11"/>
  <c r="I13" i="11"/>
  <c r="G13" i="11"/>
  <c r="F13" i="11"/>
  <c r="E13" i="11"/>
  <c r="D13" i="11"/>
  <c r="R12" i="11"/>
  <c r="J12" i="11"/>
  <c r="I12" i="11"/>
  <c r="G12" i="11"/>
  <c r="F12" i="11"/>
  <c r="E12" i="11"/>
  <c r="D12" i="11"/>
  <c r="R11" i="11"/>
  <c r="J11" i="11"/>
  <c r="I11" i="11"/>
  <c r="G11" i="11"/>
  <c r="F11" i="11"/>
  <c r="E11" i="11"/>
  <c r="D11" i="11"/>
  <c r="R10" i="11"/>
  <c r="J10" i="11"/>
  <c r="I10" i="11"/>
  <c r="G10" i="11"/>
  <c r="F10" i="11"/>
  <c r="E10" i="11"/>
  <c r="D10" i="11"/>
  <c r="R9" i="11"/>
  <c r="J9" i="11"/>
  <c r="I9" i="11"/>
  <c r="G9" i="11"/>
  <c r="F9" i="11"/>
  <c r="E9" i="11"/>
  <c r="D9" i="11"/>
  <c r="R8" i="11"/>
  <c r="J8" i="11"/>
  <c r="I8" i="11"/>
  <c r="G8" i="11"/>
  <c r="F8" i="11"/>
  <c r="E8" i="11"/>
  <c r="D8" i="11"/>
  <c r="R7" i="11"/>
  <c r="J7" i="11"/>
  <c r="I7" i="11"/>
  <c r="G7" i="11"/>
  <c r="F7" i="11"/>
  <c r="E7" i="11"/>
  <c r="D7" i="11"/>
  <c r="R6" i="11"/>
  <c r="J6" i="11"/>
  <c r="I6" i="11"/>
  <c r="G6" i="11"/>
  <c r="F6" i="11"/>
  <c r="E6" i="11"/>
  <c r="D6" i="11"/>
  <c r="R250" i="10"/>
  <c r="J250" i="10"/>
  <c r="I250" i="10"/>
  <c r="G250" i="10"/>
  <c r="F250" i="10"/>
  <c r="E250" i="10"/>
  <c r="D250" i="10"/>
  <c r="R249" i="10"/>
  <c r="J249" i="10"/>
  <c r="I249" i="10"/>
  <c r="G249" i="10"/>
  <c r="F249" i="10"/>
  <c r="E249" i="10"/>
  <c r="D249" i="10"/>
  <c r="R248" i="10"/>
  <c r="J248" i="10"/>
  <c r="I248" i="10"/>
  <c r="G248" i="10"/>
  <c r="F248" i="10"/>
  <c r="E248" i="10"/>
  <c r="D248" i="10"/>
  <c r="R247" i="10"/>
  <c r="J247" i="10"/>
  <c r="I247" i="10"/>
  <c r="G247" i="10"/>
  <c r="F247" i="10"/>
  <c r="E247" i="10"/>
  <c r="D247" i="10"/>
  <c r="R246" i="10"/>
  <c r="J246" i="10"/>
  <c r="I246" i="10"/>
  <c r="G246" i="10"/>
  <c r="F246" i="10"/>
  <c r="E246" i="10"/>
  <c r="D246" i="10"/>
  <c r="R245" i="10"/>
  <c r="J245" i="10"/>
  <c r="I245" i="10"/>
  <c r="G245" i="10"/>
  <c r="F245" i="10"/>
  <c r="E245" i="10"/>
  <c r="D245" i="10"/>
  <c r="R244" i="10"/>
  <c r="J244" i="10"/>
  <c r="I244" i="10"/>
  <c r="G244" i="10"/>
  <c r="F244" i="10"/>
  <c r="E244" i="10"/>
  <c r="D244" i="10"/>
  <c r="R243" i="10"/>
  <c r="J243" i="10"/>
  <c r="I243" i="10"/>
  <c r="G243" i="10"/>
  <c r="F243" i="10"/>
  <c r="E243" i="10"/>
  <c r="D243" i="10"/>
  <c r="R242" i="10"/>
  <c r="J242" i="10"/>
  <c r="I242" i="10"/>
  <c r="G242" i="10"/>
  <c r="F242" i="10"/>
  <c r="E242" i="10"/>
  <c r="D242" i="10"/>
  <c r="R241" i="10"/>
  <c r="J241" i="10"/>
  <c r="I241" i="10"/>
  <c r="G241" i="10"/>
  <c r="F241" i="10"/>
  <c r="E241" i="10"/>
  <c r="D241" i="10"/>
  <c r="R240" i="10"/>
  <c r="J240" i="10"/>
  <c r="I240" i="10"/>
  <c r="G240" i="10"/>
  <c r="F240" i="10"/>
  <c r="E240" i="10"/>
  <c r="D240" i="10"/>
  <c r="R239" i="10"/>
  <c r="J239" i="10"/>
  <c r="I239" i="10"/>
  <c r="G239" i="10"/>
  <c r="F239" i="10"/>
  <c r="E239" i="10"/>
  <c r="D239" i="10"/>
  <c r="R238" i="10"/>
  <c r="J238" i="10"/>
  <c r="I238" i="10"/>
  <c r="G238" i="10"/>
  <c r="F238" i="10"/>
  <c r="E238" i="10"/>
  <c r="D238" i="10"/>
  <c r="R237" i="10"/>
  <c r="J237" i="10"/>
  <c r="I237" i="10"/>
  <c r="G237" i="10"/>
  <c r="F237" i="10"/>
  <c r="E237" i="10"/>
  <c r="D237" i="10"/>
  <c r="R236" i="10"/>
  <c r="J236" i="10"/>
  <c r="I236" i="10"/>
  <c r="G236" i="10"/>
  <c r="F236" i="10"/>
  <c r="E236" i="10"/>
  <c r="D236" i="10"/>
  <c r="R235" i="10"/>
  <c r="J235" i="10"/>
  <c r="I235" i="10"/>
  <c r="G235" i="10"/>
  <c r="F235" i="10"/>
  <c r="E235" i="10"/>
  <c r="D235" i="10"/>
  <c r="R234" i="10"/>
  <c r="J234" i="10"/>
  <c r="I234" i="10"/>
  <c r="G234" i="10"/>
  <c r="F234" i="10"/>
  <c r="E234" i="10"/>
  <c r="D234" i="10"/>
  <c r="R233" i="10"/>
  <c r="J233" i="10"/>
  <c r="I233" i="10"/>
  <c r="G233" i="10"/>
  <c r="F233" i="10"/>
  <c r="E233" i="10"/>
  <c r="D233" i="10"/>
  <c r="R232" i="10"/>
  <c r="J232" i="10"/>
  <c r="I232" i="10"/>
  <c r="G232" i="10"/>
  <c r="F232" i="10"/>
  <c r="E232" i="10"/>
  <c r="D232" i="10"/>
  <c r="R231" i="10"/>
  <c r="J231" i="10"/>
  <c r="I231" i="10"/>
  <c r="G231" i="10"/>
  <c r="F231" i="10"/>
  <c r="E231" i="10"/>
  <c r="D231" i="10"/>
  <c r="R230" i="10"/>
  <c r="J230" i="10"/>
  <c r="I230" i="10"/>
  <c r="G230" i="10"/>
  <c r="F230" i="10"/>
  <c r="E230" i="10"/>
  <c r="D230" i="10"/>
  <c r="R229" i="10"/>
  <c r="J229" i="10"/>
  <c r="I229" i="10"/>
  <c r="G229" i="10"/>
  <c r="F229" i="10"/>
  <c r="E229" i="10"/>
  <c r="D229" i="10"/>
  <c r="R228" i="10"/>
  <c r="J228" i="10"/>
  <c r="I228" i="10"/>
  <c r="G228" i="10"/>
  <c r="F228" i="10"/>
  <c r="E228" i="10"/>
  <c r="D228" i="10"/>
  <c r="R227" i="10"/>
  <c r="J227" i="10"/>
  <c r="I227" i="10"/>
  <c r="G227" i="10"/>
  <c r="F227" i="10"/>
  <c r="E227" i="10"/>
  <c r="D227" i="10"/>
  <c r="R226" i="10"/>
  <c r="J226" i="10"/>
  <c r="I226" i="10"/>
  <c r="G226" i="10"/>
  <c r="F226" i="10"/>
  <c r="E226" i="10"/>
  <c r="D226" i="10"/>
  <c r="R225" i="10"/>
  <c r="J225" i="10"/>
  <c r="I225" i="10"/>
  <c r="G225" i="10"/>
  <c r="F225" i="10"/>
  <c r="E225" i="10"/>
  <c r="D225" i="10"/>
  <c r="R224" i="10"/>
  <c r="J224" i="10"/>
  <c r="I224" i="10"/>
  <c r="G224" i="10"/>
  <c r="F224" i="10"/>
  <c r="E224" i="10"/>
  <c r="D224" i="10"/>
  <c r="R223" i="10"/>
  <c r="J223" i="10"/>
  <c r="I223" i="10"/>
  <c r="G223" i="10"/>
  <c r="F223" i="10"/>
  <c r="E223" i="10"/>
  <c r="D223" i="10"/>
  <c r="R222" i="10"/>
  <c r="J222" i="10"/>
  <c r="I222" i="10"/>
  <c r="G222" i="10"/>
  <c r="F222" i="10"/>
  <c r="E222" i="10"/>
  <c r="D222" i="10"/>
  <c r="R221" i="10"/>
  <c r="J221" i="10"/>
  <c r="I221" i="10"/>
  <c r="G221" i="10"/>
  <c r="F221" i="10"/>
  <c r="E221" i="10"/>
  <c r="D221" i="10"/>
  <c r="R220" i="10"/>
  <c r="J220" i="10"/>
  <c r="I220" i="10"/>
  <c r="G220" i="10"/>
  <c r="F220" i="10"/>
  <c r="E220" i="10"/>
  <c r="D220" i="10"/>
  <c r="R219" i="10"/>
  <c r="J219" i="10"/>
  <c r="I219" i="10"/>
  <c r="G219" i="10"/>
  <c r="F219" i="10"/>
  <c r="E219" i="10"/>
  <c r="D219" i="10"/>
  <c r="R218" i="10"/>
  <c r="J218" i="10"/>
  <c r="I218" i="10"/>
  <c r="G218" i="10"/>
  <c r="F218" i="10"/>
  <c r="E218" i="10"/>
  <c r="D218" i="10"/>
  <c r="R217" i="10"/>
  <c r="J217" i="10"/>
  <c r="I217" i="10"/>
  <c r="G217" i="10"/>
  <c r="F217" i="10"/>
  <c r="E217" i="10"/>
  <c r="D217" i="10"/>
  <c r="R216" i="10"/>
  <c r="J216" i="10"/>
  <c r="I216" i="10"/>
  <c r="G216" i="10"/>
  <c r="F216" i="10"/>
  <c r="E216" i="10"/>
  <c r="D216" i="10"/>
  <c r="R215" i="10"/>
  <c r="J215" i="10"/>
  <c r="I215" i="10"/>
  <c r="G215" i="10"/>
  <c r="F215" i="10"/>
  <c r="E215" i="10"/>
  <c r="D215" i="10"/>
  <c r="R214" i="10"/>
  <c r="J214" i="10"/>
  <c r="I214" i="10"/>
  <c r="G214" i="10"/>
  <c r="F214" i="10"/>
  <c r="E214" i="10"/>
  <c r="D214" i="10"/>
  <c r="R213" i="10"/>
  <c r="J213" i="10"/>
  <c r="I213" i="10"/>
  <c r="G213" i="10"/>
  <c r="F213" i="10"/>
  <c r="E213" i="10"/>
  <c r="D213" i="10"/>
  <c r="R212" i="10"/>
  <c r="J212" i="10"/>
  <c r="I212" i="10"/>
  <c r="G212" i="10"/>
  <c r="F212" i="10"/>
  <c r="E212" i="10"/>
  <c r="D212" i="10"/>
  <c r="R211" i="10"/>
  <c r="J211" i="10"/>
  <c r="I211" i="10"/>
  <c r="G211" i="10"/>
  <c r="F211" i="10"/>
  <c r="E211" i="10"/>
  <c r="D211" i="10"/>
  <c r="R210" i="10"/>
  <c r="J210" i="10"/>
  <c r="I210" i="10"/>
  <c r="G210" i="10"/>
  <c r="F210" i="10"/>
  <c r="E210" i="10"/>
  <c r="D210" i="10"/>
  <c r="R209" i="10"/>
  <c r="J209" i="10"/>
  <c r="I209" i="10"/>
  <c r="G209" i="10"/>
  <c r="F209" i="10"/>
  <c r="E209" i="10"/>
  <c r="D209" i="10"/>
  <c r="R208" i="10"/>
  <c r="J208" i="10"/>
  <c r="I208" i="10"/>
  <c r="G208" i="10"/>
  <c r="F208" i="10"/>
  <c r="E208" i="10"/>
  <c r="D208" i="10"/>
  <c r="R207" i="10"/>
  <c r="J207" i="10"/>
  <c r="I207" i="10"/>
  <c r="G207" i="10"/>
  <c r="F207" i="10"/>
  <c r="E207" i="10"/>
  <c r="D207" i="10"/>
  <c r="R206" i="10"/>
  <c r="J206" i="10"/>
  <c r="I206" i="10"/>
  <c r="G206" i="10"/>
  <c r="F206" i="10"/>
  <c r="E206" i="10"/>
  <c r="D206" i="10"/>
  <c r="R205" i="10"/>
  <c r="J205" i="10"/>
  <c r="I205" i="10"/>
  <c r="G205" i="10"/>
  <c r="F205" i="10"/>
  <c r="E205" i="10"/>
  <c r="D205" i="10"/>
  <c r="R204" i="10"/>
  <c r="J204" i="10"/>
  <c r="I204" i="10"/>
  <c r="G204" i="10"/>
  <c r="F204" i="10"/>
  <c r="E204" i="10"/>
  <c r="D204" i="10"/>
  <c r="R203" i="10"/>
  <c r="J203" i="10"/>
  <c r="I203" i="10"/>
  <c r="G203" i="10"/>
  <c r="F203" i="10"/>
  <c r="E203" i="10"/>
  <c r="D203" i="10"/>
  <c r="R202" i="10"/>
  <c r="J202" i="10"/>
  <c r="I202" i="10"/>
  <c r="G202" i="10"/>
  <c r="F202" i="10"/>
  <c r="E202" i="10"/>
  <c r="D202" i="10"/>
  <c r="R201" i="10"/>
  <c r="J201" i="10"/>
  <c r="I201" i="10"/>
  <c r="G201" i="10"/>
  <c r="F201" i="10"/>
  <c r="E201" i="10"/>
  <c r="D201" i="10"/>
  <c r="R200" i="10"/>
  <c r="J200" i="10"/>
  <c r="I200" i="10"/>
  <c r="G200" i="10"/>
  <c r="F200" i="10"/>
  <c r="E200" i="10"/>
  <c r="D200" i="10"/>
  <c r="R199" i="10"/>
  <c r="J199" i="10"/>
  <c r="I199" i="10"/>
  <c r="G199" i="10"/>
  <c r="F199" i="10"/>
  <c r="E199" i="10"/>
  <c r="D199" i="10"/>
  <c r="R198" i="10"/>
  <c r="J198" i="10"/>
  <c r="I198" i="10"/>
  <c r="G198" i="10"/>
  <c r="F198" i="10"/>
  <c r="E198" i="10"/>
  <c r="D198" i="10"/>
  <c r="R197" i="10"/>
  <c r="J197" i="10"/>
  <c r="I197" i="10"/>
  <c r="G197" i="10"/>
  <c r="F197" i="10"/>
  <c r="E197" i="10"/>
  <c r="D197" i="10"/>
  <c r="R196" i="10"/>
  <c r="J196" i="10"/>
  <c r="I196" i="10"/>
  <c r="G196" i="10"/>
  <c r="F196" i="10"/>
  <c r="E196" i="10"/>
  <c r="D196" i="10"/>
  <c r="R195" i="10"/>
  <c r="J195" i="10"/>
  <c r="I195" i="10"/>
  <c r="G195" i="10"/>
  <c r="F195" i="10"/>
  <c r="E195" i="10"/>
  <c r="D195" i="10"/>
  <c r="R194" i="10"/>
  <c r="J194" i="10"/>
  <c r="I194" i="10"/>
  <c r="G194" i="10"/>
  <c r="F194" i="10"/>
  <c r="E194" i="10"/>
  <c r="D194" i="10"/>
  <c r="R193" i="10"/>
  <c r="J193" i="10"/>
  <c r="I193" i="10"/>
  <c r="G193" i="10"/>
  <c r="F193" i="10"/>
  <c r="E193" i="10"/>
  <c r="D193" i="10"/>
  <c r="R192" i="10"/>
  <c r="J192" i="10"/>
  <c r="I192" i="10"/>
  <c r="G192" i="10"/>
  <c r="F192" i="10"/>
  <c r="E192" i="10"/>
  <c r="D192" i="10"/>
  <c r="R191" i="10"/>
  <c r="J191" i="10"/>
  <c r="I191" i="10"/>
  <c r="G191" i="10"/>
  <c r="F191" i="10"/>
  <c r="E191" i="10"/>
  <c r="D191" i="10"/>
  <c r="R190" i="10"/>
  <c r="J190" i="10"/>
  <c r="I190" i="10"/>
  <c r="G190" i="10"/>
  <c r="F190" i="10"/>
  <c r="E190" i="10"/>
  <c r="D190" i="10"/>
  <c r="R189" i="10"/>
  <c r="J189" i="10"/>
  <c r="I189" i="10"/>
  <c r="G189" i="10"/>
  <c r="F189" i="10"/>
  <c r="E189" i="10"/>
  <c r="D189" i="10"/>
  <c r="R188" i="10"/>
  <c r="J188" i="10"/>
  <c r="I188" i="10"/>
  <c r="G188" i="10"/>
  <c r="F188" i="10"/>
  <c r="E188" i="10"/>
  <c r="D188" i="10"/>
  <c r="R187" i="10"/>
  <c r="J187" i="10"/>
  <c r="I187" i="10"/>
  <c r="G187" i="10"/>
  <c r="F187" i="10"/>
  <c r="E187" i="10"/>
  <c r="D187" i="10"/>
  <c r="R186" i="10"/>
  <c r="J186" i="10"/>
  <c r="I186" i="10"/>
  <c r="G186" i="10"/>
  <c r="F186" i="10"/>
  <c r="E186" i="10"/>
  <c r="D186" i="10"/>
  <c r="R185" i="10"/>
  <c r="J185" i="10"/>
  <c r="I185" i="10"/>
  <c r="G185" i="10"/>
  <c r="F185" i="10"/>
  <c r="E185" i="10"/>
  <c r="D185" i="10"/>
  <c r="R184" i="10"/>
  <c r="J184" i="10"/>
  <c r="I184" i="10"/>
  <c r="G184" i="10"/>
  <c r="F184" i="10"/>
  <c r="E184" i="10"/>
  <c r="D184" i="10"/>
  <c r="R183" i="10"/>
  <c r="J183" i="10"/>
  <c r="I183" i="10"/>
  <c r="G183" i="10"/>
  <c r="F183" i="10"/>
  <c r="E183" i="10"/>
  <c r="D183" i="10"/>
  <c r="R182" i="10"/>
  <c r="J182" i="10"/>
  <c r="I182" i="10"/>
  <c r="G182" i="10"/>
  <c r="F182" i="10"/>
  <c r="E182" i="10"/>
  <c r="D182" i="10"/>
  <c r="R181" i="10"/>
  <c r="J181" i="10"/>
  <c r="I181" i="10"/>
  <c r="G181" i="10"/>
  <c r="F181" i="10"/>
  <c r="E181" i="10"/>
  <c r="D181" i="10"/>
  <c r="R180" i="10"/>
  <c r="J180" i="10"/>
  <c r="I180" i="10"/>
  <c r="G180" i="10"/>
  <c r="F180" i="10"/>
  <c r="E180" i="10"/>
  <c r="D180" i="10"/>
  <c r="R179" i="10"/>
  <c r="J179" i="10"/>
  <c r="I179" i="10"/>
  <c r="G179" i="10"/>
  <c r="F179" i="10"/>
  <c r="E179" i="10"/>
  <c r="D179" i="10"/>
  <c r="R178" i="10"/>
  <c r="J178" i="10"/>
  <c r="I178" i="10"/>
  <c r="G178" i="10"/>
  <c r="F178" i="10"/>
  <c r="E178" i="10"/>
  <c r="D178" i="10"/>
  <c r="R177" i="10"/>
  <c r="J177" i="10"/>
  <c r="I177" i="10"/>
  <c r="G177" i="10"/>
  <c r="F177" i="10"/>
  <c r="E177" i="10"/>
  <c r="D177" i="10"/>
  <c r="R176" i="10"/>
  <c r="J176" i="10"/>
  <c r="I176" i="10"/>
  <c r="G176" i="10"/>
  <c r="F176" i="10"/>
  <c r="E176" i="10"/>
  <c r="D176" i="10"/>
  <c r="R175" i="10"/>
  <c r="J175" i="10"/>
  <c r="I175" i="10"/>
  <c r="G175" i="10"/>
  <c r="F175" i="10"/>
  <c r="E175" i="10"/>
  <c r="D175" i="10"/>
  <c r="R174" i="10"/>
  <c r="J174" i="10"/>
  <c r="I174" i="10"/>
  <c r="G174" i="10"/>
  <c r="F174" i="10"/>
  <c r="E174" i="10"/>
  <c r="D174" i="10"/>
  <c r="R173" i="10"/>
  <c r="J173" i="10"/>
  <c r="I173" i="10"/>
  <c r="G173" i="10"/>
  <c r="F173" i="10"/>
  <c r="E173" i="10"/>
  <c r="D173" i="10"/>
  <c r="R172" i="10"/>
  <c r="J172" i="10"/>
  <c r="I172" i="10"/>
  <c r="G172" i="10"/>
  <c r="F172" i="10"/>
  <c r="E172" i="10"/>
  <c r="D172" i="10"/>
  <c r="R171" i="10"/>
  <c r="J171" i="10"/>
  <c r="I171" i="10"/>
  <c r="G171" i="10"/>
  <c r="F171" i="10"/>
  <c r="E171" i="10"/>
  <c r="D171" i="10"/>
  <c r="R170" i="10"/>
  <c r="J170" i="10"/>
  <c r="I170" i="10"/>
  <c r="G170" i="10"/>
  <c r="F170" i="10"/>
  <c r="E170" i="10"/>
  <c r="D170" i="10"/>
  <c r="R169" i="10"/>
  <c r="J169" i="10"/>
  <c r="I169" i="10"/>
  <c r="G169" i="10"/>
  <c r="F169" i="10"/>
  <c r="E169" i="10"/>
  <c r="D169" i="10"/>
  <c r="R168" i="10"/>
  <c r="J168" i="10"/>
  <c r="I168" i="10"/>
  <c r="G168" i="10"/>
  <c r="F168" i="10"/>
  <c r="E168" i="10"/>
  <c r="D168" i="10"/>
  <c r="R167" i="10"/>
  <c r="J167" i="10"/>
  <c r="I167" i="10"/>
  <c r="G167" i="10"/>
  <c r="F167" i="10"/>
  <c r="E167" i="10"/>
  <c r="D167" i="10"/>
  <c r="R166" i="10"/>
  <c r="J166" i="10"/>
  <c r="I166" i="10"/>
  <c r="G166" i="10"/>
  <c r="F166" i="10"/>
  <c r="E166" i="10"/>
  <c r="D166" i="10"/>
  <c r="R165" i="10"/>
  <c r="J165" i="10"/>
  <c r="I165" i="10"/>
  <c r="G165" i="10"/>
  <c r="F165" i="10"/>
  <c r="E165" i="10"/>
  <c r="D165" i="10"/>
  <c r="R164" i="10"/>
  <c r="J164" i="10"/>
  <c r="I164" i="10"/>
  <c r="G164" i="10"/>
  <c r="F164" i="10"/>
  <c r="E164" i="10"/>
  <c r="D164" i="10"/>
  <c r="R163" i="10"/>
  <c r="J163" i="10"/>
  <c r="I163" i="10"/>
  <c r="G163" i="10"/>
  <c r="F163" i="10"/>
  <c r="E163" i="10"/>
  <c r="D163" i="10"/>
  <c r="R162" i="10"/>
  <c r="J162" i="10"/>
  <c r="I162" i="10"/>
  <c r="G162" i="10"/>
  <c r="F162" i="10"/>
  <c r="E162" i="10"/>
  <c r="D162" i="10"/>
  <c r="R161" i="10"/>
  <c r="J161" i="10"/>
  <c r="I161" i="10"/>
  <c r="G161" i="10"/>
  <c r="F161" i="10"/>
  <c r="E161" i="10"/>
  <c r="D161" i="10"/>
  <c r="R160" i="10"/>
  <c r="J160" i="10"/>
  <c r="I160" i="10"/>
  <c r="G160" i="10"/>
  <c r="F160" i="10"/>
  <c r="E160" i="10"/>
  <c r="D160" i="10"/>
  <c r="R159" i="10"/>
  <c r="J159" i="10"/>
  <c r="I159" i="10"/>
  <c r="G159" i="10"/>
  <c r="F159" i="10"/>
  <c r="E159" i="10"/>
  <c r="D159" i="10"/>
  <c r="R158" i="10"/>
  <c r="J158" i="10"/>
  <c r="I158" i="10"/>
  <c r="G158" i="10"/>
  <c r="F158" i="10"/>
  <c r="E158" i="10"/>
  <c r="D158" i="10"/>
  <c r="R157" i="10"/>
  <c r="J157" i="10"/>
  <c r="I157" i="10"/>
  <c r="G157" i="10"/>
  <c r="F157" i="10"/>
  <c r="E157" i="10"/>
  <c r="D157" i="10"/>
  <c r="R156" i="10"/>
  <c r="J156" i="10"/>
  <c r="I156" i="10"/>
  <c r="G156" i="10"/>
  <c r="F156" i="10"/>
  <c r="E156" i="10"/>
  <c r="D156" i="10"/>
  <c r="R155" i="10"/>
  <c r="J155" i="10"/>
  <c r="I155" i="10"/>
  <c r="G155" i="10"/>
  <c r="F155" i="10"/>
  <c r="E155" i="10"/>
  <c r="D155" i="10"/>
  <c r="R154" i="10"/>
  <c r="J154" i="10"/>
  <c r="I154" i="10"/>
  <c r="G154" i="10"/>
  <c r="F154" i="10"/>
  <c r="E154" i="10"/>
  <c r="D154" i="10"/>
  <c r="R153" i="10"/>
  <c r="J153" i="10"/>
  <c r="I153" i="10"/>
  <c r="G153" i="10"/>
  <c r="F153" i="10"/>
  <c r="E153" i="10"/>
  <c r="D153" i="10"/>
  <c r="R152" i="10"/>
  <c r="J152" i="10"/>
  <c r="I152" i="10"/>
  <c r="G152" i="10"/>
  <c r="F152" i="10"/>
  <c r="E152" i="10"/>
  <c r="D152" i="10"/>
  <c r="R151" i="10"/>
  <c r="J151" i="10"/>
  <c r="I151" i="10"/>
  <c r="G151" i="10"/>
  <c r="F151" i="10"/>
  <c r="E151" i="10"/>
  <c r="D151" i="10"/>
  <c r="R150" i="10"/>
  <c r="J150" i="10"/>
  <c r="I150" i="10"/>
  <c r="G150" i="10"/>
  <c r="F150" i="10"/>
  <c r="E150" i="10"/>
  <c r="D150" i="10"/>
  <c r="R149" i="10"/>
  <c r="J149" i="10"/>
  <c r="I149" i="10"/>
  <c r="G149" i="10"/>
  <c r="F149" i="10"/>
  <c r="E149" i="10"/>
  <c r="D149" i="10"/>
  <c r="R148" i="10"/>
  <c r="J148" i="10"/>
  <c r="I148" i="10"/>
  <c r="G148" i="10"/>
  <c r="F148" i="10"/>
  <c r="E148" i="10"/>
  <c r="D148" i="10"/>
  <c r="R147" i="10"/>
  <c r="J147" i="10"/>
  <c r="I147" i="10"/>
  <c r="G147" i="10"/>
  <c r="F147" i="10"/>
  <c r="E147" i="10"/>
  <c r="D147" i="10"/>
  <c r="R146" i="10"/>
  <c r="J146" i="10"/>
  <c r="I146" i="10"/>
  <c r="G146" i="10"/>
  <c r="F146" i="10"/>
  <c r="E146" i="10"/>
  <c r="D146" i="10"/>
  <c r="R145" i="10"/>
  <c r="J145" i="10"/>
  <c r="I145" i="10"/>
  <c r="G145" i="10"/>
  <c r="F145" i="10"/>
  <c r="E145" i="10"/>
  <c r="D145" i="10"/>
  <c r="R144" i="10"/>
  <c r="J144" i="10"/>
  <c r="I144" i="10"/>
  <c r="G144" i="10"/>
  <c r="F144" i="10"/>
  <c r="E144" i="10"/>
  <c r="D144" i="10"/>
  <c r="R143" i="10"/>
  <c r="J143" i="10"/>
  <c r="I143" i="10"/>
  <c r="G143" i="10"/>
  <c r="F143" i="10"/>
  <c r="E143" i="10"/>
  <c r="D143" i="10"/>
  <c r="R142" i="10"/>
  <c r="J142" i="10"/>
  <c r="I142" i="10"/>
  <c r="G142" i="10"/>
  <c r="F142" i="10"/>
  <c r="E142" i="10"/>
  <c r="D142" i="10"/>
  <c r="R141" i="10"/>
  <c r="J141" i="10"/>
  <c r="I141" i="10"/>
  <c r="G141" i="10"/>
  <c r="F141" i="10"/>
  <c r="E141" i="10"/>
  <c r="D141" i="10"/>
  <c r="R140" i="10"/>
  <c r="J140" i="10"/>
  <c r="I140" i="10"/>
  <c r="G140" i="10"/>
  <c r="F140" i="10"/>
  <c r="E140" i="10"/>
  <c r="D140" i="10"/>
  <c r="R139" i="10"/>
  <c r="J139" i="10"/>
  <c r="I139" i="10"/>
  <c r="G139" i="10"/>
  <c r="F139" i="10"/>
  <c r="E139" i="10"/>
  <c r="D139" i="10"/>
  <c r="R138" i="10"/>
  <c r="J138" i="10"/>
  <c r="I138" i="10"/>
  <c r="G138" i="10"/>
  <c r="F138" i="10"/>
  <c r="E138" i="10"/>
  <c r="D138" i="10"/>
  <c r="R137" i="10"/>
  <c r="J137" i="10"/>
  <c r="I137" i="10"/>
  <c r="G137" i="10"/>
  <c r="F137" i="10"/>
  <c r="E137" i="10"/>
  <c r="D137" i="10"/>
  <c r="R136" i="10"/>
  <c r="J136" i="10"/>
  <c r="I136" i="10"/>
  <c r="G136" i="10"/>
  <c r="F136" i="10"/>
  <c r="E136" i="10"/>
  <c r="D136" i="10"/>
  <c r="R135" i="10"/>
  <c r="J135" i="10"/>
  <c r="I135" i="10"/>
  <c r="G135" i="10"/>
  <c r="F135" i="10"/>
  <c r="E135" i="10"/>
  <c r="D135" i="10"/>
  <c r="R134" i="10"/>
  <c r="J134" i="10"/>
  <c r="I134" i="10"/>
  <c r="G134" i="10"/>
  <c r="F134" i="10"/>
  <c r="E134" i="10"/>
  <c r="D134" i="10"/>
  <c r="R133" i="10"/>
  <c r="J133" i="10"/>
  <c r="I133" i="10"/>
  <c r="G133" i="10"/>
  <c r="F133" i="10"/>
  <c r="E133" i="10"/>
  <c r="D133" i="10"/>
  <c r="R132" i="10"/>
  <c r="J132" i="10"/>
  <c r="I132" i="10"/>
  <c r="G132" i="10"/>
  <c r="F132" i="10"/>
  <c r="E132" i="10"/>
  <c r="D132" i="10"/>
  <c r="R131" i="10"/>
  <c r="J131" i="10"/>
  <c r="I131" i="10"/>
  <c r="G131" i="10"/>
  <c r="F131" i="10"/>
  <c r="E131" i="10"/>
  <c r="D131" i="10"/>
  <c r="R130" i="10"/>
  <c r="J130" i="10"/>
  <c r="I130" i="10"/>
  <c r="G130" i="10"/>
  <c r="F130" i="10"/>
  <c r="E130" i="10"/>
  <c r="D130" i="10"/>
  <c r="R129" i="10"/>
  <c r="J129" i="10"/>
  <c r="I129" i="10"/>
  <c r="G129" i="10"/>
  <c r="F129" i="10"/>
  <c r="E129" i="10"/>
  <c r="D129" i="10"/>
  <c r="R128" i="10"/>
  <c r="J128" i="10"/>
  <c r="I128" i="10"/>
  <c r="G128" i="10"/>
  <c r="F128" i="10"/>
  <c r="E128" i="10"/>
  <c r="D128" i="10"/>
  <c r="R127" i="10"/>
  <c r="J127" i="10"/>
  <c r="I127" i="10"/>
  <c r="G127" i="10"/>
  <c r="F127" i="10"/>
  <c r="E127" i="10"/>
  <c r="D127" i="10"/>
  <c r="R126" i="10"/>
  <c r="J126" i="10"/>
  <c r="I126" i="10"/>
  <c r="G126" i="10"/>
  <c r="F126" i="10"/>
  <c r="E126" i="10"/>
  <c r="D126" i="10"/>
  <c r="R125" i="10"/>
  <c r="J125" i="10"/>
  <c r="I125" i="10"/>
  <c r="G125" i="10"/>
  <c r="F125" i="10"/>
  <c r="E125" i="10"/>
  <c r="D125" i="10"/>
  <c r="R124" i="10"/>
  <c r="J124" i="10"/>
  <c r="I124" i="10"/>
  <c r="G124" i="10"/>
  <c r="F124" i="10"/>
  <c r="E124" i="10"/>
  <c r="D124" i="10"/>
  <c r="R123" i="10"/>
  <c r="J123" i="10"/>
  <c r="I123" i="10"/>
  <c r="G123" i="10"/>
  <c r="F123" i="10"/>
  <c r="E123" i="10"/>
  <c r="D123" i="10"/>
  <c r="R122" i="10"/>
  <c r="J122" i="10"/>
  <c r="I122" i="10"/>
  <c r="G122" i="10"/>
  <c r="F122" i="10"/>
  <c r="E122" i="10"/>
  <c r="D122" i="10"/>
  <c r="R121" i="10"/>
  <c r="J121" i="10"/>
  <c r="I121" i="10"/>
  <c r="G121" i="10"/>
  <c r="F121" i="10"/>
  <c r="E121" i="10"/>
  <c r="D121" i="10"/>
  <c r="R120" i="10"/>
  <c r="J120" i="10"/>
  <c r="I120" i="10"/>
  <c r="G120" i="10"/>
  <c r="F120" i="10"/>
  <c r="E120" i="10"/>
  <c r="D120" i="10"/>
  <c r="R119" i="10"/>
  <c r="J119" i="10"/>
  <c r="I119" i="10"/>
  <c r="G119" i="10"/>
  <c r="F119" i="10"/>
  <c r="E119" i="10"/>
  <c r="D119" i="10"/>
  <c r="R118" i="10"/>
  <c r="J118" i="10"/>
  <c r="I118" i="10"/>
  <c r="G118" i="10"/>
  <c r="F118" i="10"/>
  <c r="E118" i="10"/>
  <c r="D118" i="10"/>
  <c r="R117" i="10"/>
  <c r="J117" i="10"/>
  <c r="I117" i="10"/>
  <c r="G117" i="10"/>
  <c r="F117" i="10"/>
  <c r="E117" i="10"/>
  <c r="D117" i="10"/>
  <c r="R116" i="10"/>
  <c r="J116" i="10"/>
  <c r="I116" i="10"/>
  <c r="G116" i="10"/>
  <c r="F116" i="10"/>
  <c r="E116" i="10"/>
  <c r="D116" i="10"/>
  <c r="R115" i="10"/>
  <c r="J115" i="10"/>
  <c r="I115" i="10"/>
  <c r="G115" i="10"/>
  <c r="F115" i="10"/>
  <c r="E115" i="10"/>
  <c r="D115" i="10"/>
  <c r="R114" i="10"/>
  <c r="J114" i="10"/>
  <c r="I114" i="10"/>
  <c r="G114" i="10"/>
  <c r="F114" i="10"/>
  <c r="E114" i="10"/>
  <c r="D114" i="10"/>
  <c r="R113" i="10"/>
  <c r="J113" i="10"/>
  <c r="I113" i="10"/>
  <c r="G113" i="10"/>
  <c r="F113" i="10"/>
  <c r="E113" i="10"/>
  <c r="D113" i="10"/>
  <c r="R112" i="10"/>
  <c r="J112" i="10"/>
  <c r="I112" i="10"/>
  <c r="G112" i="10"/>
  <c r="F112" i="10"/>
  <c r="E112" i="10"/>
  <c r="D112" i="10"/>
  <c r="R111" i="10"/>
  <c r="J111" i="10"/>
  <c r="I111" i="10"/>
  <c r="G111" i="10"/>
  <c r="F111" i="10"/>
  <c r="E111" i="10"/>
  <c r="D111" i="10"/>
  <c r="R110" i="10"/>
  <c r="J110" i="10"/>
  <c r="I110" i="10"/>
  <c r="G110" i="10"/>
  <c r="F110" i="10"/>
  <c r="E110" i="10"/>
  <c r="D110" i="10"/>
  <c r="R109" i="10"/>
  <c r="J109" i="10"/>
  <c r="I109" i="10"/>
  <c r="G109" i="10"/>
  <c r="F109" i="10"/>
  <c r="E109" i="10"/>
  <c r="D109" i="10"/>
  <c r="R108" i="10"/>
  <c r="J108" i="10"/>
  <c r="I108" i="10"/>
  <c r="G108" i="10"/>
  <c r="F108" i="10"/>
  <c r="E108" i="10"/>
  <c r="D108" i="10"/>
  <c r="R107" i="10"/>
  <c r="J107" i="10"/>
  <c r="I107" i="10"/>
  <c r="G107" i="10"/>
  <c r="F107" i="10"/>
  <c r="E107" i="10"/>
  <c r="D107" i="10"/>
  <c r="R106" i="10"/>
  <c r="J106" i="10"/>
  <c r="I106" i="10"/>
  <c r="G106" i="10"/>
  <c r="F106" i="10"/>
  <c r="E106" i="10"/>
  <c r="D106" i="10"/>
  <c r="R105" i="10"/>
  <c r="J105" i="10"/>
  <c r="I105" i="10"/>
  <c r="G105" i="10"/>
  <c r="F105" i="10"/>
  <c r="E105" i="10"/>
  <c r="D105" i="10"/>
  <c r="R104" i="10"/>
  <c r="J104" i="10"/>
  <c r="I104" i="10"/>
  <c r="G104" i="10"/>
  <c r="F104" i="10"/>
  <c r="E104" i="10"/>
  <c r="D104" i="10"/>
  <c r="R103" i="10"/>
  <c r="J103" i="10"/>
  <c r="I103" i="10"/>
  <c r="G103" i="10"/>
  <c r="F103" i="10"/>
  <c r="E103" i="10"/>
  <c r="D103" i="10"/>
  <c r="R102" i="10"/>
  <c r="J102" i="10"/>
  <c r="I102" i="10"/>
  <c r="G102" i="10"/>
  <c r="F102" i="10"/>
  <c r="E102" i="10"/>
  <c r="D102" i="10"/>
  <c r="R101" i="10"/>
  <c r="J101" i="10"/>
  <c r="I101" i="10"/>
  <c r="G101" i="10"/>
  <c r="F101" i="10"/>
  <c r="E101" i="10"/>
  <c r="D101" i="10"/>
  <c r="R100" i="10"/>
  <c r="J100" i="10"/>
  <c r="I100" i="10"/>
  <c r="G100" i="10"/>
  <c r="F100" i="10"/>
  <c r="E100" i="10"/>
  <c r="D100" i="10"/>
  <c r="R99" i="10"/>
  <c r="J99" i="10"/>
  <c r="I99" i="10"/>
  <c r="G99" i="10"/>
  <c r="F99" i="10"/>
  <c r="E99" i="10"/>
  <c r="D99" i="10"/>
  <c r="R98" i="10"/>
  <c r="J98" i="10"/>
  <c r="I98" i="10"/>
  <c r="G98" i="10"/>
  <c r="F98" i="10"/>
  <c r="E98" i="10"/>
  <c r="D98" i="10"/>
  <c r="R97" i="10"/>
  <c r="J97" i="10"/>
  <c r="I97" i="10"/>
  <c r="G97" i="10"/>
  <c r="F97" i="10"/>
  <c r="E97" i="10"/>
  <c r="D97" i="10"/>
  <c r="R96" i="10"/>
  <c r="J96" i="10"/>
  <c r="I96" i="10"/>
  <c r="G96" i="10"/>
  <c r="F96" i="10"/>
  <c r="E96" i="10"/>
  <c r="D96" i="10"/>
  <c r="R95" i="10"/>
  <c r="J95" i="10"/>
  <c r="I95" i="10"/>
  <c r="G95" i="10"/>
  <c r="F95" i="10"/>
  <c r="E95" i="10"/>
  <c r="D95" i="10"/>
  <c r="R94" i="10"/>
  <c r="J94" i="10"/>
  <c r="I94" i="10"/>
  <c r="G94" i="10"/>
  <c r="F94" i="10"/>
  <c r="E94" i="10"/>
  <c r="D94" i="10"/>
  <c r="R93" i="10"/>
  <c r="J93" i="10"/>
  <c r="I93" i="10"/>
  <c r="G93" i="10"/>
  <c r="F93" i="10"/>
  <c r="E93" i="10"/>
  <c r="D93" i="10"/>
  <c r="R92" i="10"/>
  <c r="J92" i="10"/>
  <c r="I92" i="10"/>
  <c r="G92" i="10"/>
  <c r="F92" i="10"/>
  <c r="E92" i="10"/>
  <c r="D92" i="10"/>
  <c r="R91" i="10"/>
  <c r="J91" i="10"/>
  <c r="I91" i="10"/>
  <c r="G91" i="10"/>
  <c r="F91" i="10"/>
  <c r="E91" i="10"/>
  <c r="D91" i="10"/>
  <c r="R90" i="10"/>
  <c r="J90" i="10"/>
  <c r="I90" i="10"/>
  <c r="G90" i="10"/>
  <c r="F90" i="10"/>
  <c r="E90" i="10"/>
  <c r="D90" i="10"/>
  <c r="R89" i="10"/>
  <c r="J89" i="10"/>
  <c r="I89" i="10"/>
  <c r="G89" i="10"/>
  <c r="F89" i="10"/>
  <c r="E89" i="10"/>
  <c r="D89" i="10"/>
  <c r="R88" i="10"/>
  <c r="J88" i="10"/>
  <c r="I88" i="10"/>
  <c r="G88" i="10"/>
  <c r="F88" i="10"/>
  <c r="E88" i="10"/>
  <c r="D88" i="10"/>
  <c r="R87" i="10"/>
  <c r="J87" i="10"/>
  <c r="I87" i="10"/>
  <c r="G87" i="10"/>
  <c r="F87" i="10"/>
  <c r="E87" i="10"/>
  <c r="D87" i="10"/>
  <c r="R86" i="10"/>
  <c r="J86" i="10"/>
  <c r="I86" i="10"/>
  <c r="G86" i="10"/>
  <c r="F86" i="10"/>
  <c r="E86" i="10"/>
  <c r="D86" i="10"/>
  <c r="R85" i="10"/>
  <c r="J85" i="10"/>
  <c r="I85" i="10"/>
  <c r="G85" i="10"/>
  <c r="F85" i="10"/>
  <c r="E85" i="10"/>
  <c r="D85" i="10"/>
  <c r="R84" i="10"/>
  <c r="J84" i="10"/>
  <c r="I84" i="10"/>
  <c r="G84" i="10"/>
  <c r="F84" i="10"/>
  <c r="E84" i="10"/>
  <c r="D84" i="10"/>
  <c r="R83" i="10"/>
  <c r="J83" i="10"/>
  <c r="I83" i="10"/>
  <c r="G83" i="10"/>
  <c r="F83" i="10"/>
  <c r="E83" i="10"/>
  <c r="D83" i="10"/>
  <c r="R82" i="10"/>
  <c r="J82" i="10"/>
  <c r="I82" i="10"/>
  <c r="G82" i="10"/>
  <c r="F82" i="10"/>
  <c r="E82" i="10"/>
  <c r="D82" i="10"/>
  <c r="R81" i="10"/>
  <c r="J81" i="10"/>
  <c r="I81" i="10"/>
  <c r="G81" i="10"/>
  <c r="F81" i="10"/>
  <c r="E81" i="10"/>
  <c r="D81" i="10"/>
  <c r="R80" i="10"/>
  <c r="J80" i="10"/>
  <c r="I80" i="10"/>
  <c r="G80" i="10"/>
  <c r="F80" i="10"/>
  <c r="E80" i="10"/>
  <c r="D80" i="10"/>
  <c r="R79" i="10"/>
  <c r="J79" i="10"/>
  <c r="I79" i="10"/>
  <c r="G79" i="10"/>
  <c r="F79" i="10"/>
  <c r="E79" i="10"/>
  <c r="D79" i="10"/>
  <c r="R78" i="10"/>
  <c r="J78" i="10"/>
  <c r="I78" i="10"/>
  <c r="G78" i="10"/>
  <c r="F78" i="10"/>
  <c r="E78" i="10"/>
  <c r="D78" i="10"/>
  <c r="R77" i="10"/>
  <c r="J77" i="10"/>
  <c r="I77" i="10"/>
  <c r="G77" i="10"/>
  <c r="F77" i="10"/>
  <c r="E77" i="10"/>
  <c r="D77" i="10"/>
  <c r="R76" i="10"/>
  <c r="J76" i="10"/>
  <c r="I76" i="10"/>
  <c r="G76" i="10"/>
  <c r="F76" i="10"/>
  <c r="E76" i="10"/>
  <c r="D76" i="10"/>
  <c r="R75" i="10"/>
  <c r="J75" i="10"/>
  <c r="I75" i="10"/>
  <c r="G75" i="10"/>
  <c r="F75" i="10"/>
  <c r="E75" i="10"/>
  <c r="D75" i="10"/>
  <c r="R74" i="10"/>
  <c r="J74" i="10"/>
  <c r="I74" i="10"/>
  <c r="G74" i="10"/>
  <c r="F74" i="10"/>
  <c r="E74" i="10"/>
  <c r="D74" i="10"/>
  <c r="R73" i="10"/>
  <c r="J73" i="10"/>
  <c r="I73" i="10"/>
  <c r="G73" i="10"/>
  <c r="F73" i="10"/>
  <c r="E73" i="10"/>
  <c r="D73" i="10"/>
  <c r="R72" i="10"/>
  <c r="J72" i="10"/>
  <c r="I72" i="10"/>
  <c r="G72" i="10"/>
  <c r="F72" i="10"/>
  <c r="E72" i="10"/>
  <c r="D72" i="10"/>
  <c r="R71" i="10"/>
  <c r="J71" i="10"/>
  <c r="I71" i="10"/>
  <c r="G71" i="10"/>
  <c r="F71" i="10"/>
  <c r="E71" i="10"/>
  <c r="D71" i="10"/>
  <c r="R70" i="10"/>
  <c r="J70" i="10"/>
  <c r="I70" i="10"/>
  <c r="G70" i="10"/>
  <c r="F70" i="10"/>
  <c r="E70" i="10"/>
  <c r="D70" i="10"/>
  <c r="R69" i="10"/>
  <c r="J69" i="10"/>
  <c r="I69" i="10"/>
  <c r="G69" i="10"/>
  <c r="F69" i="10"/>
  <c r="E69" i="10"/>
  <c r="D69" i="10"/>
  <c r="R68" i="10"/>
  <c r="J68" i="10"/>
  <c r="I68" i="10"/>
  <c r="G68" i="10"/>
  <c r="F68" i="10"/>
  <c r="E68" i="10"/>
  <c r="D68" i="10"/>
  <c r="R67" i="10"/>
  <c r="J67" i="10"/>
  <c r="I67" i="10"/>
  <c r="G67" i="10"/>
  <c r="F67" i="10"/>
  <c r="E67" i="10"/>
  <c r="D67" i="10"/>
  <c r="R66" i="10"/>
  <c r="J66" i="10"/>
  <c r="I66" i="10"/>
  <c r="G66" i="10"/>
  <c r="F66" i="10"/>
  <c r="E66" i="10"/>
  <c r="D66" i="10"/>
  <c r="R65" i="10"/>
  <c r="J65" i="10"/>
  <c r="I65" i="10"/>
  <c r="G65" i="10"/>
  <c r="F65" i="10"/>
  <c r="E65" i="10"/>
  <c r="D65" i="10"/>
  <c r="R64" i="10"/>
  <c r="J64" i="10"/>
  <c r="I64" i="10"/>
  <c r="G64" i="10"/>
  <c r="F64" i="10"/>
  <c r="E64" i="10"/>
  <c r="D64" i="10"/>
  <c r="R63" i="10"/>
  <c r="J63" i="10"/>
  <c r="I63" i="10"/>
  <c r="G63" i="10"/>
  <c r="F63" i="10"/>
  <c r="E63" i="10"/>
  <c r="D63" i="10"/>
  <c r="R62" i="10"/>
  <c r="J62" i="10"/>
  <c r="I62" i="10"/>
  <c r="G62" i="10"/>
  <c r="F62" i="10"/>
  <c r="E62" i="10"/>
  <c r="D62" i="10"/>
  <c r="R61" i="10"/>
  <c r="J61" i="10"/>
  <c r="I61" i="10"/>
  <c r="G61" i="10"/>
  <c r="F61" i="10"/>
  <c r="E61" i="10"/>
  <c r="D61" i="10"/>
  <c r="R60" i="10"/>
  <c r="J60" i="10"/>
  <c r="I60" i="10"/>
  <c r="G60" i="10"/>
  <c r="F60" i="10"/>
  <c r="E60" i="10"/>
  <c r="D60" i="10"/>
  <c r="R59" i="10"/>
  <c r="J59" i="10"/>
  <c r="I59" i="10"/>
  <c r="G59" i="10"/>
  <c r="F59" i="10"/>
  <c r="E59" i="10"/>
  <c r="D59" i="10"/>
  <c r="R58" i="10"/>
  <c r="J58" i="10"/>
  <c r="I58" i="10"/>
  <c r="G58" i="10"/>
  <c r="F58" i="10"/>
  <c r="E58" i="10"/>
  <c r="D58" i="10"/>
  <c r="R57" i="10"/>
  <c r="J57" i="10"/>
  <c r="I57" i="10"/>
  <c r="G57" i="10"/>
  <c r="F57" i="10"/>
  <c r="E57" i="10"/>
  <c r="D57" i="10"/>
  <c r="R56" i="10"/>
  <c r="J56" i="10"/>
  <c r="I56" i="10"/>
  <c r="G56" i="10"/>
  <c r="F56" i="10"/>
  <c r="E56" i="10"/>
  <c r="D56" i="10"/>
  <c r="R55" i="10"/>
  <c r="J55" i="10"/>
  <c r="I55" i="10"/>
  <c r="G55" i="10"/>
  <c r="F55" i="10"/>
  <c r="E55" i="10"/>
  <c r="D55" i="10"/>
  <c r="R54" i="10"/>
  <c r="J54" i="10"/>
  <c r="I54" i="10"/>
  <c r="G54" i="10"/>
  <c r="F54" i="10"/>
  <c r="E54" i="10"/>
  <c r="D54" i="10"/>
  <c r="R53" i="10"/>
  <c r="J53" i="10"/>
  <c r="I53" i="10"/>
  <c r="G53" i="10"/>
  <c r="F53" i="10"/>
  <c r="E53" i="10"/>
  <c r="D53" i="10"/>
  <c r="R52" i="10"/>
  <c r="J52" i="10"/>
  <c r="I52" i="10"/>
  <c r="G52" i="10"/>
  <c r="F52" i="10"/>
  <c r="E52" i="10"/>
  <c r="D52" i="10"/>
  <c r="R51" i="10"/>
  <c r="J51" i="10"/>
  <c r="I51" i="10"/>
  <c r="G51" i="10"/>
  <c r="F51" i="10"/>
  <c r="E51" i="10"/>
  <c r="D51" i="10"/>
  <c r="R50" i="10"/>
  <c r="J50" i="10"/>
  <c r="I50" i="10"/>
  <c r="G50" i="10"/>
  <c r="F50" i="10"/>
  <c r="E50" i="10"/>
  <c r="D50" i="10"/>
  <c r="R49" i="10"/>
  <c r="J49" i="10"/>
  <c r="I49" i="10"/>
  <c r="G49" i="10"/>
  <c r="F49" i="10"/>
  <c r="E49" i="10"/>
  <c r="D49" i="10"/>
  <c r="R48" i="10"/>
  <c r="J48" i="10"/>
  <c r="I48" i="10"/>
  <c r="G48" i="10"/>
  <c r="F48" i="10"/>
  <c r="E48" i="10"/>
  <c r="D48" i="10"/>
  <c r="R47" i="10"/>
  <c r="J47" i="10"/>
  <c r="I47" i="10"/>
  <c r="G47" i="10"/>
  <c r="F47" i="10"/>
  <c r="E47" i="10"/>
  <c r="D47" i="10"/>
  <c r="R46" i="10"/>
  <c r="J46" i="10"/>
  <c r="I46" i="10"/>
  <c r="G46" i="10"/>
  <c r="F46" i="10"/>
  <c r="E46" i="10"/>
  <c r="D46" i="10"/>
  <c r="R45" i="10"/>
  <c r="J45" i="10"/>
  <c r="I45" i="10"/>
  <c r="G45" i="10"/>
  <c r="F45" i="10"/>
  <c r="E45" i="10"/>
  <c r="D45" i="10"/>
  <c r="R44" i="10"/>
  <c r="J44" i="10"/>
  <c r="I44" i="10"/>
  <c r="G44" i="10"/>
  <c r="F44" i="10"/>
  <c r="E44" i="10"/>
  <c r="D44" i="10"/>
  <c r="R43" i="10"/>
  <c r="J43" i="10"/>
  <c r="I43" i="10"/>
  <c r="G43" i="10"/>
  <c r="F43" i="10"/>
  <c r="E43" i="10"/>
  <c r="D43" i="10"/>
  <c r="R42" i="10"/>
  <c r="J42" i="10"/>
  <c r="I42" i="10"/>
  <c r="G42" i="10"/>
  <c r="F42" i="10"/>
  <c r="E42" i="10"/>
  <c r="D42" i="10"/>
  <c r="R41" i="10"/>
  <c r="J41" i="10"/>
  <c r="I41" i="10"/>
  <c r="G41" i="10"/>
  <c r="F41" i="10"/>
  <c r="E41" i="10"/>
  <c r="D41" i="10"/>
  <c r="R40" i="10"/>
  <c r="J40" i="10"/>
  <c r="I40" i="10"/>
  <c r="G40" i="10"/>
  <c r="F40" i="10"/>
  <c r="E40" i="10"/>
  <c r="D40" i="10"/>
  <c r="R39" i="10"/>
  <c r="J39" i="10"/>
  <c r="I39" i="10"/>
  <c r="G39" i="10"/>
  <c r="F39" i="10"/>
  <c r="E39" i="10"/>
  <c r="D39" i="10"/>
  <c r="R38" i="10"/>
  <c r="J38" i="10"/>
  <c r="I38" i="10"/>
  <c r="G38" i="10"/>
  <c r="F38" i="10"/>
  <c r="E38" i="10"/>
  <c r="D38" i="10"/>
  <c r="R37" i="10"/>
  <c r="J37" i="10"/>
  <c r="I37" i="10"/>
  <c r="G37" i="10"/>
  <c r="F37" i="10"/>
  <c r="E37" i="10"/>
  <c r="D37" i="10"/>
  <c r="R36" i="10"/>
  <c r="J36" i="10"/>
  <c r="I36" i="10"/>
  <c r="G36" i="10"/>
  <c r="F36" i="10"/>
  <c r="E36" i="10"/>
  <c r="D36" i="10"/>
  <c r="R35" i="10"/>
  <c r="J35" i="10"/>
  <c r="I35" i="10"/>
  <c r="G35" i="10"/>
  <c r="F35" i="10"/>
  <c r="E35" i="10"/>
  <c r="D35" i="10"/>
  <c r="R34" i="10"/>
  <c r="J34" i="10"/>
  <c r="I34" i="10"/>
  <c r="G34" i="10"/>
  <c r="F34" i="10"/>
  <c r="E34" i="10"/>
  <c r="D34" i="10"/>
  <c r="R33" i="10"/>
  <c r="J33" i="10"/>
  <c r="I33" i="10"/>
  <c r="G33" i="10"/>
  <c r="F33" i="10"/>
  <c r="E33" i="10"/>
  <c r="D33" i="10"/>
  <c r="R32" i="10"/>
  <c r="J32" i="10"/>
  <c r="I32" i="10"/>
  <c r="G32" i="10"/>
  <c r="F32" i="10"/>
  <c r="E32" i="10"/>
  <c r="D32" i="10"/>
  <c r="R31" i="10"/>
  <c r="J31" i="10"/>
  <c r="I31" i="10"/>
  <c r="G31" i="10"/>
  <c r="F31" i="10"/>
  <c r="E31" i="10"/>
  <c r="D31" i="10"/>
  <c r="R30" i="10"/>
  <c r="J30" i="10"/>
  <c r="I30" i="10"/>
  <c r="G30" i="10"/>
  <c r="F30" i="10"/>
  <c r="E30" i="10"/>
  <c r="D30" i="10"/>
  <c r="R29" i="10"/>
  <c r="J29" i="10"/>
  <c r="I29" i="10"/>
  <c r="G29" i="10"/>
  <c r="F29" i="10"/>
  <c r="E29" i="10"/>
  <c r="D29" i="10"/>
  <c r="R28" i="10"/>
  <c r="J28" i="10"/>
  <c r="I28" i="10"/>
  <c r="G28" i="10"/>
  <c r="F28" i="10"/>
  <c r="E28" i="10"/>
  <c r="D28" i="10"/>
  <c r="R27" i="10"/>
  <c r="J27" i="10"/>
  <c r="I27" i="10"/>
  <c r="G27" i="10"/>
  <c r="F27" i="10"/>
  <c r="E27" i="10"/>
  <c r="D27" i="10"/>
  <c r="R26" i="10"/>
  <c r="J26" i="10"/>
  <c r="I26" i="10"/>
  <c r="G26" i="10"/>
  <c r="F26" i="10"/>
  <c r="E26" i="10"/>
  <c r="D26" i="10"/>
  <c r="R25" i="10"/>
  <c r="J25" i="10"/>
  <c r="I25" i="10"/>
  <c r="G25" i="10"/>
  <c r="F25" i="10"/>
  <c r="E25" i="10"/>
  <c r="D25" i="10"/>
  <c r="R24" i="10"/>
  <c r="J24" i="10"/>
  <c r="I24" i="10"/>
  <c r="G24" i="10"/>
  <c r="F24" i="10"/>
  <c r="E24" i="10"/>
  <c r="D24" i="10"/>
  <c r="R23" i="10"/>
  <c r="J23" i="10"/>
  <c r="I23" i="10"/>
  <c r="G23" i="10"/>
  <c r="F23" i="10"/>
  <c r="E23" i="10"/>
  <c r="D23" i="10"/>
  <c r="R22" i="10"/>
  <c r="J22" i="10"/>
  <c r="I22" i="10"/>
  <c r="G22" i="10"/>
  <c r="F22" i="10"/>
  <c r="E22" i="10"/>
  <c r="D22" i="10"/>
  <c r="R21" i="10"/>
  <c r="J21" i="10"/>
  <c r="I21" i="10"/>
  <c r="G21" i="10"/>
  <c r="F21" i="10"/>
  <c r="E21" i="10"/>
  <c r="D21" i="10"/>
  <c r="R20" i="10"/>
  <c r="J20" i="10"/>
  <c r="I20" i="10"/>
  <c r="G20" i="10"/>
  <c r="F20" i="10"/>
  <c r="E20" i="10"/>
  <c r="D20" i="10"/>
  <c r="R19" i="10"/>
  <c r="J19" i="10"/>
  <c r="I19" i="10"/>
  <c r="G19" i="10"/>
  <c r="F19" i="10"/>
  <c r="E19" i="10"/>
  <c r="D19" i="10"/>
  <c r="R18" i="10"/>
  <c r="J18" i="10"/>
  <c r="I18" i="10"/>
  <c r="G18" i="10"/>
  <c r="F18" i="10"/>
  <c r="E18" i="10"/>
  <c r="D18" i="10"/>
  <c r="R17" i="10"/>
  <c r="J17" i="10"/>
  <c r="I17" i="10"/>
  <c r="G17" i="10"/>
  <c r="F17" i="10"/>
  <c r="E17" i="10"/>
  <c r="D17" i="10"/>
  <c r="R16" i="10"/>
  <c r="J16" i="10"/>
  <c r="I16" i="10"/>
  <c r="G16" i="10"/>
  <c r="F16" i="10"/>
  <c r="E16" i="10"/>
  <c r="D16" i="10"/>
  <c r="R15" i="10"/>
  <c r="J15" i="10"/>
  <c r="I15" i="10"/>
  <c r="G15" i="10"/>
  <c r="F15" i="10"/>
  <c r="E15" i="10"/>
  <c r="D15" i="10"/>
  <c r="R14" i="10"/>
  <c r="J14" i="10"/>
  <c r="I14" i="10"/>
  <c r="G14" i="10"/>
  <c r="F14" i="10"/>
  <c r="E14" i="10"/>
  <c r="D14" i="10"/>
  <c r="R13" i="10"/>
  <c r="J13" i="10"/>
  <c r="I13" i="10"/>
  <c r="G13" i="10"/>
  <c r="F13" i="10"/>
  <c r="E13" i="10"/>
  <c r="D13" i="10"/>
  <c r="R12" i="10"/>
  <c r="J12" i="10"/>
  <c r="I12" i="10"/>
  <c r="G12" i="10"/>
  <c r="F12" i="10"/>
  <c r="E12" i="10"/>
  <c r="D12" i="10"/>
  <c r="R11" i="10"/>
  <c r="J11" i="10"/>
  <c r="I11" i="10"/>
  <c r="G11" i="10"/>
  <c r="F11" i="10"/>
  <c r="E11" i="10"/>
  <c r="D11" i="10"/>
  <c r="R10" i="10"/>
  <c r="J10" i="10"/>
  <c r="I10" i="10"/>
  <c r="G10" i="10"/>
  <c r="F10" i="10"/>
  <c r="E10" i="10"/>
  <c r="D10" i="10"/>
  <c r="R9" i="10"/>
  <c r="J9" i="10"/>
  <c r="I9" i="10"/>
  <c r="G9" i="10"/>
  <c r="F9" i="10"/>
  <c r="E9" i="10"/>
  <c r="D9" i="10"/>
  <c r="R8" i="10"/>
  <c r="J8" i="10"/>
  <c r="I8" i="10"/>
  <c r="G8" i="10"/>
  <c r="F8" i="10"/>
  <c r="E8" i="10"/>
  <c r="D8" i="10"/>
  <c r="R7" i="10"/>
  <c r="J7" i="10"/>
  <c r="I7" i="10"/>
  <c r="G7" i="10"/>
  <c r="F7" i="10"/>
  <c r="E7" i="10"/>
  <c r="D7" i="10"/>
  <c r="R6" i="10"/>
  <c r="J6" i="10"/>
  <c r="I6" i="10"/>
  <c r="G6" i="10"/>
  <c r="F6" i="10"/>
  <c r="E6" i="10"/>
  <c r="D6" i="10"/>
  <c r="R250" i="8"/>
  <c r="J250" i="8"/>
  <c r="I250" i="8"/>
  <c r="G250" i="8"/>
  <c r="F250" i="8"/>
  <c r="E250" i="8"/>
  <c r="D250" i="8"/>
  <c r="R249" i="8"/>
  <c r="J249" i="8"/>
  <c r="I249" i="8"/>
  <c r="G249" i="8"/>
  <c r="F249" i="8"/>
  <c r="E249" i="8"/>
  <c r="D249" i="8"/>
  <c r="R247" i="8"/>
  <c r="J247" i="8"/>
  <c r="I247" i="8"/>
  <c r="G247" i="8"/>
  <c r="F247" i="8"/>
  <c r="E247" i="8"/>
  <c r="D247" i="8"/>
  <c r="R245" i="8"/>
  <c r="J245" i="8"/>
  <c r="I245" i="8"/>
  <c r="G245" i="8"/>
  <c r="F245" i="8"/>
  <c r="E245" i="8"/>
  <c r="D245" i="8"/>
  <c r="R243" i="8"/>
  <c r="J243" i="8"/>
  <c r="I243" i="8"/>
  <c r="G243" i="8"/>
  <c r="F243" i="8"/>
  <c r="E243" i="8"/>
  <c r="D243" i="8"/>
  <c r="R240" i="8"/>
  <c r="J240" i="8"/>
  <c r="I240" i="8"/>
  <c r="G240" i="8"/>
  <c r="F240" i="8"/>
  <c r="E240" i="8"/>
  <c r="D240" i="8"/>
  <c r="R140" i="8"/>
  <c r="J140" i="8"/>
  <c r="I140" i="8"/>
  <c r="G140" i="8"/>
  <c r="F140" i="8"/>
  <c r="E140" i="8"/>
  <c r="D140" i="8"/>
  <c r="R239" i="8"/>
  <c r="J239" i="8"/>
  <c r="I239" i="8"/>
  <c r="G239" i="8"/>
  <c r="F239" i="8"/>
  <c r="E239" i="8"/>
  <c r="D239" i="8"/>
  <c r="R236" i="8"/>
  <c r="J236" i="8"/>
  <c r="I236" i="8"/>
  <c r="G236" i="8"/>
  <c r="F236" i="8"/>
  <c r="E236" i="8"/>
  <c r="D236" i="8"/>
  <c r="R234" i="8"/>
  <c r="J234" i="8"/>
  <c r="I234" i="8"/>
  <c r="G234" i="8"/>
  <c r="F234" i="8"/>
  <c r="E234" i="8"/>
  <c r="D234" i="8"/>
  <c r="R232" i="8"/>
  <c r="J232" i="8"/>
  <c r="I232" i="8"/>
  <c r="G232" i="8"/>
  <c r="F232" i="8"/>
  <c r="E232" i="8"/>
  <c r="D232" i="8"/>
  <c r="R229" i="8"/>
  <c r="J229" i="8"/>
  <c r="I229" i="8"/>
  <c r="G229" i="8"/>
  <c r="F229" i="8"/>
  <c r="E229" i="8"/>
  <c r="D229" i="8"/>
  <c r="R225" i="8"/>
  <c r="J225" i="8"/>
  <c r="I225" i="8"/>
  <c r="G225" i="8"/>
  <c r="F225" i="8"/>
  <c r="E225" i="8"/>
  <c r="D225" i="8"/>
  <c r="R113" i="8"/>
  <c r="J113" i="8"/>
  <c r="I113" i="8"/>
  <c r="G113" i="8"/>
  <c r="F113" i="8"/>
  <c r="E113" i="8"/>
  <c r="D113" i="8"/>
  <c r="R231" i="8"/>
  <c r="J231" i="8"/>
  <c r="I231" i="8"/>
  <c r="G231" i="8"/>
  <c r="F231" i="8"/>
  <c r="E231" i="8"/>
  <c r="D231" i="8"/>
  <c r="R227" i="8"/>
  <c r="J227" i="8"/>
  <c r="I227" i="8"/>
  <c r="G227" i="8"/>
  <c r="F227" i="8"/>
  <c r="E227" i="8"/>
  <c r="D227" i="8"/>
  <c r="R221" i="8"/>
  <c r="J221" i="8"/>
  <c r="I221" i="8"/>
  <c r="G221" i="8"/>
  <c r="F221" i="8"/>
  <c r="E221" i="8"/>
  <c r="D221" i="8"/>
  <c r="R216" i="8"/>
  <c r="J216" i="8"/>
  <c r="I216" i="8"/>
  <c r="G216" i="8"/>
  <c r="F216" i="8"/>
  <c r="E216" i="8"/>
  <c r="D216" i="8"/>
  <c r="R210" i="8"/>
  <c r="J210" i="8"/>
  <c r="I210" i="8"/>
  <c r="G210" i="8"/>
  <c r="F210" i="8"/>
  <c r="E210" i="8"/>
  <c r="D210" i="8"/>
  <c r="R204" i="8"/>
  <c r="J204" i="8"/>
  <c r="I204" i="8"/>
  <c r="G204" i="8"/>
  <c r="F204" i="8"/>
  <c r="E204" i="8"/>
  <c r="D204" i="8"/>
  <c r="R94" i="8"/>
  <c r="J94" i="8"/>
  <c r="I94" i="8"/>
  <c r="G94" i="8"/>
  <c r="F94" i="8"/>
  <c r="E94" i="8"/>
  <c r="D94" i="8"/>
  <c r="R220" i="8"/>
  <c r="J220" i="8"/>
  <c r="I220" i="8"/>
  <c r="G220" i="8"/>
  <c r="F220" i="8"/>
  <c r="E220" i="8"/>
  <c r="D220" i="8"/>
  <c r="R212" i="8"/>
  <c r="J212" i="8"/>
  <c r="I212" i="8"/>
  <c r="G212" i="8"/>
  <c r="F212" i="8"/>
  <c r="E212" i="8"/>
  <c r="D212" i="8"/>
  <c r="R203" i="8"/>
  <c r="J203" i="8"/>
  <c r="I203" i="8"/>
  <c r="G203" i="8"/>
  <c r="F203" i="8"/>
  <c r="E203" i="8"/>
  <c r="D203" i="8"/>
  <c r="R196" i="8"/>
  <c r="J196" i="8"/>
  <c r="I196" i="8"/>
  <c r="G196" i="8"/>
  <c r="F196" i="8"/>
  <c r="E196" i="8"/>
  <c r="D196" i="8"/>
  <c r="R192" i="8"/>
  <c r="J192" i="8"/>
  <c r="I192" i="8"/>
  <c r="G192" i="8"/>
  <c r="F192" i="8"/>
  <c r="E192" i="8"/>
  <c r="D192" i="8"/>
  <c r="R187" i="8"/>
  <c r="J187" i="8"/>
  <c r="I187" i="8"/>
  <c r="G187" i="8"/>
  <c r="F187" i="8"/>
  <c r="E187" i="8"/>
  <c r="D187" i="8"/>
  <c r="R73" i="8"/>
  <c r="J73" i="8"/>
  <c r="I73" i="8"/>
  <c r="G73" i="8"/>
  <c r="F73" i="8"/>
  <c r="E73" i="8"/>
  <c r="D73" i="8"/>
  <c r="R202" i="8"/>
  <c r="J202" i="8"/>
  <c r="I202" i="8"/>
  <c r="G202" i="8"/>
  <c r="F202" i="8"/>
  <c r="E202" i="8"/>
  <c r="D202" i="8"/>
  <c r="R195" i="8"/>
  <c r="J195" i="8"/>
  <c r="I195" i="8"/>
  <c r="G195" i="8"/>
  <c r="F195" i="8"/>
  <c r="E195" i="8"/>
  <c r="D195" i="8"/>
  <c r="R190" i="8"/>
  <c r="J190" i="8"/>
  <c r="I190" i="8"/>
  <c r="G190" i="8"/>
  <c r="F190" i="8"/>
  <c r="E190" i="8"/>
  <c r="D190" i="8"/>
  <c r="R182" i="8"/>
  <c r="J182" i="8"/>
  <c r="I182" i="8"/>
  <c r="G182" i="8"/>
  <c r="F182" i="8"/>
  <c r="E182" i="8"/>
  <c r="D182" i="8"/>
  <c r="R177" i="8"/>
  <c r="J177" i="8"/>
  <c r="I177" i="8"/>
  <c r="G177" i="8"/>
  <c r="F177" i="8"/>
  <c r="E177" i="8"/>
  <c r="D177" i="8"/>
  <c r="R172" i="8"/>
  <c r="J172" i="8"/>
  <c r="I172" i="8"/>
  <c r="G172" i="8"/>
  <c r="F172" i="8"/>
  <c r="E172" i="8"/>
  <c r="D172" i="8"/>
  <c r="R47" i="8"/>
  <c r="J47" i="8"/>
  <c r="I47" i="8"/>
  <c r="G47" i="8"/>
  <c r="F47" i="8"/>
  <c r="E47" i="8"/>
  <c r="D47" i="8"/>
  <c r="R248" i="8"/>
  <c r="J248" i="8"/>
  <c r="I248" i="8"/>
  <c r="G248" i="8"/>
  <c r="F248" i="8"/>
  <c r="E248" i="8"/>
  <c r="D248" i="8"/>
  <c r="R246" i="8"/>
  <c r="J246" i="8"/>
  <c r="I246" i="8"/>
  <c r="G246" i="8"/>
  <c r="F246" i="8"/>
  <c r="E246" i="8"/>
  <c r="D246" i="8"/>
  <c r="R242" i="8"/>
  <c r="J242" i="8"/>
  <c r="I242" i="8"/>
  <c r="G242" i="8"/>
  <c r="F242" i="8"/>
  <c r="E242" i="8"/>
  <c r="D242" i="8"/>
  <c r="R237" i="8"/>
  <c r="J237" i="8"/>
  <c r="I237" i="8"/>
  <c r="G237" i="8"/>
  <c r="F237" i="8"/>
  <c r="E237" i="8"/>
  <c r="D237" i="8"/>
  <c r="R138" i="8"/>
  <c r="J138" i="8"/>
  <c r="I138" i="8"/>
  <c r="G138" i="8"/>
  <c r="F138" i="8"/>
  <c r="E138" i="8"/>
  <c r="D138" i="8"/>
  <c r="R134" i="8"/>
  <c r="J134" i="8"/>
  <c r="I134" i="8"/>
  <c r="G134" i="8"/>
  <c r="F134" i="8"/>
  <c r="E134" i="8"/>
  <c r="D134" i="8"/>
  <c r="R130" i="8"/>
  <c r="J130" i="8"/>
  <c r="I130" i="8"/>
  <c r="G130" i="8"/>
  <c r="F130" i="8"/>
  <c r="E130" i="8"/>
  <c r="D130" i="8"/>
  <c r="R235" i="8"/>
  <c r="J235" i="8"/>
  <c r="I235" i="8"/>
  <c r="G235" i="8"/>
  <c r="F235" i="8"/>
  <c r="E235" i="8"/>
  <c r="D235" i="8"/>
  <c r="R233" i="8"/>
  <c r="J233" i="8"/>
  <c r="I233" i="8"/>
  <c r="G233" i="8"/>
  <c r="F233" i="8"/>
  <c r="E233" i="8"/>
  <c r="D233" i="8"/>
  <c r="R228" i="8"/>
  <c r="J228" i="8"/>
  <c r="I228" i="8"/>
  <c r="G228" i="8"/>
  <c r="F228" i="8"/>
  <c r="E228" i="8"/>
  <c r="D228" i="8"/>
  <c r="R223" i="8"/>
  <c r="J223" i="8"/>
  <c r="I223" i="8"/>
  <c r="G223" i="8"/>
  <c r="F223" i="8"/>
  <c r="E223" i="8"/>
  <c r="D223" i="8"/>
  <c r="R111" i="8"/>
  <c r="J111" i="8"/>
  <c r="I111" i="8"/>
  <c r="G111" i="8"/>
  <c r="F111" i="8"/>
  <c r="E111" i="8"/>
  <c r="D111" i="8"/>
  <c r="R107" i="8"/>
  <c r="J107" i="8"/>
  <c r="I107" i="8"/>
  <c r="G107" i="8"/>
  <c r="F107" i="8"/>
  <c r="E107" i="8"/>
  <c r="D107" i="8"/>
  <c r="R103" i="8"/>
  <c r="J103" i="8"/>
  <c r="I103" i="8"/>
  <c r="G103" i="8"/>
  <c r="F103" i="8"/>
  <c r="E103" i="8"/>
  <c r="D103" i="8"/>
  <c r="R222" i="8"/>
  <c r="J222" i="8"/>
  <c r="I222" i="8"/>
  <c r="G222" i="8"/>
  <c r="F222" i="8"/>
  <c r="E222" i="8"/>
  <c r="D222" i="8"/>
  <c r="R218" i="8"/>
  <c r="J218" i="8"/>
  <c r="I218" i="8"/>
  <c r="G218" i="8"/>
  <c r="F218" i="8"/>
  <c r="E218" i="8"/>
  <c r="D218" i="8"/>
  <c r="R209" i="8"/>
  <c r="J209" i="8"/>
  <c r="I209" i="8"/>
  <c r="G209" i="8"/>
  <c r="F209" i="8"/>
  <c r="E209" i="8"/>
  <c r="D209" i="8"/>
  <c r="R199" i="8"/>
  <c r="J199" i="8"/>
  <c r="I199" i="8"/>
  <c r="G199" i="8"/>
  <c r="F199" i="8"/>
  <c r="E199" i="8"/>
  <c r="D199" i="8"/>
  <c r="R91" i="8"/>
  <c r="J91" i="8"/>
  <c r="I91" i="8"/>
  <c r="G91" i="8"/>
  <c r="F91" i="8"/>
  <c r="E91" i="8"/>
  <c r="D91" i="8"/>
  <c r="R83" i="8"/>
  <c r="J83" i="8"/>
  <c r="I83" i="8"/>
  <c r="G83" i="8"/>
  <c r="F83" i="8"/>
  <c r="E83" i="8"/>
  <c r="D83" i="8"/>
  <c r="R76" i="8"/>
  <c r="J76" i="8"/>
  <c r="I76" i="8"/>
  <c r="G76" i="8"/>
  <c r="F76" i="8"/>
  <c r="E76" i="8"/>
  <c r="D76" i="8"/>
  <c r="R207" i="8"/>
  <c r="J207" i="8"/>
  <c r="I207" i="8"/>
  <c r="G207" i="8"/>
  <c r="F207" i="8"/>
  <c r="E207" i="8"/>
  <c r="D207" i="8"/>
  <c r="R197" i="8"/>
  <c r="J197" i="8"/>
  <c r="I197" i="8"/>
  <c r="G197" i="8"/>
  <c r="F197" i="8"/>
  <c r="E197" i="8"/>
  <c r="D197" i="8"/>
  <c r="R191" i="8"/>
  <c r="J191" i="8"/>
  <c r="I191" i="8"/>
  <c r="G191" i="8"/>
  <c r="F191" i="8"/>
  <c r="E191" i="8"/>
  <c r="D191" i="8"/>
  <c r="R185" i="8"/>
  <c r="J185" i="8"/>
  <c r="I185" i="8"/>
  <c r="G185" i="8"/>
  <c r="F185" i="8"/>
  <c r="E185" i="8"/>
  <c r="D185" i="8"/>
  <c r="R67" i="8"/>
  <c r="J67" i="8"/>
  <c r="I67" i="8"/>
  <c r="G67" i="8"/>
  <c r="F67" i="8"/>
  <c r="E67" i="8"/>
  <c r="D67" i="8"/>
  <c r="R60" i="8"/>
  <c r="J60" i="8"/>
  <c r="I60" i="8"/>
  <c r="G60" i="8"/>
  <c r="F60" i="8"/>
  <c r="E60" i="8"/>
  <c r="D60" i="8"/>
  <c r="R52" i="8"/>
  <c r="J52" i="8"/>
  <c r="I52" i="8"/>
  <c r="G52" i="8"/>
  <c r="F52" i="8"/>
  <c r="E52" i="8"/>
  <c r="D52" i="8"/>
  <c r="R193" i="8"/>
  <c r="J193" i="8"/>
  <c r="I193" i="8"/>
  <c r="G193" i="8"/>
  <c r="F193" i="8"/>
  <c r="E193" i="8"/>
  <c r="D193" i="8"/>
  <c r="R184" i="8"/>
  <c r="J184" i="8"/>
  <c r="I184" i="8"/>
  <c r="G184" i="8"/>
  <c r="F184" i="8"/>
  <c r="E184" i="8"/>
  <c r="D184" i="8"/>
  <c r="R176" i="8"/>
  <c r="J176" i="8"/>
  <c r="I176" i="8"/>
  <c r="G176" i="8"/>
  <c r="F176" i="8"/>
  <c r="E176" i="8"/>
  <c r="D176" i="8"/>
  <c r="R169" i="8"/>
  <c r="J169" i="8"/>
  <c r="I169" i="8"/>
  <c r="G169" i="8"/>
  <c r="F169" i="8"/>
  <c r="E169" i="8"/>
  <c r="D169" i="8"/>
  <c r="R44" i="8"/>
  <c r="J44" i="8"/>
  <c r="I44" i="8"/>
  <c r="G44" i="8"/>
  <c r="F44" i="8"/>
  <c r="E44" i="8"/>
  <c r="D44" i="8"/>
  <c r="R36" i="8"/>
  <c r="J36" i="8"/>
  <c r="I36" i="8"/>
  <c r="G36" i="8"/>
  <c r="F36" i="8"/>
  <c r="E36" i="8"/>
  <c r="D36" i="8"/>
  <c r="R27" i="8"/>
  <c r="J27" i="8"/>
  <c r="I27" i="8"/>
  <c r="G27" i="8"/>
  <c r="F27" i="8"/>
  <c r="E27" i="8"/>
  <c r="D27" i="8"/>
  <c r="R244" i="8"/>
  <c r="J244" i="8"/>
  <c r="I244" i="8"/>
  <c r="G244" i="8"/>
  <c r="F244" i="8"/>
  <c r="E244" i="8"/>
  <c r="D244" i="8"/>
  <c r="R241" i="8"/>
  <c r="J241" i="8"/>
  <c r="I241" i="8"/>
  <c r="G241" i="8"/>
  <c r="F241" i="8"/>
  <c r="E241" i="8"/>
  <c r="D241" i="8"/>
  <c r="R139" i="8"/>
  <c r="J139" i="8"/>
  <c r="I139" i="8"/>
  <c r="G139" i="8"/>
  <c r="F139" i="8"/>
  <c r="E139" i="8"/>
  <c r="D139" i="8"/>
  <c r="R135" i="8"/>
  <c r="J135" i="8"/>
  <c r="I135" i="8"/>
  <c r="G135" i="8"/>
  <c r="F135" i="8"/>
  <c r="E135" i="8"/>
  <c r="D135" i="8"/>
  <c r="R129" i="8"/>
  <c r="J129" i="8"/>
  <c r="I129" i="8"/>
  <c r="G129" i="8"/>
  <c r="F129" i="8"/>
  <c r="E129" i="8"/>
  <c r="D129" i="8"/>
  <c r="R127" i="8"/>
  <c r="J127" i="8"/>
  <c r="I127" i="8"/>
  <c r="G127" i="8"/>
  <c r="F127" i="8"/>
  <c r="E127" i="8"/>
  <c r="D127" i="8"/>
  <c r="R122" i="8"/>
  <c r="J122" i="8"/>
  <c r="I122" i="8"/>
  <c r="G122" i="8"/>
  <c r="F122" i="8"/>
  <c r="E122" i="8"/>
  <c r="D122" i="8"/>
  <c r="R230" i="8"/>
  <c r="J230" i="8"/>
  <c r="I230" i="8"/>
  <c r="G230" i="8"/>
  <c r="F230" i="8"/>
  <c r="E230" i="8"/>
  <c r="D230" i="8"/>
  <c r="R226" i="8"/>
  <c r="J226" i="8"/>
  <c r="I226" i="8"/>
  <c r="G226" i="8"/>
  <c r="F226" i="8"/>
  <c r="E226" i="8"/>
  <c r="D226" i="8"/>
  <c r="R112" i="8"/>
  <c r="J112" i="8"/>
  <c r="I112" i="8"/>
  <c r="G112" i="8"/>
  <c r="F112" i="8"/>
  <c r="E112" i="8"/>
  <c r="D112" i="8"/>
  <c r="R108" i="8"/>
  <c r="J108" i="8"/>
  <c r="I108" i="8"/>
  <c r="G108" i="8"/>
  <c r="F108" i="8"/>
  <c r="E108" i="8"/>
  <c r="D108" i="8"/>
  <c r="R102" i="8"/>
  <c r="J102" i="8"/>
  <c r="I102" i="8"/>
  <c r="G102" i="8"/>
  <c r="F102" i="8"/>
  <c r="E102" i="8"/>
  <c r="D102" i="8"/>
  <c r="R100" i="8"/>
  <c r="J100" i="8"/>
  <c r="I100" i="8"/>
  <c r="G100" i="8"/>
  <c r="F100" i="8"/>
  <c r="E100" i="8"/>
  <c r="D100" i="8"/>
  <c r="R95" i="8"/>
  <c r="J95" i="8"/>
  <c r="I95" i="8"/>
  <c r="G95" i="8"/>
  <c r="F95" i="8"/>
  <c r="E95" i="8"/>
  <c r="D95" i="8"/>
  <c r="R214" i="8"/>
  <c r="J214" i="8"/>
  <c r="I214" i="8"/>
  <c r="G214" i="8"/>
  <c r="F214" i="8"/>
  <c r="E214" i="8"/>
  <c r="D214" i="8"/>
  <c r="R206" i="8"/>
  <c r="G206" i="8"/>
  <c r="F206" i="8"/>
  <c r="E206" i="8"/>
  <c r="D206" i="8"/>
  <c r="R93" i="8"/>
  <c r="J93" i="8"/>
  <c r="I93" i="8"/>
  <c r="G93" i="8"/>
  <c r="F93" i="8"/>
  <c r="E93" i="8"/>
  <c r="D93" i="8"/>
  <c r="R85" i="8"/>
  <c r="J85" i="8"/>
  <c r="I85" i="8"/>
  <c r="G85" i="8"/>
  <c r="F85" i="8"/>
  <c r="E85" i="8"/>
  <c r="D85" i="8"/>
  <c r="R75" i="8"/>
  <c r="J75" i="8"/>
  <c r="I75" i="8"/>
  <c r="G75" i="8"/>
  <c r="F75" i="8"/>
  <c r="E75" i="8"/>
  <c r="D75" i="8"/>
  <c r="R72" i="8"/>
  <c r="J72" i="8"/>
  <c r="I72" i="8"/>
  <c r="G72" i="8"/>
  <c r="F72" i="8"/>
  <c r="E72" i="8"/>
  <c r="D72" i="8"/>
  <c r="R63" i="8"/>
  <c r="J63" i="8"/>
  <c r="I63" i="8"/>
  <c r="G63" i="8"/>
  <c r="F63" i="8"/>
  <c r="E63" i="8"/>
  <c r="D63" i="8"/>
  <c r="R194" i="8"/>
  <c r="J194" i="8"/>
  <c r="I194" i="8"/>
  <c r="G194" i="8"/>
  <c r="F194" i="8"/>
  <c r="E194" i="8"/>
  <c r="D194" i="8"/>
  <c r="R189" i="8"/>
  <c r="J189" i="8"/>
  <c r="I189" i="8"/>
  <c r="G189" i="8"/>
  <c r="F189" i="8"/>
  <c r="E189" i="8"/>
  <c r="D189" i="8"/>
  <c r="R71" i="8"/>
  <c r="J71" i="8"/>
  <c r="I71" i="8"/>
  <c r="G71" i="8"/>
  <c r="F71" i="8"/>
  <c r="E71" i="8"/>
  <c r="D71" i="8"/>
  <c r="R62" i="8"/>
  <c r="J62" i="8"/>
  <c r="I62" i="8"/>
  <c r="G62" i="8"/>
  <c r="F62" i="8"/>
  <c r="E62" i="8"/>
  <c r="D62" i="8"/>
  <c r="R51" i="8"/>
  <c r="J51" i="8"/>
  <c r="I51" i="8"/>
  <c r="G51" i="8"/>
  <c r="F51" i="8"/>
  <c r="E51" i="8"/>
  <c r="D51" i="8"/>
  <c r="R42" i="8"/>
  <c r="J42" i="8"/>
  <c r="I42" i="8"/>
  <c r="G42" i="8"/>
  <c r="F42" i="8"/>
  <c r="E42" i="8"/>
  <c r="D42" i="8"/>
  <c r="R34" i="8"/>
  <c r="J34" i="8"/>
  <c r="I34" i="8"/>
  <c r="G34" i="8"/>
  <c r="F34" i="8"/>
  <c r="E34" i="8"/>
  <c r="D34" i="8"/>
  <c r="R180" i="8"/>
  <c r="J180" i="8"/>
  <c r="I180" i="8"/>
  <c r="G180" i="8"/>
  <c r="F180" i="8"/>
  <c r="E180" i="8"/>
  <c r="D180" i="8"/>
  <c r="R174" i="8"/>
  <c r="J174" i="8"/>
  <c r="I174" i="8"/>
  <c r="G174" i="8"/>
  <c r="F174" i="8"/>
  <c r="E174" i="8"/>
  <c r="D174" i="8"/>
  <c r="R46" i="8"/>
  <c r="J46" i="8"/>
  <c r="I46" i="8"/>
  <c r="G46" i="8"/>
  <c r="F46" i="8"/>
  <c r="E46" i="8"/>
  <c r="D46" i="8"/>
  <c r="R37" i="8"/>
  <c r="J37" i="8"/>
  <c r="I37" i="8"/>
  <c r="G37" i="8"/>
  <c r="F37" i="8"/>
  <c r="E37" i="8"/>
  <c r="D37" i="8"/>
  <c r="R26" i="8"/>
  <c r="J26" i="8"/>
  <c r="I26" i="8"/>
  <c r="G26" i="8"/>
  <c r="F26" i="8"/>
  <c r="E26" i="8"/>
  <c r="D26" i="8"/>
  <c r="R19" i="8"/>
  <c r="J19" i="8"/>
  <c r="I19" i="8"/>
  <c r="G19" i="8"/>
  <c r="F19" i="8"/>
  <c r="E19" i="8"/>
  <c r="D19" i="8"/>
  <c r="R14" i="8"/>
  <c r="J14" i="8"/>
  <c r="I14" i="8"/>
  <c r="G14" i="8"/>
  <c r="F14" i="8"/>
  <c r="E14" i="8"/>
  <c r="D14" i="8"/>
  <c r="R238" i="8"/>
  <c r="J238" i="8"/>
  <c r="I238" i="8"/>
  <c r="G238" i="8"/>
  <c r="F238" i="8"/>
  <c r="E238" i="8"/>
  <c r="D238" i="8"/>
  <c r="R137" i="8"/>
  <c r="J137" i="8"/>
  <c r="I137" i="8"/>
  <c r="G137" i="8"/>
  <c r="F137" i="8"/>
  <c r="E137" i="8"/>
  <c r="D137" i="8"/>
  <c r="R133" i="8"/>
  <c r="J133" i="8"/>
  <c r="I133" i="8"/>
  <c r="G133" i="8"/>
  <c r="F133" i="8"/>
  <c r="E133" i="8"/>
  <c r="D133" i="8"/>
  <c r="R128" i="8"/>
  <c r="J128" i="8"/>
  <c r="I128" i="8"/>
  <c r="G128" i="8"/>
  <c r="F128" i="8"/>
  <c r="E128" i="8"/>
  <c r="D128" i="8"/>
  <c r="R123" i="8"/>
  <c r="J123" i="8"/>
  <c r="I123" i="8"/>
  <c r="G123" i="8"/>
  <c r="F123" i="8"/>
  <c r="E123" i="8"/>
  <c r="D123" i="8"/>
  <c r="R118" i="8"/>
  <c r="J118" i="8"/>
  <c r="I118" i="8"/>
  <c r="G118" i="8"/>
  <c r="F118" i="8"/>
  <c r="E118" i="8"/>
  <c r="D118" i="8"/>
  <c r="R115" i="8"/>
  <c r="J115" i="8"/>
  <c r="I115" i="8"/>
  <c r="G115" i="8"/>
  <c r="F115" i="8"/>
  <c r="E115" i="8"/>
  <c r="D115" i="8"/>
  <c r="R224" i="8"/>
  <c r="J224" i="8"/>
  <c r="I224" i="8"/>
  <c r="G224" i="8"/>
  <c r="F224" i="8"/>
  <c r="E224" i="8"/>
  <c r="D224" i="8"/>
  <c r="R110" i="8"/>
  <c r="J110" i="8"/>
  <c r="I110" i="8"/>
  <c r="G110" i="8"/>
  <c r="F110" i="8"/>
  <c r="E110" i="8"/>
  <c r="D110" i="8"/>
  <c r="R106" i="8"/>
  <c r="J106" i="8"/>
  <c r="I106" i="8"/>
  <c r="G106" i="8"/>
  <c r="F106" i="8"/>
  <c r="E106" i="8"/>
  <c r="D106" i="8"/>
  <c r="R101" i="8"/>
  <c r="J101" i="8"/>
  <c r="I101" i="8"/>
  <c r="G101" i="8"/>
  <c r="F101" i="8"/>
  <c r="E101" i="8"/>
  <c r="D101" i="8"/>
  <c r="R96" i="8"/>
  <c r="J96" i="8"/>
  <c r="I96" i="8"/>
  <c r="G96" i="8"/>
  <c r="F96" i="8"/>
  <c r="E96" i="8"/>
  <c r="D96" i="8"/>
  <c r="R86" i="8"/>
  <c r="J86" i="8"/>
  <c r="I86" i="8"/>
  <c r="G86" i="8"/>
  <c r="F86" i="8"/>
  <c r="E86" i="8"/>
  <c r="D86" i="8"/>
  <c r="R80" i="8"/>
  <c r="J80" i="8"/>
  <c r="I80" i="8"/>
  <c r="G80" i="8"/>
  <c r="F80" i="8"/>
  <c r="E80" i="8"/>
  <c r="D80" i="8"/>
  <c r="R201" i="8"/>
  <c r="J201" i="8"/>
  <c r="I201" i="8"/>
  <c r="G201" i="8"/>
  <c r="F201" i="8"/>
  <c r="E201" i="8"/>
  <c r="D201" i="8"/>
  <c r="R90" i="8"/>
  <c r="J90" i="8"/>
  <c r="I90" i="8"/>
  <c r="G90" i="8"/>
  <c r="F90" i="8"/>
  <c r="E90" i="8"/>
  <c r="D90" i="8"/>
  <c r="R81" i="8"/>
  <c r="J81" i="8"/>
  <c r="I81" i="8"/>
  <c r="G81" i="8"/>
  <c r="E81" i="8"/>
  <c r="D81" i="8"/>
  <c r="R74" i="8"/>
  <c r="J74" i="8"/>
  <c r="I74" i="8"/>
  <c r="G74" i="8"/>
  <c r="F74" i="8"/>
  <c r="E74" i="8"/>
  <c r="D74" i="8"/>
  <c r="R64" i="8"/>
  <c r="J64" i="8"/>
  <c r="I64" i="8"/>
  <c r="G64" i="8"/>
  <c r="F64" i="8"/>
  <c r="E64" i="8"/>
  <c r="D64" i="8"/>
  <c r="R57" i="8"/>
  <c r="J57" i="8"/>
  <c r="I57" i="8"/>
  <c r="G57" i="8"/>
  <c r="F57" i="8"/>
  <c r="E57" i="8"/>
  <c r="D57" i="8"/>
  <c r="R49" i="8"/>
  <c r="J49" i="8"/>
  <c r="I49" i="8"/>
  <c r="G49" i="8"/>
  <c r="F49" i="8"/>
  <c r="E49" i="8"/>
  <c r="D49" i="8"/>
  <c r="R186" i="8"/>
  <c r="J186" i="8"/>
  <c r="I186" i="8"/>
  <c r="G186" i="8"/>
  <c r="F186" i="8"/>
  <c r="E186" i="8"/>
  <c r="D186" i="8"/>
  <c r="R66" i="8"/>
  <c r="J66" i="8"/>
  <c r="I66" i="8"/>
  <c r="G66" i="8"/>
  <c r="F66" i="8"/>
  <c r="E66" i="8"/>
  <c r="D66" i="8"/>
  <c r="R56" i="8"/>
  <c r="J56" i="8"/>
  <c r="I56" i="8"/>
  <c r="G56" i="8"/>
  <c r="F56" i="8"/>
  <c r="E56" i="8"/>
  <c r="D56" i="8"/>
  <c r="R45" i="8"/>
  <c r="J45" i="8"/>
  <c r="I45" i="8"/>
  <c r="G45" i="8"/>
  <c r="F45" i="8"/>
  <c r="E45" i="8"/>
  <c r="D45" i="8"/>
  <c r="R35" i="8"/>
  <c r="J35" i="8"/>
  <c r="I35" i="8"/>
  <c r="G35" i="8"/>
  <c r="F35" i="8"/>
  <c r="E35" i="8"/>
  <c r="D35" i="8"/>
  <c r="R25" i="8"/>
  <c r="J25" i="8"/>
  <c r="I25" i="8"/>
  <c r="G25" i="8"/>
  <c r="F25" i="8"/>
  <c r="E25" i="8"/>
  <c r="D25" i="8"/>
  <c r="R21" i="8"/>
  <c r="J21" i="8"/>
  <c r="I21" i="8"/>
  <c r="G21" i="8"/>
  <c r="F21" i="8"/>
  <c r="E21" i="8"/>
  <c r="D21" i="8"/>
  <c r="R171" i="8"/>
  <c r="J171" i="8"/>
  <c r="I171" i="8"/>
  <c r="G171" i="8"/>
  <c r="F171" i="8"/>
  <c r="E171" i="8"/>
  <c r="D171" i="8"/>
  <c r="R43" i="8"/>
  <c r="J43" i="8"/>
  <c r="I43" i="8"/>
  <c r="G43" i="8"/>
  <c r="F43" i="8"/>
  <c r="E43" i="8"/>
  <c r="D43" i="8"/>
  <c r="R33" i="8"/>
  <c r="J33" i="8"/>
  <c r="I33" i="8"/>
  <c r="G33" i="8"/>
  <c r="F33" i="8"/>
  <c r="E33" i="8"/>
  <c r="D33" i="8"/>
  <c r="R23" i="8"/>
  <c r="J23" i="8"/>
  <c r="I23" i="8"/>
  <c r="G23" i="8"/>
  <c r="F23" i="8"/>
  <c r="E23" i="8"/>
  <c r="D23" i="8"/>
  <c r="R15" i="8"/>
  <c r="J15" i="8"/>
  <c r="I15" i="8"/>
  <c r="G15" i="8"/>
  <c r="F15" i="8"/>
  <c r="E15" i="8"/>
  <c r="D15" i="8"/>
  <c r="R10" i="8"/>
  <c r="J10" i="8"/>
  <c r="I10" i="8"/>
  <c r="G10" i="8"/>
  <c r="F10" i="8"/>
  <c r="E10" i="8"/>
  <c r="D10" i="8"/>
  <c r="R7" i="8"/>
  <c r="J7" i="8"/>
  <c r="I7" i="8"/>
  <c r="G7" i="8"/>
  <c r="F7" i="8"/>
  <c r="E7" i="8"/>
  <c r="D7" i="8"/>
  <c r="R136" i="8"/>
  <c r="J136" i="8"/>
  <c r="I136" i="8"/>
  <c r="G136" i="8"/>
  <c r="F136" i="8"/>
  <c r="E136" i="8"/>
  <c r="D136" i="8"/>
  <c r="R132" i="8"/>
  <c r="J132" i="8"/>
  <c r="I132" i="8"/>
  <c r="G132" i="8"/>
  <c r="F132" i="8"/>
  <c r="E132" i="8"/>
  <c r="D132" i="8"/>
  <c r="R126" i="8"/>
  <c r="J126" i="8"/>
  <c r="I126" i="8"/>
  <c r="G126" i="8"/>
  <c r="F126" i="8"/>
  <c r="E126" i="8"/>
  <c r="D126" i="8"/>
  <c r="R121" i="8"/>
  <c r="J121" i="8"/>
  <c r="I121" i="8"/>
  <c r="G121" i="8"/>
  <c r="F121" i="8"/>
  <c r="E121" i="8"/>
  <c r="D121" i="8"/>
  <c r="R117" i="8"/>
  <c r="J117" i="8"/>
  <c r="I117" i="8"/>
  <c r="G117" i="8"/>
  <c r="F117" i="8"/>
  <c r="E117" i="8"/>
  <c r="D117" i="8"/>
  <c r="R219" i="8"/>
  <c r="J219" i="8"/>
  <c r="I219" i="8"/>
  <c r="G219" i="8"/>
  <c r="F219" i="8"/>
  <c r="E219" i="8"/>
  <c r="D219" i="8"/>
  <c r="R213" i="8"/>
  <c r="J213" i="8"/>
  <c r="I213" i="8"/>
  <c r="G213" i="8"/>
  <c r="F213" i="8"/>
  <c r="E213" i="8"/>
  <c r="D213" i="8"/>
  <c r="R109" i="8"/>
  <c r="J109" i="8"/>
  <c r="I109" i="8"/>
  <c r="G109" i="8"/>
  <c r="F109" i="8"/>
  <c r="E109" i="8"/>
  <c r="D109" i="8"/>
  <c r="R105" i="8"/>
  <c r="J105" i="8"/>
  <c r="I105" i="8"/>
  <c r="G105" i="8"/>
  <c r="F105" i="8"/>
  <c r="E105" i="8"/>
  <c r="D105" i="8"/>
  <c r="R99" i="8"/>
  <c r="J99" i="8"/>
  <c r="I99" i="8"/>
  <c r="G99" i="8"/>
  <c r="F99" i="8"/>
  <c r="E99" i="8"/>
  <c r="D99" i="8"/>
  <c r="R92" i="8"/>
  <c r="J92" i="8"/>
  <c r="I92" i="8"/>
  <c r="G92" i="8"/>
  <c r="F92" i="8"/>
  <c r="E92" i="8"/>
  <c r="D92" i="8"/>
  <c r="R84" i="8"/>
  <c r="J84" i="8"/>
  <c r="I84" i="8"/>
  <c r="G84" i="8"/>
  <c r="F84" i="8"/>
  <c r="E84" i="8"/>
  <c r="D84" i="8"/>
  <c r="R188" i="8"/>
  <c r="J188" i="8"/>
  <c r="I188" i="8"/>
  <c r="G188" i="8"/>
  <c r="F188" i="8"/>
  <c r="E188" i="8"/>
  <c r="D188" i="8"/>
  <c r="R179" i="8"/>
  <c r="J179" i="8"/>
  <c r="I179" i="8"/>
  <c r="G179" i="8"/>
  <c r="F179" i="8"/>
  <c r="E179" i="8"/>
  <c r="D179" i="8"/>
  <c r="R87" i="8"/>
  <c r="J87" i="8"/>
  <c r="I87" i="8"/>
  <c r="G87" i="8"/>
  <c r="F87" i="8"/>
  <c r="E87" i="8"/>
  <c r="D87" i="8"/>
  <c r="R78" i="8"/>
  <c r="J78" i="8"/>
  <c r="I78" i="8"/>
  <c r="G78" i="8"/>
  <c r="F78" i="8"/>
  <c r="E78" i="8"/>
  <c r="D78" i="8"/>
  <c r="R70" i="8"/>
  <c r="J70" i="8"/>
  <c r="I70" i="8"/>
  <c r="G70" i="8"/>
  <c r="F70" i="8"/>
  <c r="E70" i="8"/>
  <c r="D70" i="8"/>
  <c r="R61" i="8"/>
  <c r="J61" i="8"/>
  <c r="I61" i="8"/>
  <c r="G61" i="8"/>
  <c r="F61" i="8"/>
  <c r="E61" i="8"/>
  <c r="D61" i="8"/>
  <c r="R53" i="8"/>
  <c r="J53" i="8"/>
  <c r="I53" i="8"/>
  <c r="G53" i="8"/>
  <c r="F53" i="8"/>
  <c r="E53" i="8"/>
  <c r="D53" i="8"/>
  <c r="R167" i="8"/>
  <c r="J167" i="8"/>
  <c r="I167" i="8"/>
  <c r="G167" i="8"/>
  <c r="F167" i="8"/>
  <c r="E167" i="8"/>
  <c r="D167" i="8"/>
  <c r="R164" i="8"/>
  <c r="J164" i="8"/>
  <c r="I164" i="8"/>
  <c r="G164" i="8"/>
  <c r="F164" i="8"/>
  <c r="E164" i="8"/>
  <c r="D164" i="8"/>
  <c r="R65" i="8"/>
  <c r="J65" i="8"/>
  <c r="I65" i="8"/>
  <c r="G65" i="8"/>
  <c r="F65" i="8"/>
  <c r="E65" i="8"/>
  <c r="D65" i="8"/>
  <c r="R55" i="8"/>
  <c r="J55" i="8"/>
  <c r="I55" i="8"/>
  <c r="G55" i="8"/>
  <c r="F55" i="8"/>
  <c r="E55" i="8"/>
  <c r="D55" i="8"/>
  <c r="R41" i="8"/>
  <c r="J41" i="8"/>
  <c r="I41" i="8"/>
  <c r="G41" i="8"/>
  <c r="F41" i="8"/>
  <c r="E41" i="8"/>
  <c r="D41" i="8"/>
  <c r="R32" i="8"/>
  <c r="J32" i="8"/>
  <c r="I32" i="8"/>
  <c r="G32" i="8"/>
  <c r="F32" i="8"/>
  <c r="E32" i="8"/>
  <c r="D32" i="8"/>
  <c r="R24" i="8"/>
  <c r="J24" i="8"/>
  <c r="I24" i="8"/>
  <c r="G24" i="8"/>
  <c r="F24" i="8"/>
  <c r="E24" i="8"/>
  <c r="D24" i="8"/>
  <c r="R159" i="8"/>
  <c r="J159" i="8"/>
  <c r="I159" i="8"/>
  <c r="G159" i="8"/>
  <c r="F159" i="8"/>
  <c r="E159" i="8"/>
  <c r="D159" i="8"/>
  <c r="R155" i="8"/>
  <c r="J155" i="8"/>
  <c r="I155" i="8"/>
  <c r="G155" i="8"/>
  <c r="F155" i="8"/>
  <c r="E155" i="8"/>
  <c r="D155" i="8"/>
  <c r="R40" i="8"/>
  <c r="J40" i="8"/>
  <c r="I40" i="8"/>
  <c r="G40" i="8"/>
  <c r="F40" i="8"/>
  <c r="E40" i="8"/>
  <c r="D40" i="8"/>
  <c r="R29" i="8"/>
  <c r="J29" i="8"/>
  <c r="I29" i="8"/>
  <c r="G29" i="8"/>
  <c r="F29" i="8"/>
  <c r="E29" i="8"/>
  <c r="D29" i="8"/>
  <c r="R18" i="8"/>
  <c r="J18" i="8"/>
  <c r="I18" i="8"/>
  <c r="G18" i="8"/>
  <c r="F18" i="8"/>
  <c r="E18" i="8"/>
  <c r="D18" i="8"/>
  <c r="R13" i="8"/>
  <c r="J13" i="8"/>
  <c r="I13" i="8"/>
  <c r="G13" i="8"/>
  <c r="F13" i="8"/>
  <c r="E13" i="8"/>
  <c r="D13" i="8"/>
  <c r="R9" i="8"/>
  <c r="J9" i="8"/>
  <c r="I9" i="8"/>
  <c r="X9" i="8" s="1"/>
  <c r="G9" i="8"/>
  <c r="F9" i="8"/>
  <c r="E9" i="8"/>
  <c r="D9" i="8"/>
  <c r="R151" i="8"/>
  <c r="J151" i="8"/>
  <c r="I151" i="8"/>
  <c r="G151" i="8"/>
  <c r="F151" i="8"/>
  <c r="E151" i="8"/>
  <c r="D151" i="8"/>
  <c r="R147" i="8"/>
  <c r="J147" i="8"/>
  <c r="I147" i="8"/>
  <c r="G147" i="8"/>
  <c r="F147" i="8"/>
  <c r="E147" i="8"/>
  <c r="D147" i="8"/>
  <c r="R131" i="8"/>
  <c r="J131" i="8"/>
  <c r="I131" i="8"/>
  <c r="G131" i="8"/>
  <c r="F131" i="8"/>
  <c r="E131" i="8"/>
  <c r="D131" i="8"/>
  <c r="R124" i="8"/>
  <c r="J124" i="8"/>
  <c r="I124" i="8"/>
  <c r="G124" i="8"/>
  <c r="F124" i="8"/>
  <c r="E124" i="8"/>
  <c r="D124" i="8"/>
  <c r="R120" i="8"/>
  <c r="J120" i="8"/>
  <c r="I120" i="8"/>
  <c r="G120" i="8"/>
  <c r="F120" i="8"/>
  <c r="E120" i="8"/>
  <c r="D120" i="8"/>
  <c r="R116" i="8"/>
  <c r="J116" i="8"/>
  <c r="I116" i="8"/>
  <c r="G116" i="8"/>
  <c r="F116" i="8"/>
  <c r="E116" i="8"/>
  <c r="D116" i="8"/>
  <c r="R217" i="8"/>
  <c r="J217" i="8"/>
  <c r="I217" i="8"/>
  <c r="G217" i="8"/>
  <c r="F217" i="8"/>
  <c r="E217" i="8"/>
  <c r="D217" i="8"/>
  <c r="R211" i="8"/>
  <c r="J211" i="8"/>
  <c r="I211" i="8"/>
  <c r="G211" i="8"/>
  <c r="F211" i="8"/>
  <c r="E211" i="8"/>
  <c r="D211" i="8"/>
  <c r="R205" i="8"/>
  <c r="J205" i="8"/>
  <c r="I205" i="8"/>
  <c r="G205" i="8"/>
  <c r="F205" i="8"/>
  <c r="E205" i="8"/>
  <c r="D205" i="8"/>
  <c r="R104" i="8"/>
  <c r="J104" i="8"/>
  <c r="I104" i="8"/>
  <c r="G104" i="8"/>
  <c r="F104" i="8"/>
  <c r="E104" i="8"/>
  <c r="D104" i="8"/>
  <c r="R97" i="8"/>
  <c r="J97" i="8"/>
  <c r="I97" i="8"/>
  <c r="L97" i="8" s="1"/>
  <c r="G97" i="8"/>
  <c r="F97" i="8"/>
  <c r="E97" i="8"/>
  <c r="D97" i="8"/>
  <c r="R89" i="8"/>
  <c r="J89" i="8"/>
  <c r="I89" i="8"/>
  <c r="G89" i="8"/>
  <c r="F89" i="8"/>
  <c r="E89" i="8"/>
  <c r="D89" i="8"/>
  <c r="R82" i="8"/>
  <c r="J82" i="8"/>
  <c r="I82" i="8"/>
  <c r="G82" i="8"/>
  <c r="E82" i="8"/>
  <c r="D82" i="8"/>
  <c r="R183" i="8"/>
  <c r="J183" i="8"/>
  <c r="I183" i="8"/>
  <c r="G183" i="8"/>
  <c r="F183" i="8"/>
  <c r="E183" i="8"/>
  <c r="D183" i="8"/>
  <c r="R178" i="8"/>
  <c r="J178" i="8"/>
  <c r="I178" i="8"/>
  <c r="G178" i="8"/>
  <c r="F178" i="8"/>
  <c r="E178" i="8"/>
  <c r="D178" i="8"/>
  <c r="R173" i="8"/>
  <c r="J173" i="8"/>
  <c r="I173" i="8"/>
  <c r="G173" i="8"/>
  <c r="F173" i="8"/>
  <c r="E173" i="8"/>
  <c r="D173" i="8"/>
  <c r="R77" i="8"/>
  <c r="J77" i="8"/>
  <c r="I77" i="8"/>
  <c r="G77" i="8"/>
  <c r="F77" i="8"/>
  <c r="E77" i="8"/>
  <c r="D77" i="8"/>
  <c r="R68" i="8"/>
  <c r="J68" i="8"/>
  <c r="I68" i="8"/>
  <c r="G68" i="8"/>
  <c r="F68" i="8"/>
  <c r="E68" i="8"/>
  <c r="D68" i="8"/>
  <c r="R59" i="8"/>
  <c r="J59" i="8"/>
  <c r="I59" i="8"/>
  <c r="G59" i="8"/>
  <c r="F59" i="8"/>
  <c r="E59" i="8"/>
  <c r="D59" i="8"/>
  <c r="R50" i="8"/>
  <c r="J50" i="8"/>
  <c r="I50" i="8"/>
  <c r="G50" i="8"/>
  <c r="F50" i="8"/>
  <c r="E50" i="8"/>
  <c r="D50" i="8"/>
  <c r="R166" i="8"/>
  <c r="J166" i="8"/>
  <c r="I166" i="8"/>
  <c r="G166" i="8"/>
  <c r="F166" i="8"/>
  <c r="E166" i="8"/>
  <c r="D166" i="8"/>
  <c r="R163" i="8"/>
  <c r="J163" i="8"/>
  <c r="I163" i="8"/>
  <c r="G163" i="8"/>
  <c r="F163" i="8"/>
  <c r="E163" i="8"/>
  <c r="D163" i="8"/>
  <c r="R161" i="8"/>
  <c r="J161" i="8"/>
  <c r="I161" i="8"/>
  <c r="G161" i="8"/>
  <c r="F161" i="8"/>
  <c r="E161" i="8"/>
  <c r="D161" i="8"/>
  <c r="R54" i="8"/>
  <c r="J54" i="8"/>
  <c r="I54" i="8"/>
  <c r="G54" i="8"/>
  <c r="F54" i="8"/>
  <c r="E54" i="8"/>
  <c r="D54" i="8"/>
  <c r="R38" i="8"/>
  <c r="J38" i="8"/>
  <c r="I38" i="8"/>
  <c r="G38" i="8"/>
  <c r="F38" i="8"/>
  <c r="E38" i="8"/>
  <c r="D38" i="8"/>
  <c r="R31" i="8"/>
  <c r="J31" i="8"/>
  <c r="I31" i="8"/>
  <c r="G31" i="8"/>
  <c r="F31" i="8"/>
  <c r="E31" i="8"/>
  <c r="D31" i="8"/>
  <c r="R22" i="8"/>
  <c r="J22" i="8"/>
  <c r="I22" i="8"/>
  <c r="G22" i="8"/>
  <c r="F22" i="8"/>
  <c r="E22" i="8"/>
  <c r="D22" i="8"/>
  <c r="R157" i="8"/>
  <c r="J157" i="8"/>
  <c r="I157" i="8"/>
  <c r="G157" i="8"/>
  <c r="F157" i="8"/>
  <c r="E157" i="8"/>
  <c r="D157" i="8"/>
  <c r="R154" i="8"/>
  <c r="J154" i="8"/>
  <c r="I154" i="8"/>
  <c r="G154" i="8"/>
  <c r="F154" i="8"/>
  <c r="E154" i="8"/>
  <c r="D154" i="8"/>
  <c r="R152" i="8"/>
  <c r="J152" i="8"/>
  <c r="I152" i="8"/>
  <c r="G152" i="8"/>
  <c r="F152" i="8"/>
  <c r="E152" i="8"/>
  <c r="D152" i="8"/>
  <c r="R28" i="8"/>
  <c r="J28" i="8"/>
  <c r="I28" i="8"/>
  <c r="G28" i="8"/>
  <c r="F28" i="8"/>
  <c r="E28" i="8"/>
  <c r="D28" i="8"/>
  <c r="R16" i="8"/>
  <c r="J16" i="8"/>
  <c r="I16" i="8"/>
  <c r="G16" i="8"/>
  <c r="F16" i="8"/>
  <c r="E16" i="8"/>
  <c r="D16" i="8"/>
  <c r="R12" i="8"/>
  <c r="J12" i="8"/>
  <c r="I12" i="8"/>
  <c r="G12" i="8"/>
  <c r="F12" i="8"/>
  <c r="E12" i="8"/>
  <c r="D12" i="8"/>
  <c r="R8" i="8"/>
  <c r="J8" i="8"/>
  <c r="V8" i="8" s="1"/>
  <c r="I8" i="8"/>
  <c r="G8" i="8"/>
  <c r="F8" i="8"/>
  <c r="E8" i="8"/>
  <c r="D8" i="8"/>
  <c r="R149" i="8"/>
  <c r="J149" i="8"/>
  <c r="I149" i="8"/>
  <c r="G149" i="8"/>
  <c r="F149" i="8"/>
  <c r="E149" i="8"/>
  <c r="D149" i="8"/>
  <c r="R145" i="8"/>
  <c r="J145" i="8"/>
  <c r="I145" i="8"/>
  <c r="G145" i="8"/>
  <c r="F145" i="8"/>
  <c r="E145" i="8"/>
  <c r="D145" i="8"/>
  <c r="R143" i="8"/>
  <c r="J143" i="8"/>
  <c r="I143" i="8"/>
  <c r="G143" i="8"/>
  <c r="F143" i="8"/>
  <c r="E143" i="8"/>
  <c r="D143" i="8"/>
  <c r="R125" i="8"/>
  <c r="J125" i="8"/>
  <c r="I125" i="8"/>
  <c r="G125" i="8"/>
  <c r="F125" i="8"/>
  <c r="E125" i="8"/>
  <c r="D125" i="8"/>
  <c r="R119" i="8"/>
  <c r="J119" i="8"/>
  <c r="I119" i="8"/>
  <c r="G119" i="8"/>
  <c r="F119" i="8"/>
  <c r="E119" i="8"/>
  <c r="D119" i="8"/>
  <c r="R114" i="8"/>
  <c r="J114" i="8"/>
  <c r="I114" i="8"/>
  <c r="G114" i="8"/>
  <c r="F114" i="8"/>
  <c r="E114" i="8"/>
  <c r="D114" i="8"/>
  <c r="R215" i="8"/>
  <c r="J215" i="8"/>
  <c r="I215" i="8"/>
  <c r="G215" i="8"/>
  <c r="F215" i="8"/>
  <c r="E215" i="8"/>
  <c r="D215" i="8"/>
  <c r="R208" i="8"/>
  <c r="J208" i="8"/>
  <c r="I208" i="8"/>
  <c r="G208" i="8"/>
  <c r="F208" i="8"/>
  <c r="E208" i="8"/>
  <c r="D208" i="8"/>
  <c r="R200" i="8"/>
  <c r="J200" i="8"/>
  <c r="I200" i="8"/>
  <c r="G200" i="8"/>
  <c r="F200" i="8"/>
  <c r="E200" i="8"/>
  <c r="D200" i="8"/>
  <c r="R198" i="8"/>
  <c r="J198" i="8"/>
  <c r="I198" i="8"/>
  <c r="G198" i="8"/>
  <c r="F198" i="8"/>
  <c r="E198" i="8"/>
  <c r="D198" i="8"/>
  <c r="R98" i="8"/>
  <c r="J98" i="8"/>
  <c r="I98" i="8"/>
  <c r="G98" i="8"/>
  <c r="F98" i="8"/>
  <c r="E98" i="8"/>
  <c r="D98" i="8"/>
  <c r="R88" i="8"/>
  <c r="J88" i="8"/>
  <c r="I88" i="8"/>
  <c r="G88" i="8"/>
  <c r="F88" i="8"/>
  <c r="E88" i="8"/>
  <c r="D88" i="8"/>
  <c r="R79" i="8"/>
  <c r="J79" i="8"/>
  <c r="I79" i="8"/>
  <c r="G79" i="8"/>
  <c r="F79" i="8"/>
  <c r="E79" i="8"/>
  <c r="D79" i="8"/>
  <c r="R181" i="8"/>
  <c r="J181" i="8"/>
  <c r="I181" i="8"/>
  <c r="G181" i="8"/>
  <c r="F181" i="8"/>
  <c r="E181" i="8"/>
  <c r="D181" i="8"/>
  <c r="R175" i="8"/>
  <c r="J175" i="8"/>
  <c r="I175" i="8"/>
  <c r="G175" i="8"/>
  <c r="F175" i="8"/>
  <c r="E175" i="8"/>
  <c r="D175" i="8"/>
  <c r="R170" i="8"/>
  <c r="J170" i="8"/>
  <c r="I170" i="8"/>
  <c r="G170" i="8"/>
  <c r="F170" i="8"/>
  <c r="E170" i="8"/>
  <c r="D170" i="8"/>
  <c r="R168" i="8"/>
  <c r="J168" i="8"/>
  <c r="I168" i="8"/>
  <c r="G168" i="8"/>
  <c r="F168" i="8"/>
  <c r="E168" i="8"/>
  <c r="D168" i="8"/>
  <c r="R69" i="8"/>
  <c r="J69" i="8"/>
  <c r="I69" i="8"/>
  <c r="G69" i="8"/>
  <c r="F69" i="8"/>
  <c r="E69" i="8"/>
  <c r="D69" i="8"/>
  <c r="R58" i="8"/>
  <c r="J58" i="8"/>
  <c r="I58" i="8"/>
  <c r="G58" i="8"/>
  <c r="F58" i="8"/>
  <c r="E58" i="8"/>
  <c r="D58" i="8"/>
  <c r="R48" i="8"/>
  <c r="J48" i="8"/>
  <c r="I48" i="8"/>
  <c r="G48" i="8"/>
  <c r="F48" i="8"/>
  <c r="E48" i="8"/>
  <c r="D48" i="8"/>
  <c r="R165" i="8"/>
  <c r="J165" i="8"/>
  <c r="I165" i="8"/>
  <c r="G165" i="8"/>
  <c r="F165" i="8"/>
  <c r="E165" i="8"/>
  <c r="D165" i="8"/>
  <c r="R162" i="8"/>
  <c r="J162" i="8"/>
  <c r="I162" i="8"/>
  <c r="G162" i="8"/>
  <c r="F162" i="8"/>
  <c r="E162" i="8"/>
  <c r="D162" i="8"/>
  <c r="R160" i="8"/>
  <c r="J160" i="8"/>
  <c r="I160" i="8"/>
  <c r="G160" i="8"/>
  <c r="F160" i="8"/>
  <c r="E160" i="8"/>
  <c r="D160" i="8"/>
  <c r="R158" i="8"/>
  <c r="J158" i="8"/>
  <c r="I158" i="8"/>
  <c r="G158" i="8"/>
  <c r="F158" i="8"/>
  <c r="E158" i="8"/>
  <c r="D158" i="8"/>
  <c r="R39" i="8"/>
  <c r="J39" i="8"/>
  <c r="I39" i="8"/>
  <c r="G39" i="8"/>
  <c r="F39" i="8"/>
  <c r="E39" i="8"/>
  <c r="D39" i="8"/>
  <c r="R30" i="8"/>
  <c r="J30" i="8"/>
  <c r="I30" i="8"/>
  <c r="G30" i="8"/>
  <c r="F30" i="8"/>
  <c r="E30" i="8"/>
  <c r="D30" i="8"/>
  <c r="R20" i="8"/>
  <c r="J20" i="8"/>
  <c r="I20" i="8"/>
  <c r="G20" i="8"/>
  <c r="F20" i="8"/>
  <c r="E20" i="8"/>
  <c r="D20" i="8"/>
  <c r="R156" i="8"/>
  <c r="J156" i="8"/>
  <c r="I156" i="8"/>
  <c r="G156" i="8"/>
  <c r="F156" i="8"/>
  <c r="E156" i="8"/>
  <c r="D156" i="8"/>
  <c r="R153" i="8"/>
  <c r="J153" i="8"/>
  <c r="I153" i="8"/>
  <c r="G153" i="8"/>
  <c r="F153" i="8"/>
  <c r="E153" i="8"/>
  <c r="D153" i="8"/>
  <c r="R150" i="8"/>
  <c r="J150" i="8"/>
  <c r="I150" i="8"/>
  <c r="G150" i="8"/>
  <c r="F150" i="8"/>
  <c r="E150" i="8"/>
  <c r="D150" i="8"/>
  <c r="R146" i="8"/>
  <c r="J146" i="8"/>
  <c r="I146" i="8"/>
  <c r="G146" i="8"/>
  <c r="F146" i="8"/>
  <c r="E146" i="8"/>
  <c r="D146" i="8"/>
  <c r="R17" i="8"/>
  <c r="J17" i="8"/>
  <c r="I17" i="8"/>
  <c r="G17" i="8"/>
  <c r="F17" i="8"/>
  <c r="E17" i="8"/>
  <c r="D17" i="8"/>
  <c r="R11" i="8"/>
  <c r="J11" i="8"/>
  <c r="V11" i="8" s="1"/>
  <c r="I11" i="8"/>
  <c r="X11" i="8" s="1"/>
  <c r="G11" i="8"/>
  <c r="F11" i="8"/>
  <c r="E11" i="8"/>
  <c r="D11" i="8"/>
  <c r="R6" i="8"/>
  <c r="G6" i="8"/>
  <c r="F6" i="8"/>
  <c r="E6" i="8"/>
  <c r="D6" i="8"/>
  <c r="R148" i="8"/>
  <c r="J148" i="8"/>
  <c r="I148" i="8"/>
  <c r="G148" i="8"/>
  <c r="F148" i="8"/>
  <c r="E148" i="8"/>
  <c r="D148" i="8"/>
  <c r="R144" i="8"/>
  <c r="J144" i="8"/>
  <c r="I144" i="8"/>
  <c r="G144" i="8"/>
  <c r="F144" i="8"/>
  <c r="E144" i="8"/>
  <c r="D144" i="8"/>
  <c r="R142" i="8"/>
  <c r="J142" i="8"/>
  <c r="I142" i="8"/>
  <c r="G142" i="8"/>
  <c r="F142" i="8"/>
  <c r="E142" i="8"/>
  <c r="D142" i="8"/>
  <c r="R141" i="8"/>
  <c r="J141" i="8"/>
  <c r="I141" i="8"/>
  <c r="G141" i="8"/>
  <c r="F141" i="8"/>
  <c r="E141" i="8"/>
  <c r="D141" i="8"/>
  <c r="D228" i="5"/>
  <c r="E228" i="5"/>
  <c r="K228" i="5" s="1"/>
  <c r="F228" i="5"/>
  <c r="G228" i="5"/>
  <c r="I228" i="5"/>
  <c r="J228" i="5"/>
  <c r="L228" i="5"/>
  <c r="O228" i="5" s="1"/>
  <c r="M228" i="5"/>
  <c r="N228" i="5"/>
  <c r="P228" i="5"/>
  <c r="Q228" i="5"/>
  <c r="R228" i="5"/>
  <c r="V228" i="5"/>
  <c r="X228" i="5"/>
  <c r="D229" i="5"/>
  <c r="E229" i="5"/>
  <c r="K229" i="5" s="1"/>
  <c r="F229" i="5"/>
  <c r="G229" i="5"/>
  <c r="I229" i="5"/>
  <c r="H229" i="5" s="1"/>
  <c r="J229" i="5"/>
  <c r="S229" i="5" s="1"/>
  <c r="W229" i="5" s="1"/>
  <c r="N229" i="5"/>
  <c r="R229" i="5"/>
  <c r="T229" i="5"/>
  <c r="U229" i="5"/>
  <c r="V229" i="5"/>
  <c r="D230" i="5"/>
  <c r="E230" i="5"/>
  <c r="U230" i="5" s="1"/>
  <c r="F230" i="5"/>
  <c r="G230" i="5"/>
  <c r="I230" i="5"/>
  <c r="M230" i="5" s="1"/>
  <c r="J230" i="5"/>
  <c r="S230" i="5" s="1"/>
  <c r="W230" i="5" s="1"/>
  <c r="Y230" i="5" s="1"/>
  <c r="Z230" i="5" s="1"/>
  <c r="K230" i="5"/>
  <c r="L230" i="5"/>
  <c r="N230" i="5"/>
  <c r="O230" i="5"/>
  <c r="P230" i="5"/>
  <c r="Q230" i="5"/>
  <c r="R230" i="5"/>
  <c r="T230" i="5"/>
  <c r="V230" i="5"/>
  <c r="X230" i="5"/>
  <c r="D231" i="5"/>
  <c r="E231" i="5"/>
  <c r="T231" i="5" s="1"/>
  <c r="F231" i="5"/>
  <c r="G231" i="5"/>
  <c r="I231" i="5"/>
  <c r="J231" i="5"/>
  <c r="L231" i="5"/>
  <c r="M231" i="5"/>
  <c r="N231" i="5"/>
  <c r="O231" i="5"/>
  <c r="P231" i="5"/>
  <c r="Q231" i="5"/>
  <c r="R231" i="5"/>
  <c r="S231" i="5"/>
  <c r="W231" i="5" s="1"/>
  <c r="Y231" i="5" s="1"/>
  <c r="Z231" i="5" s="1"/>
  <c r="V231" i="5"/>
  <c r="X231" i="5"/>
  <c r="D232" i="5"/>
  <c r="E232" i="5"/>
  <c r="K232" i="5" s="1"/>
  <c r="F232" i="5"/>
  <c r="G232" i="5"/>
  <c r="I232" i="5"/>
  <c r="H232" i="5" s="1"/>
  <c r="J232" i="5"/>
  <c r="P232" i="5"/>
  <c r="Q232" i="5"/>
  <c r="R232" i="5"/>
  <c r="S232" i="5"/>
  <c r="W232" i="5" s="1"/>
  <c r="T232" i="5"/>
  <c r="U232" i="5"/>
  <c r="V232" i="5"/>
  <c r="D233" i="5"/>
  <c r="E233" i="5"/>
  <c r="F233" i="5"/>
  <c r="G233" i="5"/>
  <c r="I233" i="5"/>
  <c r="J233" i="5"/>
  <c r="Q233" i="5"/>
  <c r="R233" i="5"/>
  <c r="V233" i="5"/>
  <c r="D234" i="5"/>
  <c r="E234" i="5"/>
  <c r="F234" i="5"/>
  <c r="G234" i="5"/>
  <c r="I234" i="5"/>
  <c r="H234" i="5" s="1"/>
  <c r="J234" i="5"/>
  <c r="K234" i="5"/>
  <c r="M234" i="5"/>
  <c r="R234" i="5"/>
  <c r="U234" i="5"/>
  <c r="V234" i="5"/>
  <c r="D235" i="5"/>
  <c r="E235" i="5"/>
  <c r="F235" i="5"/>
  <c r="G235" i="5"/>
  <c r="I235" i="5"/>
  <c r="J235" i="5"/>
  <c r="V235" i="5" s="1"/>
  <c r="M235" i="5"/>
  <c r="R235" i="5"/>
  <c r="T235" i="5"/>
  <c r="D236" i="5"/>
  <c r="E236" i="5"/>
  <c r="F236" i="5"/>
  <c r="G236" i="5"/>
  <c r="I236" i="5"/>
  <c r="H236" i="5" s="1"/>
  <c r="J236" i="5"/>
  <c r="K236" i="5"/>
  <c r="L236" i="5"/>
  <c r="O236" i="5" s="1"/>
  <c r="M236" i="5"/>
  <c r="Q236" i="5"/>
  <c r="R236" i="5"/>
  <c r="S236" i="5"/>
  <c r="T236" i="5"/>
  <c r="U236" i="5"/>
  <c r="V236" i="5"/>
  <c r="W236" i="5"/>
  <c r="X236" i="5"/>
  <c r="D237" i="5"/>
  <c r="E237" i="5"/>
  <c r="T237" i="5" s="1"/>
  <c r="F237" i="5"/>
  <c r="G237" i="5"/>
  <c r="I237" i="5"/>
  <c r="H237" i="5" s="1"/>
  <c r="J237" i="5"/>
  <c r="K237" i="5"/>
  <c r="M237" i="5"/>
  <c r="N237" i="5"/>
  <c r="Q237" i="5"/>
  <c r="R237" i="5"/>
  <c r="S237" i="5"/>
  <c r="W237" i="5" s="1"/>
  <c r="U237" i="5"/>
  <c r="V237" i="5"/>
  <c r="D238" i="5"/>
  <c r="E238" i="5"/>
  <c r="F238" i="5"/>
  <c r="G238" i="5"/>
  <c r="I238" i="5"/>
  <c r="H238" i="5" s="1"/>
  <c r="J238" i="5"/>
  <c r="K238" i="5"/>
  <c r="P238" i="5"/>
  <c r="Q238" i="5"/>
  <c r="R238" i="5"/>
  <c r="S238" i="5"/>
  <c r="W238" i="5" s="1"/>
  <c r="T238" i="5"/>
  <c r="U238" i="5"/>
  <c r="V238" i="5"/>
  <c r="D239" i="5"/>
  <c r="E239" i="5"/>
  <c r="F239" i="5"/>
  <c r="G239" i="5"/>
  <c r="I239" i="5"/>
  <c r="H239" i="5" s="1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D240" i="5"/>
  <c r="E240" i="5"/>
  <c r="F240" i="5"/>
  <c r="G240" i="5"/>
  <c r="I240" i="5"/>
  <c r="H240" i="5" s="1"/>
  <c r="J240" i="5"/>
  <c r="K240" i="5"/>
  <c r="R240" i="5"/>
  <c r="U240" i="5"/>
  <c r="V240" i="5"/>
  <c r="D241" i="5"/>
  <c r="E241" i="5"/>
  <c r="F241" i="5"/>
  <c r="G241" i="5"/>
  <c r="I241" i="5"/>
  <c r="J241" i="5"/>
  <c r="M241" i="5"/>
  <c r="R241" i="5"/>
  <c r="T241" i="5"/>
  <c r="V241" i="5"/>
  <c r="D242" i="5"/>
  <c r="E242" i="5"/>
  <c r="F242" i="5"/>
  <c r="G242" i="5"/>
  <c r="I242" i="5"/>
  <c r="H242" i="5" s="1"/>
  <c r="J242" i="5"/>
  <c r="K242" i="5"/>
  <c r="L242" i="5"/>
  <c r="O242" i="5" s="1"/>
  <c r="M242" i="5"/>
  <c r="Q242" i="5"/>
  <c r="R242" i="5"/>
  <c r="S242" i="5"/>
  <c r="T242" i="5"/>
  <c r="U242" i="5"/>
  <c r="V242" i="5"/>
  <c r="W242" i="5"/>
  <c r="X242" i="5"/>
  <c r="D243" i="5"/>
  <c r="E243" i="5"/>
  <c r="T243" i="5" s="1"/>
  <c r="F243" i="5"/>
  <c r="G243" i="5"/>
  <c r="I243" i="5"/>
  <c r="H243" i="5" s="1"/>
  <c r="J243" i="5"/>
  <c r="K243" i="5"/>
  <c r="M243" i="5"/>
  <c r="N243" i="5"/>
  <c r="Q243" i="5"/>
  <c r="R243" i="5"/>
  <c r="S243" i="5"/>
  <c r="W243" i="5" s="1"/>
  <c r="U243" i="5"/>
  <c r="V243" i="5"/>
  <c r="D244" i="5"/>
  <c r="E244" i="5"/>
  <c r="F244" i="5"/>
  <c r="G244" i="5"/>
  <c r="I244" i="5"/>
  <c r="H244" i="5" s="1"/>
  <c r="J244" i="5"/>
  <c r="K244" i="5"/>
  <c r="P244" i="5"/>
  <c r="Q244" i="5"/>
  <c r="R244" i="5"/>
  <c r="S244" i="5"/>
  <c r="W244" i="5" s="1"/>
  <c r="T244" i="5"/>
  <c r="U244" i="5"/>
  <c r="V244" i="5"/>
  <c r="D245" i="5"/>
  <c r="E245" i="5"/>
  <c r="F245" i="5"/>
  <c r="G245" i="5"/>
  <c r="I245" i="5"/>
  <c r="J245" i="5"/>
  <c r="R245" i="5"/>
  <c r="V245" i="5"/>
  <c r="D246" i="5"/>
  <c r="E246" i="5"/>
  <c r="F246" i="5"/>
  <c r="G246" i="5"/>
  <c r="I246" i="5"/>
  <c r="H246" i="5" s="1"/>
  <c r="J246" i="5"/>
  <c r="K246" i="5"/>
  <c r="R246" i="5"/>
  <c r="U246" i="5"/>
  <c r="V246" i="5"/>
  <c r="D247" i="5"/>
  <c r="E247" i="5"/>
  <c r="F247" i="5"/>
  <c r="G247" i="5"/>
  <c r="I247" i="5"/>
  <c r="J247" i="5"/>
  <c r="M247" i="5"/>
  <c r="R247" i="5"/>
  <c r="T247" i="5"/>
  <c r="U247" i="5"/>
  <c r="V247" i="5"/>
  <c r="D248" i="5"/>
  <c r="E248" i="5"/>
  <c r="F248" i="5"/>
  <c r="G248" i="5"/>
  <c r="I248" i="5"/>
  <c r="H248" i="5" s="1"/>
  <c r="J248" i="5"/>
  <c r="K248" i="5"/>
  <c r="L248" i="5"/>
  <c r="O248" i="5" s="1"/>
  <c r="M248" i="5"/>
  <c r="Q248" i="5"/>
  <c r="R248" i="5"/>
  <c r="S248" i="5"/>
  <c r="T248" i="5"/>
  <c r="U248" i="5"/>
  <c r="V248" i="5"/>
  <c r="W248" i="5"/>
  <c r="X248" i="5"/>
  <c r="D249" i="5"/>
  <c r="E249" i="5"/>
  <c r="T249" i="5" s="1"/>
  <c r="F249" i="5"/>
  <c r="G249" i="5"/>
  <c r="I249" i="5"/>
  <c r="H249" i="5" s="1"/>
  <c r="J249" i="5"/>
  <c r="K249" i="5"/>
  <c r="M249" i="5"/>
  <c r="N249" i="5"/>
  <c r="Q249" i="5"/>
  <c r="R249" i="5"/>
  <c r="S249" i="5"/>
  <c r="W249" i="5" s="1"/>
  <c r="U249" i="5"/>
  <c r="V249" i="5"/>
  <c r="D250" i="5"/>
  <c r="E250" i="5"/>
  <c r="F250" i="5"/>
  <c r="G250" i="5"/>
  <c r="I250" i="5"/>
  <c r="H250" i="5" s="1"/>
  <c r="J250" i="5"/>
  <c r="K250" i="5"/>
  <c r="P250" i="5"/>
  <c r="Q250" i="5"/>
  <c r="R250" i="5"/>
  <c r="S250" i="5"/>
  <c r="W250" i="5" s="1"/>
  <c r="T250" i="5"/>
  <c r="U250" i="5"/>
  <c r="V250" i="5"/>
  <c r="D7" i="5"/>
  <c r="E7" i="5"/>
  <c r="F7" i="5"/>
  <c r="G7" i="5"/>
  <c r="I7" i="5"/>
  <c r="J7" i="5"/>
  <c r="R7" i="5"/>
  <c r="V7" i="5"/>
  <c r="D8" i="5"/>
  <c r="E8" i="5"/>
  <c r="F8" i="5"/>
  <c r="G8" i="5"/>
  <c r="I8" i="5"/>
  <c r="H8" i="5" s="1"/>
  <c r="J8" i="5"/>
  <c r="K8" i="5"/>
  <c r="R8" i="5"/>
  <c r="U8" i="5"/>
  <c r="V8" i="5"/>
  <c r="D9" i="5"/>
  <c r="E9" i="5"/>
  <c r="F9" i="5"/>
  <c r="G9" i="5"/>
  <c r="I9" i="5"/>
  <c r="J9" i="5"/>
  <c r="M9" i="5"/>
  <c r="R9" i="5"/>
  <c r="T9" i="5"/>
  <c r="U9" i="5"/>
  <c r="D10" i="5"/>
  <c r="E10" i="5"/>
  <c r="F10" i="5"/>
  <c r="G10" i="5"/>
  <c r="I10" i="5"/>
  <c r="H10" i="5" s="1"/>
  <c r="J10" i="5"/>
  <c r="K10" i="5"/>
  <c r="L10" i="5"/>
  <c r="O10" i="5" s="1"/>
  <c r="M10" i="5"/>
  <c r="Q10" i="5"/>
  <c r="R10" i="5"/>
  <c r="S10" i="5"/>
  <c r="T10" i="5"/>
  <c r="U10" i="5"/>
  <c r="V10" i="5"/>
  <c r="W10" i="5"/>
  <c r="X10" i="5"/>
  <c r="D11" i="5"/>
  <c r="E11" i="5"/>
  <c r="T11" i="5" s="1"/>
  <c r="F11" i="5"/>
  <c r="G11" i="5"/>
  <c r="I11" i="5"/>
  <c r="H11" i="5" s="1"/>
  <c r="J11" i="5"/>
  <c r="K11" i="5"/>
  <c r="M11" i="5"/>
  <c r="N11" i="5"/>
  <c r="Q11" i="5"/>
  <c r="R11" i="5"/>
  <c r="S11" i="5"/>
  <c r="W11" i="5" s="1"/>
  <c r="U11" i="5"/>
  <c r="V11" i="5"/>
  <c r="D12" i="5"/>
  <c r="E12" i="5"/>
  <c r="F12" i="5"/>
  <c r="G12" i="5"/>
  <c r="I12" i="5"/>
  <c r="H12" i="5" s="1"/>
  <c r="J12" i="5"/>
  <c r="K12" i="5"/>
  <c r="P12" i="5"/>
  <c r="Q12" i="5"/>
  <c r="R12" i="5"/>
  <c r="S12" i="5"/>
  <c r="W12" i="5" s="1"/>
  <c r="T12" i="5"/>
  <c r="U12" i="5"/>
  <c r="V12" i="5"/>
  <c r="D13" i="5"/>
  <c r="E13" i="5"/>
  <c r="F13" i="5"/>
  <c r="G13" i="5"/>
  <c r="I13" i="5"/>
  <c r="J13" i="5"/>
  <c r="R13" i="5"/>
  <c r="V13" i="5"/>
  <c r="D14" i="5"/>
  <c r="E14" i="5"/>
  <c r="F14" i="5"/>
  <c r="G14" i="5"/>
  <c r="I14" i="5"/>
  <c r="H14" i="5" s="1"/>
  <c r="J14" i="5"/>
  <c r="K14" i="5"/>
  <c r="M14" i="5"/>
  <c r="R14" i="5"/>
  <c r="U14" i="5"/>
  <c r="V14" i="5"/>
  <c r="D15" i="5"/>
  <c r="E15" i="5"/>
  <c r="F15" i="5"/>
  <c r="G15" i="5"/>
  <c r="I15" i="5"/>
  <c r="J15" i="5"/>
  <c r="R15" i="5"/>
  <c r="T15" i="5"/>
  <c r="U15" i="5"/>
  <c r="V15" i="5"/>
  <c r="D16" i="5"/>
  <c r="E16" i="5"/>
  <c r="F16" i="5"/>
  <c r="G16" i="5"/>
  <c r="I16" i="5"/>
  <c r="H16" i="5" s="1"/>
  <c r="J16" i="5"/>
  <c r="K16" i="5"/>
  <c r="L16" i="5"/>
  <c r="M16" i="5"/>
  <c r="O16" i="5"/>
  <c r="Q16" i="5"/>
  <c r="R16" i="5"/>
  <c r="S16" i="5"/>
  <c r="T16" i="5"/>
  <c r="U16" i="5"/>
  <c r="V16" i="5"/>
  <c r="W16" i="5"/>
  <c r="X16" i="5"/>
  <c r="D17" i="5"/>
  <c r="E17" i="5"/>
  <c r="T17" i="5" s="1"/>
  <c r="F17" i="5"/>
  <c r="G17" i="5"/>
  <c r="I17" i="5"/>
  <c r="H17" i="5" s="1"/>
  <c r="J17" i="5"/>
  <c r="K17" i="5"/>
  <c r="M17" i="5"/>
  <c r="N17" i="5"/>
  <c r="Q17" i="5"/>
  <c r="R17" i="5"/>
  <c r="S17" i="5"/>
  <c r="W17" i="5" s="1"/>
  <c r="U17" i="5"/>
  <c r="V17" i="5"/>
  <c r="D18" i="5"/>
  <c r="E18" i="5"/>
  <c r="F18" i="5"/>
  <c r="G18" i="5"/>
  <c r="I18" i="5"/>
  <c r="H18" i="5" s="1"/>
  <c r="J18" i="5"/>
  <c r="K18" i="5"/>
  <c r="P18" i="5"/>
  <c r="R18" i="5"/>
  <c r="S18" i="5"/>
  <c r="W18" i="5" s="1"/>
  <c r="T18" i="5"/>
  <c r="U18" i="5"/>
  <c r="V18" i="5"/>
  <c r="D19" i="5"/>
  <c r="E19" i="5"/>
  <c r="F19" i="5"/>
  <c r="G19" i="5"/>
  <c r="I19" i="5"/>
  <c r="J19" i="5"/>
  <c r="R19" i="5"/>
  <c r="V19" i="5"/>
  <c r="D20" i="5"/>
  <c r="E20" i="5"/>
  <c r="F20" i="5"/>
  <c r="G20" i="5"/>
  <c r="I20" i="5"/>
  <c r="H20" i="5" s="1"/>
  <c r="J20" i="5"/>
  <c r="K20" i="5"/>
  <c r="M20" i="5"/>
  <c r="R20" i="5"/>
  <c r="U20" i="5"/>
  <c r="V20" i="5"/>
  <c r="D21" i="5"/>
  <c r="E21" i="5"/>
  <c r="F21" i="5"/>
  <c r="G21" i="5"/>
  <c r="I21" i="5"/>
  <c r="J21" i="5"/>
  <c r="S21" i="5" s="1"/>
  <c r="R21" i="5"/>
  <c r="T21" i="5"/>
  <c r="V21" i="5"/>
  <c r="W21" i="5"/>
  <c r="D22" i="5"/>
  <c r="E22" i="5"/>
  <c r="F22" i="5"/>
  <c r="G22" i="5"/>
  <c r="I22" i="5"/>
  <c r="H22" i="5" s="1"/>
  <c r="J22" i="5"/>
  <c r="K22" i="5"/>
  <c r="L22" i="5"/>
  <c r="M22" i="5"/>
  <c r="O22" i="5"/>
  <c r="Q22" i="5"/>
  <c r="R22" i="5"/>
  <c r="S22" i="5"/>
  <c r="T22" i="5"/>
  <c r="U22" i="5"/>
  <c r="V22" i="5"/>
  <c r="W22" i="5"/>
  <c r="X22" i="5"/>
  <c r="Y22" i="5" s="1"/>
  <c r="D23" i="5"/>
  <c r="E23" i="5"/>
  <c r="T23" i="5" s="1"/>
  <c r="F23" i="5"/>
  <c r="G23" i="5"/>
  <c r="I23" i="5"/>
  <c r="H23" i="5" s="1"/>
  <c r="J23" i="5"/>
  <c r="K23" i="5"/>
  <c r="M23" i="5"/>
  <c r="N23" i="5"/>
  <c r="Q23" i="5"/>
  <c r="R23" i="5"/>
  <c r="S23" i="5"/>
  <c r="W23" i="5" s="1"/>
  <c r="U23" i="5"/>
  <c r="V23" i="5"/>
  <c r="D24" i="5"/>
  <c r="E24" i="5"/>
  <c r="F24" i="5"/>
  <c r="G24" i="5"/>
  <c r="I24" i="5"/>
  <c r="J24" i="5"/>
  <c r="K24" i="5"/>
  <c r="P24" i="5"/>
  <c r="Q24" i="5"/>
  <c r="R24" i="5"/>
  <c r="S24" i="5"/>
  <c r="W24" i="5" s="1"/>
  <c r="T24" i="5"/>
  <c r="U24" i="5"/>
  <c r="V24" i="5"/>
  <c r="D25" i="5"/>
  <c r="E25" i="5"/>
  <c r="T25" i="5" s="1"/>
  <c r="F25" i="5"/>
  <c r="G25" i="5"/>
  <c r="I25" i="5"/>
  <c r="J25" i="5"/>
  <c r="K25" i="5"/>
  <c r="Q25" i="5"/>
  <c r="R25" i="5"/>
  <c r="S25" i="5"/>
  <c r="W25" i="5" s="1"/>
  <c r="U25" i="5"/>
  <c r="V25" i="5"/>
  <c r="D26" i="5"/>
  <c r="E26" i="5"/>
  <c r="F26" i="5"/>
  <c r="G26" i="5"/>
  <c r="I26" i="5"/>
  <c r="J26" i="5"/>
  <c r="K26" i="5"/>
  <c r="M26" i="5"/>
  <c r="R26" i="5"/>
  <c r="U26" i="5"/>
  <c r="V26" i="5"/>
  <c r="D27" i="5"/>
  <c r="E27" i="5"/>
  <c r="F27" i="5"/>
  <c r="G27" i="5"/>
  <c r="I27" i="5"/>
  <c r="J27" i="5"/>
  <c r="S27" i="5" s="1"/>
  <c r="W27" i="5" s="1"/>
  <c r="R27" i="5"/>
  <c r="T27" i="5"/>
  <c r="V27" i="5"/>
  <c r="D28" i="5"/>
  <c r="E28" i="5"/>
  <c r="F28" i="5"/>
  <c r="G28" i="5"/>
  <c r="I28" i="5"/>
  <c r="H28" i="5" s="1"/>
  <c r="J28" i="5"/>
  <c r="K28" i="5"/>
  <c r="L28" i="5"/>
  <c r="M28" i="5"/>
  <c r="O28" i="5"/>
  <c r="Q28" i="5"/>
  <c r="R28" i="5"/>
  <c r="S28" i="5"/>
  <c r="T28" i="5"/>
  <c r="U28" i="5"/>
  <c r="V28" i="5"/>
  <c r="W28" i="5"/>
  <c r="X28" i="5"/>
  <c r="D29" i="5"/>
  <c r="E29" i="5"/>
  <c r="F29" i="5"/>
  <c r="G29" i="5"/>
  <c r="I29" i="5"/>
  <c r="H29" i="5" s="1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D30" i="5"/>
  <c r="E30" i="5"/>
  <c r="F30" i="5"/>
  <c r="G30" i="5"/>
  <c r="I30" i="5"/>
  <c r="J30" i="5"/>
  <c r="K30" i="5"/>
  <c r="R30" i="5"/>
  <c r="S30" i="5"/>
  <c r="T30" i="5"/>
  <c r="V30" i="5"/>
  <c r="W30" i="5"/>
  <c r="D31" i="5"/>
  <c r="E31" i="5"/>
  <c r="T31" i="5" s="1"/>
  <c r="F31" i="5"/>
  <c r="G31" i="5"/>
  <c r="I31" i="5"/>
  <c r="Q31" i="5" s="1"/>
  <c r="J31" i="5"/>
  <c r="K31" i="5"/>
  <c r="M31" i="5"/>
  <c r="R31" i="5"/>
  <c r="S31" i="5"/>
  <c r="W31" i="5" s="1"/>
  <c r="U31" i="5"/>
  <c r="V31" i="5"/>
  <c r="D32" i="5"/>
  <c r="E32" i="5"/>
  <c r="F32" i="5"/>
  <c r="G32" i="5"/>
  <c r="T32" i="5" s="1"/>
  <c r="I32" i="5"/>
  <c r="M32" i="5" s="1"/>
  <c r="J32" i="5"/>
  <c r="K32" i="5"/>
  <c r="R32" i="5"/>
  <c r="S32" i="5"/>
  <c r="V32" i="5"/>
  <c r="W32" i="5"/>
  <c r="D33" i="5"/>
  <c r="E33" i="5"/>
  <c r="F33" i="5"/>
  <c r="G33" i="5"/>
  <c r="I33" i="5"/>
  <c r="J33" i="5"/>
  <c r="K33" i="5" s="1"/>
  <c r="M33" i="5"/>
  <c r="Q33" i="5"/>
  <c r="R33" i="5"/>
  <c r="T33" i="5"/>
  <c r="U33" i="5"/>
  <c r="D34" i="5"/>
  <c r="E34" i="5"/>
  <c r="F34" i="5"/>
  <c r="G34" i="5"/>
  <c r="I34" i="5"/>
  <c r="J34" i="5"/>
  <c r="K34" i="5"/>
  <c r="L34" i="5"/>
  <c r="M34" i="5"/>
  <c r="O34" i="5"/>
  <c r="Q34" i="5"/>
  <c r="R34" i="5"/>
  <c r="S34" i="5"/>
  <c r="W34" i="5" s="1"/>
  <c r="T34" i="5"/>
  <c r="U34" i="5"/>
  <c r="V34" i="5"/>
  <c r="X34" i="5"/>
  <c r="D35" i="5"/>
  <c r="E35" i="5"/>
  <c r="T35" i="5" s="1"/>
  <c r="F35" i="5"/>
  <c r="G35" i="5"/>
  <c r="I35" i="5"/>
  <c r="J35" i="5"/>
  <c r="K35" i="5"/>
  <c r="M35" i="5"/>
  <c r="N35" i="5"/>
  <c r="Q35" i="5"/>
  <c r="R35" i="5"/>
  <c r="S35" i="5"/>
  <c r="U35" i="5"/>
  <c r="V35" i="5"/>
  <c r="W35" i="5"/>
  <c r="D36" i="5"/>
  <c r="E36" i="5"/>
  <c r="F36" i="5"/>
  <c r="G36" i="5"/>
  <c r="I36" i="5"/>
  <c r="J36" i="5"/>
  <c r="K36" i="5"/>
  <c r="R36" i="5"/>
  <c r="S36" i="5"/>
  <c r="T36" i="5"/>
  <c r="V36" i="5"/>
  <c r="W36" i="5"/>
  <c r="D37" i="5"/>
  <c r="E37" i="5"/>
  <c r="F37" i="5"/>
  <c r="G37" i="5"/>
  <c r="I37" i="5"/>
  <c r="J37" i="5"/>
  <c r="M37" i="5"/>
  <c r="Q37" i="5"/>
  <c r="R37" i="5"/>
  <c r="V37" i="5"/>
  <c r="D38" i="5"/>
  <c r="E38" i="5"/>
  <c r="F38" i="5"/>
  <c r="G38" i="5"/>
  <c r="T38" i="5" s="1"/>
  <c r="I38" i="5"/>
  <c r="J38" i="5"/>
  <c r="K38" i="5"/>
  <c r="M38" i="5"/>
  <c r="Q38" i="5"/>
  <c r="R38" i="5"/>
  <c r="S38" i="5"/>
  <c r="W38" i="5" s="1"/>
  <c r="U38" i="5"/>
  <c r="V38" i="5"/>
  <c r="D39" i="5"/>
  <c r="E39" i="5"/>
  <c r="F39" i="5"/>
  <c r="G39" i="5"/>
  <c r="I39" i="5"/>
  <c r="J39" i="5"/>
  <c r="S39" i="5" s="1"/>
  <c r="W39" i="5" s="1"/>
  <c r="K39" i="5"/>
  <c r="Q39" i="5"/>
  <c r="R39" i="5"/>
  <c r="T39" i="5"/>
  <c r="U39" i="5"/>
  <c r="V39" i="5"/>
  <c r="D40" i="5"/>
  <c r="E40" i="5"/>
  <c r="F40" i="5"/>
  <c r="G40" i="5"/>
  <c r="I40" i="5"/>
  <c r="M40" i="5" s="1"/>
  <c r="J40" i="5"/>
  <c r="K40" i="5"/>
  <c r="R40" i="5"/>
  <c r="S40" i="5"/>
  <c r="T40" i="5"/>
  <c r="V40" i="5"/>
  <c r="W40" i="5"/>
  <c r="D41" i="5"/>
  <c r="E41" i="5"/>
  <c r="T41" i="5" s="1"/>
  <c r="F41" i="5"/>
  <c r="G41" i="5"/>
  <c r="I41" i="5"/>
  <c r="J41" i="5"/>
  <c r="K41" i="5"/>
  <c r="N41" i="5"/>
  <c r="R41" i="5"/>
  <c r="S41" i="5"/>
  <c r="V41" i="5"/>
  <c r="W41" i="5"/>
  <c r="D42" i="5"/>
  <c r="E42" i="5"/>
  <c r="F42" i="5"/>
  <c r="G42" i="5"/>
  <c r="I42" i="5"/>
  <c r="P42" i="5" s="1"/>
  <c r="J42" i="5"/>
  <c r="K42" i="5"/>
  <c r="M42" i="5"/>
  <c r="Q42" i="5"/>
  <c r="R42" i="5"/>
  <c r="S42" i="5"/>
  <c r="W42" i="5" s="1"/>
  <c r="T42" i="5"/>
  <c r="U42" i="5"/>
  <c r="V42" i="5"/>
  <c r="D43" i="5"/>
  <c r="E43" i="5"/>
  <c r="F43" i="5"/>
  <c r="G43" i="5"/>
  <c r="I43" i="5"/>
  <c r="J43" i="5"/>
  <c r="Q43" i="5"/>
  <c r="R43" i="5"/>
  <c r="V43" i="5"/>
  <c r="D44" i="5"/>
  <c r="E44" i="5"/>
  <c r="F44" i="5"/>
  <c r="G44" i="5"/>
  <c r="I44" i="5"/>
  <c r="J44" i="5"/>
  <c r="K44" i="5"/>
  <c r="Q44" i="5"/>
  <c r="R44" i="5"/>
  <c r="S44" i="5"/>
  <c r="W44" i="5" s="1"/>
  <c r="T44" i="5"/>
  <c r="U44" i="5"/>
  <c r="V44" i="5"/>
  <c r="D45" i="5"/>
  <c r="E45" i="5"/>
  <c r="F45" i="5"/>
  <c r="G45" i="5"/>
  <c r="I45" i="5"/>
  <c r="J45" i="5"/>
  <c r="M45" i="5"/>
  <c r="Q45" i="5"/>
  <c r="R45" i="5"/>
  <c r="S45" i="5"/>
  <c r="W45" i="5" s="1"/>
  <c r="T45" i="5"/>
  <c r="D46" i="5"/>
  <c r="E46" i="5"/>
  <c r="F46" i="5"/>
  <c r="G46" i="5"/>
  <c r="I46" i="5"/>
  <c r="J46" i="5"/>
  <c r="K46" i="5"/>
  <c r="L46" i="5"/>
  <c r="O46" i="5" s="1"/>
  <c r="R46" i="5"/>
  <c r="S46" i="5"/>
  <c r="W46" i="5" s="1"/>
  <c r="T46" i="5"/>
  <c r="V46" i="5"/>
  <c r="D47" i="5"/>
  <c r="E47" i="5"/>
  <c r="T47" i="5" s="1"/>
  <c r="F47" i="5"/>
  <c r="G47" i="5"/>
  <c r="I47" i="5"/>
  <c r="J47" i="5"/>
  <c r="K47" i="5"/>
  <c r="R47" i="5"/>
  <c r="S47" i="5"/>
  <c r="W47" i="5" s="1"/>
  <c r="V47" i="5"/>
  <c r="D48" i="5"/>
  <c r="E48" i="5"/>
  <c r="F48" i="5"/>
  <c r="G48" i="5"/>
  <c r="I48" i="5"/>
  <c r="J48" i="5"/>
  <c r="K48" i="5"/>
  <c r="M48" i="5"/>
  <c r="P48" i="5"/>
  <c r="Q48" i="5"/>
  <c r="R48" i="5"/>
  <c r="S48" i="5"/>
  <c r="W48" i="5" s="1"/>
  <c r="T48" i="5"/>
  <c r="U48" i="5"/>
  <c r="V48" i="5"/>
  <c r="D49" i="5"/>
  <c r="E49" i="5"/>
  <c r="T49" i="5" s="1"/>
  <c r="F49" i="5"/>
  <c r="G49" i="5"/>
  <c r="I49" i="5"/>
  <c r="J49" i="5"/>
  <c r="M49" i="5"/>
  <c r="Q49" i="5"/>
  <c r="R49" i="5"/>
  <c r="S49" i="5"/>
  <c r="W49" i="5" s="1"/>
  <c r="U49" i="5"/>
  <c r="V49" i="5"/>
  <c r="D50" i="5"/>
  <c r="E50" i="5"/>
  <c r="F50" i="5"/>
  <c r="G50" i="5"/>
  <c r="S50" i="5" s="1"/>
  <c r="I50" i="5"/>
  <c r="J50" i="5"/>
  <c r="K50" i="5"/>
  <c r="M50" i="5"/>
  <c r="R50" i="5"/>
  <c r="T50" i="5"/>
  <c r="U50" i="5"/>
  <c r="V50" i="5"/>
  <c r="W50" i="5"/>
  <c r="D51" i="5"/>
  <c r="E51" i="5"/>
  <c r="F51" i="5"/>
  <c r="G51" i="5"/>
  <c r="I51" i="5"/>
  <c r="Q51" i="5" s="1"/>
  <c r="J51" i="5"/>
  <c r="K51" i="5" s="1"/>
  <c r="M51" i="5"/>
  <c r="R51" i="5"/>
  <c r="S51" i="5"/>
  <c r="W51" i="5" s="1"/>
  <c r="T51" i="5"/>
  <c r="V51" i="5"/>
  <c r="D52" i="5"/>
  <c r="E52" i="5"/>
  <c r="F52" i="5"/>
  <c r="G52" i="5"/>
  <c r="I52" i="5"/>
  <c r="M52" i="5" s="1"/>
  <c r="J52" i="5"/>
  <c r="K52" i="5"/>
  <c r="L52" i="5"/>
  <c r="O52" i="5"/>
  <c r="Q52" i="5"/>
  <c r="R52" i="5"/>
  <c r="S52" i="5"/>
  <c r="T52" i="5"/>
  <c r="U52" i="5"/>
  <c r="V52" i="5"/>
  <c r="W52" i="5"/>
  <c r="X52" i="5"/>
  <c r="Y52" i="5"/>
  <c r="D53" i="5"/>
  <c r="E53" i="5"/>
  <c r="T53" i="5" s="1"/>
  <c r="F53" i="5"/>
  <c r="G53" i="5"/>
  <c r="I53" i="5"/>
  <c r="U53" i="5" s="1"/>
  <c r="J53" i="5"/>
  <c r="K53" i="5"/>
  <c r="M53" i="5"/>
  <c r="N53" i="5"/>
  <c r="Q53" i="5"/>
  <c r="R53" i="5"/>
  <c r="S53" i="5"/>
  <c r="W53" i="5" s="1"/>
  <c r="V53" i="5"/>
  <c r="D54" i="5"/>
  <c r="E54" i="5"/>
  <c r="F54" i="5"/>
  <c r="G54" i="5"/>
  <c r="I54" i="5"/>
  <c r="J54" i="5"/>
  <c r="K54" i="5"/>
  <c r="P54" i="5"/>
  <c r="R54" i="5"/>
  <c r="S54" i="5"/>
  <c r="T54" i="5"/>
  <c r="U54" i="5"/>
  <c r="V54" i="5"/>
  <c r="W54" i="5"/>
  <c r="D55" i="5"/>
  <c r="E55" i="5"/>
  <c r="T55" i="5" s="1"/>
  <c r="F55" i="5"/>
  <c r="G55" i="5"/>
  <c r="I55" i="5"/>
  <c r="Q55" i="5" s="1"/>
  <c r="J55" i="5"/>
  <c r="K55" i="5"/>
  <c r="M55" i="5"/>
  <c r="R55" i="5"/>
  <c r="S55" i="5"/>
  <c r="U55" i="5"/>
  <c r="V55" i="5"/>
  <c r="W55" i="5"/>
  <c r="D56" i="5"/>
  <c r="E56" i="5"/>
  <c r="F56" i="5"/>
  <c r="G56" i="5"/>
  <c r="I56" i="5"/>
  <c r="J56" i="5"/>
  <c r="K56" i="5"/>
  <c r="L56" i="5"/>
  <c r="O56" i="5" s="1"/>
  <c r="R56" i="5"/>
  <c r="V56" i="5"/>
  <c r="D57" i="5"/>
  <c r="E57" i="5"/>
  <c r="F57" i="5"/>
  <c r="G57" i="5"/>
  <c r="I57" i="5"/>
  <c r="J57" i="5"/>
  <c r="K57" i="5" s="1"/>
  <c r="R57" i="5"/>
  <c r="S57" i="5"/>
  <c r="W57" i="5" s="1"/>
  <c r="T57" i="5"/>
  <c r="V57" i="5"/>
  <c r="D58" i="5"/>
  <c r="E58" i="5"/>
  <c r="F58" i="5"/>
  <c r="G58" i="5"/>
  <c r="I58" i="5"/>
  <c r="J58" i="5"/>
  <c r="K58" i="5"/>
  <c r="M58" i="5"/>
  <c r="R58" i="5"/>
  <c r="S58" i="5"/>
  <c r="W58" i="5" s="1"/>
  <c r="T58" i="5"/>
  <c r="V58" i="5"/>
  <c r="D59" i="5"/>
  <c r="E59" i="5"/>
  <c r="T59" i="5" s="1"/>
  <c r="F59" i="5"/>
  <c r="G59" i="5"/>
  <c r="I59" i="5"/>
  <c r="J59" i="5"/>
  <c r="K59" i="5"/>
  <c r="M59" i="5"/>
  <c r="N59" i="5"/>
  <c r="Q59" i="5"/>
  <c r="R59" i="5"/>
  <c r="S59" i="5"/>
  <c r="W59" i="5" s="1"/>
  <c r="U59" i="5"/>
  <c r="V59" i="5"/>
  <c r="D60" i="5"/>
  <c r="E60" i="5"/>
  <c r="F60" i="5"/>
  <c r="G60" i="5"/>
  <c r="I60" i="5"/>
  <c r="J60" i="5"/>
  <c r="K60" i="5"/>
  <c r="R60" i="5"/>
  <c r="V60" i="5"/>
  <c r="D61" i="5"/>
  <c r="E61" i="5"/>
  <c r="F61" i="5"/>
  <c r="G61" i="5"/>
  <c r="I61" i="5"/>
  <c r="J61" i="5"/>
  <c r="M61" i="5"/>
  <c r="Q61" i="5"/>
  <c r="R61" i="5"/>
  <c r="V61" i="5"/>
  <c r="D62" i="5"/>
  <c r="E62" i="5"/>
  <c r="F62" i="5"/>
  <c r="G62" i="5"/>
  <c r="S62" i="5" s="1"/>
  <c r="W62" i="5" s="1"/>
  <c r="Y62" i="5" s="1"/>
  <c r="I62" i="5"/>
  <c r="J62" i="5"/>
  <c r="K62" i="5"/>
  <c r="M62" i="5"/>
  <c r="R62" i="5"/>
  <c r="T62" i="5"/>
  <c r="U62" i="5"/>
  <c r="V62" i="5"/>
  <c r="X62" i="5"/>
  <c r="D63" i="5"/>
  <c r="E63" i="5"/>
  <c r="F63" i="5"/>
  <c r="G63" i="5"/>
  <c r="I63" i="5"/>
  <c r="J63" i="5"/>
  <c r="S63" i="5" s="1"/>
  <c r="W63" i="5" s="1"/>
  <c r="K63" i="5"/>
  <c r="M63" i="5"/>
  <c r="N63" i="5"/>
  <c r="Q63" i="5"/>
  <c r="R63" i="5"/>
  <c r="T63" i="5"/>
  <c r="U63" i="5"/>
  <c r="V63" i="5"/>
  <c r="D64" i="5"/>
  <c r="E64" i="5"/>
  <c r="F64" i="5"/>
  <c r="G64" i="5"/>
  <c r="I64" i="5"/>
  <c r="H64" i="5" s="1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D65" i="5"/>
  <c r="E65" i="5"/>
  <c r="T65" i="5" s="1"/>
  <c r="F65" i="5"/>
  <c r="G65" i="5"/>
  <c r="I65" i="5"/>
  <c r="J65" i="5"/>
  <c r="K65" i="5"/>
  <c r="M65" i="5"/>
  <c r="N65" i="5"/>
  <c r="R65" i="5"/>
  <c r="V65" i="5"/>
  <c r="D66" i="5"/>
  <c r="E66" i="5"/>
  <c r="F66" i="5"/>
  <c r="G66" i="5"/>
  <c r="I66" i="5"/>
  <c r="Q66" i="5" s="1"/>
  <c r="J66" i="5"/>
  <c r="K66" i="5"/>
  <c r="M66" i="5"/>
  <c r="N66" i="5"/>
  <c r="P66" i="5"/>
  <c r="R66" i="5"/>
  <c r="S66" i="5"/>
  <c r="T66" i="5"/>
  <c r="U66" i="5"/>
  <c r="V66" i="5"/>
  <c r="W66" i="5"/>
  <c r="D67" i="5"/>
  <c r="E67" i="5"/>
  <c r="F67" i="5"/>
  <c r="G67" i="5"/>
  <c r="I67" i="5"/>
  <c r="J67" i="5"/>
  <c r="P67" i="5"/>
  <c r="Q67" i="5"/>
  <c r="R67" i="5"/>
  <c r="S67" i="5"/>
  <c r="W67" i="5" s="1"/>
  <c r="U67" i="5"/>
  <c r="V67" i="5"/>
  <c r="D68" i="5"/>
  <c r="E68" i="5"/>
  <c r="K68" i="5" s="1"/>
  <c r="F68" i="5"/>
  <c r="G68" i="5"/>
  <c r="I68" i="5"/>
  <c r="J68" i="5"/>
  <c r="L68" i="5"/>
  <c r="O68" i="5" s="1"/>
  <c r="M68" i="5"/>
  <c r="R68" i="5"/>
  <c r="S68" i="5"/>
  <c r="W68" i="5" s="1"/>
  <c r="Y68" i="5" s="1"/>
  <c r="T68" i="5"/>
  <c r="V68" i="5"/>
  <c r="X68" i="5"/>
  <c r="D69" i="5"/>
  <c r="E69" i="5"/>
  <c r="F69" i="5"/>
  <c r="G69" i="5"/>
  <c r="I69" i="5"/>
  <c r="J69" i="5"/>
  <c r="Q69" i="5"/>
  <c r="R69" i="5"/>
  <c r="T69" i="5"/>
  <c r="D70" i="5"/>
  <c r="E70" i="5"/>
  <c r="F70" i="5"/>
  <c r="G70" i="5"/>
  <c r="I70" i="5"/>
  <c r="M70" i="5" s="1"/>
  <c r="J70" i="5"/>
  <c r="K70" i="5"/>
  <c r="L70" i="5"/>
  <c r="O70" i="5" s="1"/>
  <c r="P70" i="5"/>
  <c r="Q70" i="5"/>
  <c r="R70" i="5"/>
  <c r="T70" i="5"/>
  <c r="U70" i="5"/>
  <c r="X70" i="5"/>
  <c r="D71" i="5"/>
  <c r="E71" i="5"/>
  <c r="T71" i="5" s="1"/>
  <c r="F71" i="5"/>
  <c r="G71" i="5"/>
  <c r="I71" i="5"/>
  <c r="X71" i="5" s="1"/>
  <c r="J71" i="5"/>
  <c r="K71" i="5"/>
  <c r="L71" i="5"/>
  <c r="O71" i="5" s="1"/>
  <c r="N71" i="5"/>
  <c r="Q71" i="5"/>
  <c r="R71" i="5"/>
  <c r="U71" i="5"/>
  <c r="V71" i="5"/>
  <c r="D72" i="5"/>
  <c r="E72" i="5"/>
  <c r="F72" i="5"/>
  <c r="G72" i="5"/>
  <c r="I72" i="5"/>
  <c r="J72" i="5"/>
  <c r="K72" i="5"/>
  <c r="M72" i="5"/>
  <c r="N72" i="5"/>
  <c r="P72" i="5"/>
  <c r="Q72" i="5"/>
  <c r="R72" i="5"/>
  <c r="U72" i="5"/>
  <c r="V72" i="5"/>
  <c r="D73" i="5"/>
  <c r="E73" i="5"/>
  <c r="T73" i="5" s="1"/>
  <c r="F73" i="5"/>
  <c r="G73" i="5"/>
  <c r="I73" i="5"/>
  <c r="J73" i="5"/>
  <c r="S73" i="5" s="1"/>
  <c r="K73" i="5"/>
  <c r="M73" i="5"/>
  <c r="P73" i="5"/>
  <c r="Q73" i="5"/>
  <c r="R73" i="5"/>
  <c r="V73" i="5"/>
  <c r="Y73" i="5" s="1"/>
  <c r="W73" i="5"/>
  <c r="X73" i="5"/>
  <c r="D74" i="5"/>
  <c r="E74" i="5"/>
  <c r="F74" i="5"/>
  <c r="G74" i="5"/>
  <c r="T74" i="5" s="1"/>
  <c r="I74" i="5"/>
  <c r="N74" i="5" s="1"/>
  <c r="J74" i="5"/>
  <c r="M74" i="5"/>
  <c r="P74" i="5"/>
  <c r="R74" i="5"/>
  <c r="D75" i="5"/>
  <c r="E75" i="5"/>
  <c r="F75" i="5"/>
  <c r="G75" i="5"/>
  <c r="S75" i="5" s="1"/>
  <c r="W75" i="5" s="1"/>
  <c r="I75" i="5"/>
  <c r="J75" i="5"/>
  <c r="L75" i="5"/>
  <c r="O75" i="5" s="1"/>
  <c r="M75" i="5"/>
  <c r="N75" i="5"/>
  <c r="P75" i="5"/>
  <c r="Q75" i="5"/>
  <c r="R75" i="5"/>
  <c r="T75" i="5"/>
  <c r="V75" i="5"/>
  <c r="X75" i="5"/>
  <c r="D76" i="5"/>
  <c r="E76" i="5"/>
  <c r="F76" i="5"/>
  <c r="G76" i="5"/>
  <c r="I76" i="5"/>
  <c r="L76" i="5" s="1"/>
  <c r="O76" i="5" s="1"/>
  <c r="J76" i="5"/>
  <c r="R76" i="5"/>
  <c r="D77" i="5"/>
  <c r="E77" i="5"/>
  <c r="F77" i="5"/>
  <c r="G77" i="5"/>
  <c r="I77" i="5"/>
  <c r="H77" i="5" s="1"/>
  <c r="J77" i="5"/>
  <c r="K77" i="5"/>
  <c r="L77" i="5"/>
  <c r="O77" i="5" s="1"/>
  <c r="N77" i="5"/>
  <c r="P77" i="5"/>
  <c r="Q77" i="5"/>
  <c r="R77" i="5"/>
  <c r="S77" i="5"/>
  <c r="W77" i="5" s="1"/>
  <c r="T77" i="5"/>
  <c r="U77" i="5"/>
  <c r="V77" i="5"/>
  <c r="X77" i="5"/>
  <c r="D78" i="5"/>
  <c r="E78" i="5"/>
  <c r="F78" i="5"/>
  <c r="G78" i="5"/>
  <c r="I78" i="5"/>
  <c r="N78" i="5" s="1"/>
  <c r="J78" i="5"/>
  <c r="L78" i="5"/>
  <c r="O78" i="5" s="1"/>
  <c r="M78" i="5"/>
  <c r="R78" i="5"/>
  <c r="D79" i="5"/>
  <c r="E79" i="5"/>
  <c r="U79" i="5" s="1"/>
  <c r="F79" i="5"/>
  <c r="G79" i="5"/>
  <c r="S79" i="5" s="1"/>
  <c r="W79" i="5" s="1"/>
  <c r="Y79" i="5" s="1"/>
  <c r="I79" i="5"/>
  <c r="M79" i="5" s="1"/>
  <c r="J79" i="5"/>
  <c r="K79" i="5"/>
  <c r="L79" i="5"/>
  <c r="O79" i="5" s="1"/>
  <c r="N79" i="5"/>
  <c r="P79" i="5"/>
  <c r="R79" i="5"/>
  <c r="V79" i="5"/>
  <c r="X79" i="5"/>
  <c r="D80" i="5"/>
  <c r="E80" i="5"/>
  <c r="F80" i="5"/>
  <c r="G80" i="5"/>
  <c r="I80" i="5"/>
  <c r="J80" i="5"/>
  <c r="M80" i="5"/>
  <c r="N80" i="5"/>
  <c r="P80" i="5"/>
  <c r="Q80" i="5"/>
  <c r="R80" i="5"/>
  <c r="U80" i="5"/>
  <c r="D81" i="5"/>
  <c r="E81" i="5"/>
  <c r="F81" i="5"/>
  <c r="G81" i="5"/>
  <c r="T81" i="5" s="1"/>
  <c r="I81" i="5"/>
  <c r="J81" i="5"/>
  <c r="S81" i="5" s="1"/>
  <c r="W81" i="5" s="1"/>
  <c r="L81" i="5"/>
  <c r="O81" i="5" s="1"/>
  <c r="M81" i="5"/>
  <c r="N81" i="5"/>
  <c r="P81" i="5"/>
  <c r="Q81" i="5"/>
  <c r="R81" i="5"/>
  <c r="V81" i="5"/>
  <c r="X81" i="5"/>
  <c r="D82" i="5"/>
  <c r="E82" i="5"/>
  <c r="F82" i="5"/>
  <c r="G82" i="5"/>
  <c r="I82" i="5"/>
  <c r="J82" i="5"/>
  <c r="L82" i="5"/>
  <c r="M82" i="5"/>
  <c r="N82" i="5"/>
  <c r="O82" i="5"/>
  <c r="R82" i="5"/>
  <c r="T82" i="5"/>
  <c r="D83" i="5"/>
  <c r="E83" i="5"/>
  <c r="F83" i="5"/>
  <c r="G83" i="5"/>
  <c r="S83" i="5" s="1"/>
  <c r="W83" i="5" s="1"/>
  <c r="I83" i="5"/>
  <c r="J83" i="5"/>
  <c r="V83" i="5" s="1"/>
  <c r="K83" i="5"/>
  <c r="L83" i="5"/>
  <c r="O83" i="5" s="1"/>
  <c r="P83" i="5"/>
  <c r="Q83" i="5"/>
  <c r="R83" i="5"/>
  <c r="U83" i="5"/>
  <c r="X83" i="5"/>
  <c r="D84" i="5"/>
  <c r="E84" i="5"/>
  <c r="T84" i="5" s="1"/>
  <c r="F84" i="5"/>
  <c r="G84" i="5"/>
  <c r="I84" i="5"/>
  <c r="J84" i="5"/>
  <c r="R84" i="5"/>
  <c r="D85" i="5"/>
  <c r="E85" i="5"/>
  <c r="F85" i="5"/>
  <c r="G85" i="5"/>
  <c r="S85" i="5" s="1"/>
  <c r="W85" i="5" s="1"/>
  <c r="Y85" i="5" s="1"/>
  <c r="Z85" i="5" s="1"/>
  <c r="I85" i="5"/>
  <c r="J85" i="5"/>
  <c r="K85" i="5"/>
  <c r="L85" i="5"/>
  <c r="M85" i="5"/>
  <c r="N85" i="5"/>
  <c r="O85" i="5"/>
  <c r="P85" i="5"/>
  <c r="R85" i="5"/>
  <c r="T85" i="5"/>
  <c r="U85" i="5"/>
  <c r="V85" i="5"/>
  <c r="X85" i="5"/>
  <c r="D86" i="5"/>
  <c r="E86" i="5"/>
  <c r="F86" i="5"/>
  <c r="G86" i="5"/>
  <c r="I86" i="5"/>
  <c r="M86" i="5" s="1"/>
  <c r="J86" i="5"/>
  <c r="P86" i="5"/>
  <c r="Q86" i="5"/>
  <c r="R86" i="5"/>
  <c r="D87" i="5"/>
  <c r="E87" i="5"/>
  <c r="U87" i="5" s="1"/>
  <c r="F87" i="5"/>
  <c r="G87" i="5"/>
  <c r="I87" i="5"/>
  <c r="J87" i="5"/>
  <c r="L87" i="5"/>
  <c r="O87" i="5" s="1"/>
  <c r="M87" i="5"/>
  <c r="N87" i="5"/>
  <c r="P87" i="5"/>
  <c r="Q87" i="5"/>
  <c r="R87" i="5"/>
  <c r="T87" i="5"/>
  <c r="X87" i="5"/>
  <c r="D88" i="5"/>
  <c r="E88" i="5"/>
  <c r="K88" i="5" s="1"/>
  <c r="F88" i="5"/>
  <c r="G88" i="5"/>
  <c r="T88" i="5" s="1"/>
  <c r="I88" i="5"/>
  <c r="J88" i="5"/>
  <c r="S88" i="5" s="1"/>
  <c r="W88" i="5" s="1"/>
  <c r="L88" i="5"/>
  <c r="M88" i="5"/>
  <c r="N88" i="5"/>
  <c r="O88" i="5"/>
  <c r="Q88" i="5"/>
  <c r="R88" i="5"/>
  <c r="U88" i="5"/>
  <c r="V88" i="5"/>
  <c r="X88" i="5"/>
  <c r="D89" i="5"/>
  <c r="E89" i="5"/>
  <c r="F89" i="5"/>
  <c r="G89" i="5"/>
  <c r="S89" i="5" s="1"/>
  <c r="W89" i="5" s="1"/>
  <c r="I89" i="5"/>
  <c r="J89" i="5"/>
  <c r="K89" i="5"/>
  <c r="R89" i="5"/>
  <c r="V89" i="5"/>
  <c r="D90" i="5"/>
  <c r="E90" i="5"/>
  <c r="T90" i="5" s="1"/>
  <c r="F90" i="5"/>
  <c r="G90" i="5"/>
  <c r="I90" i="5"/>
  <c r="L90" i="5" s="1"/>
  <c r="O90" i="5" s="1"/>
  <c r="J90" i="5"/>
  <c r="S90" i="5" s="1"/>
  <c r="W90" i="5" s="1"/>
  <c r="Y90" i="5" s="1"/>
  <c r="Z90" i="5" s="1"/>
  <c r="R90" i="5"/>
  <c r="V90" i="5"/>
  <c r="X90" i="5"/>
  <c r="D91" i="5"/>
  <c r="E91" i="5"/>
  <c r="F91" i="5"/>
  <c r="G91" i="5"/>
  <c r="I91" i="5"/>
  <c r="X91" i="5" s="1"/>
  <c r="J91" i="5"/>
  <c r="K91" i="5"/>
  <c r="L91" i="5"/>
  <c r="M91" i="5"/>
  <c r="N91" i="5"/>
  <c r="O91" i="5"/>
  <c r="P91" i="5"/>
  <c r="R91" i="5"/>
  <c r="U91" i="5"/>
  <c r="V91" i="5"/>
  <c r="D92" i="5"/>
  <c r="E92" i="5"/>
  <c r="U92" i="5" s="1"/>
  <c r="F92" i="5"/>
  <c r="G92" i="5"/>
  <c r="T92" i="5" s="1"/>
  <c r="I92" i="5"/>
  <c r="J92" i="5"/>
  <c r="M92" i="5"/>
  <c r="P92" i="5"/>
  <c r="Q92" i="5"/>
  <c r="R92" i="5"/>
  <c r="V92" i="5"/>
  <c r="D93" i="5"/>
  <c r="E93" i="5"/>
  <c r="U93" i="5" s="1"/>
  <c r="F93" i="5"/>
  <c r="G93" i="5"/>
  <c r="I93" i="5"/>
  <c r="J93" i="5"/>
  <c r="S93" i="5" s="1"/>
  <c r="W93" i="5" s="1"/>
  <c r="L93" i="5"/>
  <c r="O93" i="5" s="1"/>
  <c r="M93" i="5"/>
  <c r="N93" i="5"/>
  <c r="P93" i="5"/>
  <c r="Q93" i="5"/>
  <c r="R93" i="5"/>
  <c r="T93" i="5"/>
  <c r="V93" i="5"/>
  <c r="Y93" i="5" s="1"/>
  <c r="X93" i="5"/>
  <c r="D94" i="5"/>
  <c r="E94" i="5"/>
  <c r="K94" i="5" s="1"/>
  <c r="F94" i="5"/>
  <c r="G94" i="5"/>
  <c r="T94" i="5" s="1"/>
  <c r="I94" i="5"/>
  <c r="L94" i="5" s="1"/>
  <c r="J94" i="5"/>
  <c r="M94" i="5"/>
  <c r="N94" i="5"/>
  <c r="O94" i="5"/>
  <c r="Q94" i="5"/>
  <c r="R94" i="5"/>
  <c r="V94" i="5"/>
  <c r="X94" i="5"/>
  <c r="D95" i="5"/>
  <c r="E95" i="5"/>
  <c r="F95" i="5"/>
  <c r="G95" i="5"/>
  <c r="I95" i="5"/>
  <c r="J95" i="5"/>
  <c r="N95" i="5"/>
  <c r="R95" i="5"/>
  <c r="T95" i="5"/>
  <c r="D96" i="5"/>
  <c r="E96" i="5"/>
  <c r="T96" i="5" s="1"/>
  <c r="F96" i="5"/>
  <c r="G96" i="5"/>
  <c r="I96" i="5"/>
  <c r="J96" i="5"/>
  <c r="R96" i="5"/>
  <c r="D97" i="5"/>
  <c r="E97" i="5"/>
  <c r="F97" i="5"/>
  <c r="G97" i="5"/>
  <c r="I97" i="5"/>
  <c r="M97" i="5" s="1"/>
  <c r="J97" i="5"/>
  <c r="R97" i="5"/>
  <c r="V97" i="5"/>
  <c r="D98" i="5"/>
  <c r="E98" i="5"/>
  <c r="K98" i="5" s="1"/>
  <c r="F98" i="5"/>
  <c r="G98" i="5"/>
  <c r="T98" i="5" s="1"/>
  <c r="I98" i="5"/>
  <c r="L98" i="5" s="1"/>
  <c r="O98" i="5" s="1"/>
  <c r="J98" i="5"/>
  <c r="P98" i="5"/>
  <c r="Q98" i="5"/>
  <c r="R98" i="5"/>
  <c r="U98" i="5"/>
  <c r="V98" i="5"/>
  <c r="D99" i="5"/>
  <c r="E99" i="5"/>
  <c r="F99" i="5"/>
  <c r="G99" i="5"/>
  <c r="I99" i="5"/>
  <c r="H99" i="5" s="1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D100" i="5"/>
  <c r="E100" i="5"/>
  <c r="T100" i="5" s="1"/>
  <c r="F100" i="5"/>
  <c r="G100" i="5"/>
  <c r="I100" i="5"/>
  <c r="J100" i="5"/>
  <c r="S100" i="5" s="1"/>
  <c r="L100" i="5"/>
  <c r="O100" i="5" s="1"/>
  <c r="M100" i="5"/>
  <c r="N100" i="5"/>
  <c r="Q100" i="5"/>
  <c r="R100" i="5"/>
  <c r="U100" i="5"/>
  <c r="W100" i="5"/>
  <c r="X100" i="5"/>
  <c r="D101" i="5"/>
  <c r="E101" i="5"/>
  <c r="U101" i="5" s="1"/>
  <c r="F101" i="5"/>
  <c r="G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V101" i="5"/>
  <c r="W101" i="5"/>
  <c r="Y101" i="5" s="1"/>
  <c r="X101" i="5"/>
  <c r="D102" i="5"/>
  <c r="E102" i="5"/>
  <c r="F102" i="5"/>
  <c r="G102" i="5"/>
  <c r="I102" i="5"/>
  <c r="M102" i="5" s="1"/>
  <c r="J102" i="5"/>
  <c r="S102" i="5" s="1"/>
  <c r="W102" i="5" s="1"/>
  <c r="P102" i="5"/>
  <c r="R102" i="5"/>
  <c r="V102" i="5"/>
  <c r="D103" i="5"/>
  <c r="E103" i="5"/>
  <c r="F103" i="5"/>
  <c r="G103" i="5"/>
  <c r="I103" i="5"/>
  <c r="J103" i="5"/>
  <c r="L103" i="5"/>
  <c r="N103" i="5"/>
  <c r="O103" i="5"/>
  <c r="P103" i="5"/>
  <c r="Q103" i="5"/>
  <c r="R103" i="5"/>
  <c r="S103" i="5"/>
  <c r="W103" i="5" s="1"/>
  <c r="V103" i="5"/>
  <c r="X103" i="5"/>
  <c r="D104" i="5"/>
  <c r="E104" i="5"/>
  <c r="K104" i="5" s="1"/>
  <c r="F104" i="5"/>
  <c r="G104" i="5"/>
  <c r="I104" i="5"/>
  <c r="U104" i="5" s="1"/>
  <c r="J104" i="5"/>
  <c r="M104" i="5"/>
  <c r="N104" i="5"/>
  <c r="Q104" i="5"/>
  <c r="R104" i="5"/>
  <c r="S104" i="5"/>
  <c r="W104" i="5" s="1"/>
  <c r="T104" i="5"/>
  <c r="V104" i="5"/>
  <c r="D105" i="5"/>
  <c r="E105" i="5"/>
  <c r="F105" i="5"/>
  <c r="G105" i="5"/>
  <c r="T105" i="5" s="1"/>
  <c r="I105" i="5"/>
  <c r="J105" i="5"/>
  <c r="K105" i="5"/>
  <c r="L105" i="5"/>
  <c r="O105" i="5" s="1"/>
  <c r="P105" i="5"/>
  <c r="R105" i="5"/>
  <c r="V105" i="5"/>
  <c r="X105" i="5"/>
  <c r="D106" i="5"/>
  <c r="E106" i="5"/>
  <c r="F106" i="5"/>
  <c r="G106" i="5"/>
  <c r="I106" i="5"/>
  <c r="J106" i="5"/>
  <c r="N106" i="5"/>
  <c r="Q106" i="5"/>
  <c r="R106" i="5"/>
  <c r="V106" i="5"/>
  <c r="D107" i="5"/>
  <c r="E107" i="5"/>
  <c r="U107" i="5" s="1"/>
  <c r="F107" i="5"/>
  <c r="G107" i="5"/>
  <c r="S107" i="5" s="1"/>
  <c r="W107" i="5" s="1"/>
  <c r="I107" i="5"/>
  <c r="J107" i="5"/>
  <c r="K107" i="5"/>
  <c r="L107" i="5"/>
  <c r="M107" i="5"/>
  <c r="N107" i="5"/>
  <c r="O107" i="5"/>
  <c r="P107" i="5"/>
  <c r="Q107" i="5"/>
  <c r="R107" i="5"/>
  <c r="T107" i="5"/>
  <c r="V107" i="5"/>
  <c r="X107" i="5"/>
  <c r="Y107" i="5"/>
  <c r="Z107" i="5"/>
  <c r="D108" i="5"/>
  <c r="E108" i="5"/>
  <c r="F108" i="5"/>
  <c r="G108" i="5"/>
  <c r="I108" i="5"/>
  <c r="P108" i="5" s="1"/>
  <c r="J108" i="5"/>
  <c r="M108" i="5"/>
  <c r="N108" i="5"/>
  <c r="Q108" i="5"/>
  <c r="R108" i="5"/>
  <c r="V108" i="5"/>
  <c r="D109" i="5"/>
  <c r="E109" i="5"/>
  <c r="U109" i="5" s="1"/>
  <c r="F109" i="5"/>
  <c r="G109" i="5"/>
  <c r="S109" i="5" s="1"/>
  <c r="W109" i="5" s="1"/>
  <c r="I109" i="5"/>
  <c r="J109" i="5"/>
  <c r="K109" i="5"/>
  <c r="L109" i="5"/>
  <c r="O109" i="5" s="1"/>
  <c r="N109" i="5"/>
  <c r="P109" i="5"/>
  <c r="Q109" i="5"/>
  <c r="R109" i="5"/>
  <c r="V109" i="5"/>
  <c r="Y109" i="5" s="1"/>
  <c r="X109" i="5"/>
  <c r="D110" i="5"/>
  <c r="E110" i="5"/>
  <c r="K110" i="5" s="1"/>
  <c r="F110" i="5"/>
  <c r="G110" i="5"/>
  <c r="I110" i="5"/>
  <c r="M110" i="5" s="1"/>
  <c r="J110" i="5"/>
  <c r="Q110" i="5"/>
  <c r="R110" i="5"/>
  <c r="U110" i="5"/>
  <c r="V110" i="5"/>
  <c r="D111" i="5"/>
  <c r="E111" i="5"/>
  <c r="F111" i="5"/>
  <c r="G111" i="5"/>
  <c r="I111" i="5"/>
  <c r="P111" i="5" s="1"/>
  <c r="J111" i="5"/>
  <c r="S111" i="5" s="1"/>
  <c r="W111" i="5" s="1"/>
  <c r="R111" i="5"/>
  <c r="T111" i="5"/>
  <c r="X111" i="5"/>
  <c r="D112" i="5"/>
  <c r="E112" i="5"/>
  <c r="T112" i="5" s="1"/>
  <c r="F112" i="5"/>
  <c r="G112" i="5"/>
  <c r="I112" i="5"/>
  <c r="U112" i="5" s="1"/>
  <c r="J112" i="5"/>
  <c r="K112" i="5"/>
  <c r="R112" i="5"/>
  <c r="V112" i="5"/>
  <c r="X112" i="5"/>
  <c r="D113" i="5"/>
  <c r="E113" i="5"/>
  <c r="U113" i="5" s="1"/>
  <c r="F113" i="5"/>
  <c r="G113" i="5"/>
  <c r="S113" i="5" s="1"/>
  <c r="I113" i="5"/>
  <c r="J113" i="5"/>
  <c r="K113" i="5"/>
  <c r="L113" i="5"/>
  <c r="M113" i="5"/>
  <c r="N113" i="5"/>
  <c r="O113" i="5"/>
  <c r="P113" i="5"/>
  <c r="Q113" i="5"/>
  <c r="R113" i="5"/>
  <c r="T113" i="5"/>
  <c r="V113" i="5"/>
  <c r="W113" i="5"/>
  <c r="X113" i="5"/>
  <c r="D114" i="5"/>
  <c r="E114" i="5"/>
  <c r="F114" i="5"/>
  <c r="G114" i="5"/>
  <c r="I114" i="5"/>
  <c r="M114" i="5" s="1"/>
  <c r="J114" i="5"/>
  <c r="P114" i="5"/>
  <c r="R114" i="5"/>
  <c r="V114" i="5"/>
  <c r="D115" i="5"/>
  <c r="E115" i="5"/>
  <c r="U115" i="5" s="1"/>
  <c r="F115" i="5"/>
  <c r="G115" i="5"/>
  <c r="I115" i="5"/>
  <c r="J115" i="5"/>
  <c r="K115" i="5"/>
  <c r="L115" i="5"/>
  <c r="N115" i="5"/>
  <c r="O115" i="5"/>
  <c r="P115" i="5"/>
  <c r="Q115" i="5"/>
  <c r="R115" i="5"/>
  <c r="S115" i="5"/>
  <c r="T115" i="5"/>
  <c r="V115" i="5"/>
  <c r="W115" i="5"/>
  <c r="X115" i="5"/>
  <c r="D116" i="5"/>
  <c r="E116" i="5"/>
  <c r="F116" i="5"/>
  <c r="G116" i="5"/>
  <c r="I116" i="5"/>
  <c r="J116" i="5"/>
  <c r="V116" i="5" s="1"/>
  <c r="M116" i="5"/>
  <c r="N116" i="5"/>
  <c r="Q116" i="5"/>
  <c r="R116" i="5"/>
  <c r="T116" i="5"/>
  <c r="U116" i="5"/>
  <c r="D117" i="5"/>
  <c r="E117" i="5"/>
  <c r="F117" i="5"/>
  <c r="G117" i="5"/>
  <c r="T117" i="5" s="1"/>
  <c r="I117" i="5"/>
  <c r="P117" i="5" s="1"/>
  <c r="J117" i="5"/>
  <c r="K117" i="5"/>
  <c r="L117" i="5"/>
  <c r="O117" i="5" s="1"/>
  <c r="R117" i="5"/>
  <c r="S117" i="5"/>
  <c r="W117" i="5" s="1"/>
  <c r="U117" i="5"/>
  <c r="V117" i="5"/>
  <c r="X117" i="5"/>
  <c r="D118" i="5"/>
  <c r="E118" i="5"/>
  <c r="T118" i="5" s="1"/>
  <c r="F118" i="5"/>
  <c r="G118" i="5"/>
  <c r="I118" i="5"/>
  <c r="L118" i="5" s="1"/>
  <c r="O118" i="5" s="1"/>
  <c r="J118" i="5"/>
  <c r="M118" i="5"/>
  <c r="N118" i="5"/>
  <c r="Q118" i="5"/>
  <c r="R118" i="5"/>
  <c r="X118" i="5"/>
  <c r="D119" i="5"/>
  <c r="E119" i="5"/>
  <c r="U119" i="5" s="1"/>
  <c r="F119" i="5"/>
  <c r="G119" i="5"/>
  <c r="S119" i="5" s="1"/>
  <c r="W119" i="5" s="1"/>
  <c r="Y119" i="5" s="1"/>
  <c r="Z119" i="5" s="1"/>
  <c r="I119" i="5"/>
  <c r="J119" i="5"/>
  <c r="K119" i="5"/>
  <c r="L119" i="5"/>
  <c r="O119" i="5" s="1"/>
  <c r="M119" i="5"/>
  <c r="N119" i="5"/>
  <c r="P119" i="5"/>
  <c r="Q119" i="5"/>
  <c r="R119" i="5"/>
  <c r="T119" i="5"/>
  <c r="V119" i="5"/>
  <c r="X119" i="5"/>
  <c r="D120" i="5"/>
  <c r="E120" i="5"/>
  <c r="F120" i="5"/>
  <c r="G120" i="5"/>
  <c r="I120" i="5"/>
  <c r="J120" i="5"/>
  <c r="M120" i="5"/>
  <c r="N120" i="5"/>
  <c r="P120" i="5"/>
  <c r="Q120" i="5"/>
  <c r="R120" i="5"/>
  <c r="U120" i="5"/>
  <c r="D121" i="5"/>
  <c r="E121" i="5"/>
  <c r="U121" i="5" s="1"/>
  <c r="F121" i="5"/>
  <c r="G121" i="5"/>
  <c r="I121" i="5"/>
  <c r="J121" i="5"/>
  <c r="L121" i="5"/>
  <c r="O121" i="5" s="1"/>
  <c r="N121" i="5"/>
  <c r="P121" i="5"/>
  <c r="Q121" i="5"/>
  <c r="R121" i="5"/>
  <c r="T121" i="5"/>
  <c r="V121" i="5"/>
  <c r="X121" i="5"/>
  <c r="D122" i="5"/>
  <c r="E122" i="5"/>
  <c r="F122" i="5"/>
  <c r="G122" i="5"/>
  <c r="T122" i="5" s="1"/>
  <c r="I122" i="5"/>
  <c r="N122" i="5" s="1"/>
  <c r="J122" i="5"/>
  <c r="R122" i="5"/>
  <c r="U122" i="5"/>
  <c r="D123" i="5"/>
  <c r="E123" i="5"/>
  <c r="F123" i="5"/>
  <c r="G123" i="5"/>
  <c r="I123" i="5"/>
  <c r="J123" i="5"/>
  <c r="K123" i="5" s="1"/>
  <c r="R123" i="5"/>
  <c r="T123" i="5"/>
  <c r="D124" i="5"/>
  <c r="E124" i="5"/>
  <c r="T124" i="5" s="1"/>
  <c r="F124" i="5"/>
  <c r="G124" i="5"/>
  <c r="I124" i="5"/>
  <c r="J124" i="5"/>
  <c r="R124" i="5"/>
  <c r="D125" i="5"/>
  <c r="E125" i="5"/>
  <c r="U125" i="5" s="1"/>
  <c r="F125" i="5"/>
  <c r="G125" i="5"/>
  <c r="I125" i="5"/>
  <c r="J125" i="5"/>
  <c r="K125" i="5"/>
  <c r="L125" i="5"/>
  <c r="M125" i="5"/>
  <c r="N125" i="5"/>
  <c r="O125" i="5"/>
  <c r="P125" i="5"/>
  <c r="Q125" i="5"/>
  <c r="R125" i="5"/>
  <c r="S125" i="5"/>
  <c r="W125" i="5" s="1"/>
  <c r="Y125" i="5" s="1"/>
  <c r="T125" i="5"/>
  <c r="V125" i="5"/>
  <c r="X125" i="5"/>
  <c r="D126" i="5"/>
  <c r="E126" i="5"/>
  <c r="F126" i="5"/>
  <c r="G126" i="5"/>
  <c r="I126" i="5"/>
  <c r="J126" i="5"/>
  <c r="S126" i="5" s="1"/>
  <c r="W126" i="5" s="1"/>
  <c r="N126" i="5"/>
  <c r="R126" i="5"/>
  <c r="T126" i="5"/>
  <c r="D127" i="5"/>
  <c r="E127" i="5"/>
  <c r="U127" i="5" s="1"/>
  <c r="F127" i="5"/>
  <c r="G127" i="5"/>
  <c r="T127" i="5" s="1"/>
  <c r="I127" i="5"/>
  <c r="J127" i="5"/>
  <c r="S127" i="5" s="1"/>
  <c r="W127" i="5" s="1"/>
  <c r="L127" i="5"/>
  <c r="O127" i="5" s="1"/>
  <c r="N127" i="5"/>
  <c r="P127" i="5"/>
  <c r="Q127" i="5"/>
  <c r="R127" i="5"/>
  <c r="V127" i="5"/>
  <c r="X127" i="5"/>
  <c r="D128" i="5"/>
  <c r="E128" i="5"/>
  <c r="K128" i="5" s="1"/>
  <c r="F128" i="5"/>
  <c r="G128" i="5"/>
  <c r="T128" i="5" s="1"/>
  <c r="I128" i="5"/>
  <c r="L128" i="5" s="1"/>
  <c r="O128" i="5" s="1"/>
  <c r="J128" i="5"/>
  <c r="M128" i="5"/>
  <c r="N128" i="5"/>
  <c r="Q128" i="5"/>
  <c r="R128" i="5"/>
  <c r="U128" i="5"/>
  <c r="V128" i="5"/>
  <c r="X128" i="5"/>
  <c r="D129" i="5"/>
  <c r="E129" i="5"/>
  <c r="F129" i="5"/>
  <c r="G129" i="5"/>
  <c r="I129" i="5"/>
  <c r="J129" i="5"/>
  <c r="K129" i="5"/>
  <c r="L129" i="5"/>
  <c r="M129" i="5"/>
  <c r="N129" i="5"/>
  <c r="O129" i="5"/>
  <c r="P129" i="5"/>
  <c r="Q129" i="5"/>
  <c r="R129" i="5"/>
  <c r="X129" i="5"/>
  <c r="D130" i="5"/>
  <c r="E130" i="5"/>
  <c r="K130" i="5" s="1"/>
  <c r="F130" i="5"/>
  <c r="G130" i="5"/>
  <c r="S130" i="5" s="1"/>
  <c r="W130" i="5" s="1"/>
  <c r="Y130" i="5" s="1"/>
  <c r="I130" i="5"/>
  <c r="H130" i="5" s="1"/>
  <c r="J130" i="5"/>
  <c r="L130" i="5"/>
  <c r="O130" i="5" s="1"/>
  <c r="M130" i="5"/>
  <c r="N130" i="5"/>
  <c r="P130" i="5"/>
  <c r="Q130" i="5"/>
  <c r="R130" i="5"/>
  <c r="U130" i="5"/>
  <c r="V130" i="5"/>
  <c r="X130" i="5"/>
  <c r="Z130" i="5"/>
  <c r="D131" i="5"/>
  <c r="E131" i="5"/>
  <c r="F131" i="5"/>
  <c r="G131" i="5"/>
  <c r="I131" i="5"/>
  <c r="J131" i="5"/>
  <c r="V131" i="5" s="1"/>
  <c r="N131" i="5"/>
  <c r="P131" i="5"/>
  <c r="R131" i="5"/>
  <c r="S131" i="5"/>
  <c r="W131" i="5" s="1"/>
  <c r="U131" i="5"/>
  <c r="D132" i="5"/>
  <c r="E132" i="5"/>
  <c r="F132" i="5"/>
  <c r="G132" i="5"/>
  <c r="I132" i="5"/>
  <c r="J132" i="5"/>
  <c r="L132" i="5"/>
  <c r="O132" i="5" s="1"/>
  <c r="P132" i="5"/>
  <c r="Q132" i="5"/>
  <c r="R132" i="5"/>
  <c r="V132" i="5"/>
  <c r="X132" i="5"/>
  <c r="D133" i="5"/>
  <c r="E133" i="5"/>
  <c r="U133" i="5" s="1"/>
  <c r="F133" i="5"/>
  <c r="G133" i="5"/>
  <c r="T133" i="5" s="1"/>
  <c r="I133" i="5"/>
  <c r="L133" i="5" s="1"/>
  <c r="O133" i="5" s="1"/>
  <c r="J133" i="5"/>
  <c r="S133" i="5" s="1"/>
  <c r="W133" i="5" s="1"/>
  <c r="M133" i="5"/>
  <c r="N133" i="5"/>
  <c r="P133" i="5"/>
  <c r="R133" i="5"/>
  <c r="D134" i="5"/>
  <c r="E134" i="5"/>
  <c r="F134" i="5"/>
  <c r="G134" i="5"/>
  <c r="I134" i="5"/>
  <c r="H134" i="5" s="1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D135" i="5"/>
  <c r="E135" i="5"/>
  <c r="K135" i="5" s="1"/>
  <c r="F135" i="5"/>
  <c r="G135" i="5"/>
  <c r="I135" i="5"/>
  <c r="J135" i="5"/>
  <c r="L135" i="5"/>
  <c r="M135" i="5"/>
  <c r="N135" i="5"/>
  <c r="O135" i="5"/>
  <c r="P135" i="5"/>
  <c r="Q135" i="5"/>
  <c r="R135" i="5"/>
  <c r="V135" i="5"/>
  <c r="X135" i="5"/>
  <c r="D136" i="5"/>
  <c r="E136" i="5"/>
  <c r="K136" i="5" s="1"/>
  <c r="F136" i="5"/>
  <c r="G136" i="5"/>
  <c r="T136" i="5" s="1"/>
  <c r="I136" i="5"/>
  <c r="H136" i="5" s="1"/>
  <c r="J136" i="5"/>
  <c r="L136" i="5"/>
  <c r="O136" i="5" s="1"/>
  <c r="M136" i="5"/>
  <c r="N136" i="5"/>
  <c r="P136" i="5"/>
  <c r="Q136" i="5"/>
  <c r="R136" i="5"/>
  <c r="S136" i="5"/>
  <c r="W136" i="5" s="1"/>
  <c r="U136" i="5"/>
  <c r="V136" i="5"/>
  <c r="X136" i="5"/>
  <c r="D137" i="5"/>
  <c r="E137" i="5"/>
  <c r="F137" i="5"/>
  <c r="G137" i="5"/>
  <c r="I137" i="5"/>
  <c r="N137" i="5" s="1"/>
  <c r="J137" i="5"/>
  <c r="R137" i="5"/>
  <c r="S137" i="5"/>
  <c r="W137" i="5" s="1"/>
  <c r="U137" i="5"/>
  <c r="V137" i="5"/>
  <c r="D138" i="5"/>
  <c r="E138" i="5"/>
  <c r="F138" i="5"/>
  <c r="G138" i="5"/>
  <c r="S138" i="5" s="1"/>
  <c r="W138" i="5" s="1"/>
  <c r="I138" i="5"/>
  <c r="J138" i="5"/>
  <c r="K138" i="5"/>
  <c r="L138" i="5"/>
  <c r="O138" i="5" s="1"/>
  <c r="P138" i="5"/>
  <c r="Q138" i="5"/>
  <c r="R138" i="5"/>
  <c r="T138" i="5"/>
  <c r="U138" i="5"/>
  <c r="V138" i="5"/>
  <c r="X138" i="5"/>
  <c r="D139" i="5"/>
  <c r="E139" i="5"/>
  <c r="U139" i="5" s="1"/>
  <c r="F139" i="5"/>
  <c r="G139" i="5"/>
  <c r="T139" i="5" s="1"/>
  <c r="I139" i="5"/>
  <c r="L139" i="5" s="1"/>
  <c r="O139" i="5" s="1"/>
  <c r="J139" i="5"/>
  <c r="V139" i="5" s="1"/>
  <c r="K139" i="5"/>
  <c r="M139" i="5"/>
  <c r="N139" i="5"/>
  <c r="P139" i="5"/>
  <c r="R139" i="5"/>
  <c r="D140" i="5"/>
  <c r="E140" i="5"/>
  <c r="K140" i="5" s="1"/>
  <c r="F140" i="5"/>
  <c r="G140" i="5"/>
  <c r="I140" i="5"/>
  <c r="J140" i="5"/>
  <c r="S140" i="5" s="1"/>
  <c r="W140" i="5" s="1"/>
  <c r="L140" i="5"/>
  <c r="O140" i="5" s="1"/>
  <c r="M140" i="5"/>
  <c r="P140" i="5"/>
  <c r="R140" i="5"/>
  <c r="T140" i="5"/>
  <c r="U140" i="5"/>
  <c r="V140" i="5"/>
  <c r="Y140" i="5" s="1"/>
  <c r="Z140" i="5" s="1"/>
  <c r="X140" i="5"/>
  <c r="D141" i="5"/>
  <c r="E141" i="5"/>
  <c r="F141" i="5"/>
  <c r="G141" i="5"/>
  <c r="I141" i="5"/>
  <c r="P141" i="5" s="1"/>
  <c r="J141" i="5"/>
  <c r="K141" i="5"/>
  <c r="L141" i="5"/>
  <c r="M141" i="5"/>
  <c r="N141" i="5"/>
  <c r="O141" i="5"/>
  <c r="Q141" i="5"/>
  <c r="R141" i="5"/>
  <c r="V141" i="5"/>
  <c r="X141" i="5"/>
  <c r="D142" i="5"/>
  <c r="E142" i="5"/>
  <c r="F142" i="5"/>
  <c r="G142" i="5"/>
  <c r="S142" i="5" s="1"/>
  <c r="W142" i="5" s="1"/>
  <c r="Y142" i="5" s="1"/>
  <c r="I142" i="5"/>
  <c r="H142" i="5" s="1"/>
  <c r="J142" i="5"/>
  <c r="K142" i="5" s="1"/>
  <c r="L142" i="5"/>
  <c r="O142" i="5" s="1"/>
  <c r="M142" i="5"/>
  <c r="N142" i="5"/>
  <c r="P142" i="5"/>
  <c r="Q142" i="5"/>
  <c r="R142" i="5"/>
  <c r="T142" i="5"/>
  <c r="U142" i="5"/>
  <c r="V142" i="5"/>
  <c r="X142" i="5"/>
  <c r="D143" i="5"/>
  <c r="E143" i="5"/>
  <c r="F143" i="5"/>
  <c r="G143" i="5"/>
  <c r="I143" i="5"/>
  <c r="U143" i="5" s="1"/>
  <c r="J143" i="5"/>
  <c r="V143" i="5" s="1"/>
  <c r="N143" i="5"/>
  <c r="P143" i="5"/>
  <c r="R143" i="5"/>
  <c r="S143" i="5"/>
  <c r="W143" i="5" s="1"/>
  <c r="D144" i="5"/>
  <c r="E144" i="5"/>
  <c r="F144" i="5"/>
  <c r="G144" i="5"/>
  <c r="S144" i="5" s="1"/>
  <c r="I144" i="5"/>
  <c r="J144" i="5"/>
  <c r="K144" i="5"/>
  <c r="L144" i="5"/>
  <c r="O144" i="5" s="1"/>
  <c r="P144" i="5"/>
  <c r="R144" i="5"/>
  <c r="T144" i="5"/>
  <c r="U144" i="5"/>
  <c r="V144" i="5"/>
  <c r="W144" i="5"/>
  <c r="D145" i="5"/>
  <c r="E145" i="5"/>
  <c r="F145" i="5"/>
  <c r="G145" i="5"/>
  <c r="S145" i="5" s="1"/>
  <c r="I145" i="5"/>
  <c r="L145" i="5" s="1"/>
  <c r="O145" i="5" s="1"/>
  <c r="J145" i="5"/>
  <c r="M145" i="5"/>
  <c r="N145" i="5"/>
  <c r="P145" i="5"/>
  <c r="R145" i="5"/>
  <c r="V145" i="5"/>
  <c r="W145" i="5"/>
  <c r="D146" i="5"/>
  <c r="E146" i="5"/>
  <c r="F146" i="5"/>
  <c r="G146" i="5"/>
  <c r="T146" i="5" s="1"/>
  <c r="I146" i="5"/>
  <c r="J146" i="5"/>
  <c r="L146" i="5"/>
  <c r="M146" i="5"/>
  <c r="O146" i="5"/>
  <c r="P146" i="5"/>
  <c r="R146" i="5"/>
  <c r="U146" i="5"/>
  <c r="X146" i="5"/>
  <c r="D147" i="5"/>
  <c r="E147" i="5"/>
  <c r="F147" i="5"/>
  <c r="G147" i="5"/>
  <c r="I147" i="5"/>
  <c r="P147" i="5" s="1"/>
  <c r="J147" i="5"/>
  <c r="K147" i="5"/>
  <c r="L147" i="5"/>
  <c r="M147" i="5"/>
  <c r="N147" i="5"/>
  <c r="O147" i="5"/>
  <c r="Q147" i="5"/>
  <c r="R147" i="5"/>
  <c r="X147" i="5"/>
  <c r="D148" i="5"/>
  <c r="E148" i="5"/>
  <c r="F148" i="5"/>
  <c r="G148" i="5"/>
  <c r="I148" i="5"/>
  <c r="H148" i="5" s="1"/>
  <c r="J148" i="5"/>
  <c r="K148" i="5" s="1"/>
  <c r="L148" i="5"/>
  <c r="O148" i="5" s="1"/>
  <c r="M148" i="5"/>
  <c r="N148" i="5"/>
  <c r="P148" i="5"/>
  <c r="Q148" i="5"/>
  <c r="R148" i="5"/>
  <c r="S148" i="5"/>
  <c r="W148" i="5" s="1"/>
  <c r="Y148" i="5" s="1"/>
  <c r="T148" i="5"/>
  <c r="U148" i="5"/>
  <c r="V148" i="5"/>
  <c r="X148" i="5"/>
  <c r="D149" i="5"/>
  <c r="E149" i="5"/>
  <c r="F149" i="5"/>
  <c r="G149" i="5"/>
  <c r="I149" i="5"/>
  <c r="J149" i="5"/>
  <c r="V149" i="5" s="1"/>
  <c r="R149" i="5"/>
  <c r="D150" i="5"/>
  <c r="E150" i="5"/>
  <c r="K150" i="5" s="1"/>
  <c r="F150" i="5"/>
  <c r="G150" i="5"/>
  <c r="I150" i="5"/>
  <c r="P150" i="5" s="1"/>
  <c r="J150" i="5"/>
  <c r="R150" i="5"/>
  <c r="V150" i="5"/>
  <c r="D151" i="5"/>
  <c r="E151" i="5"/>
  <c r="F151" i="5"/>
  <c r="G151" i="5"/>
  <c r="I151" i="5"/>
  <c r="L151" i="5" s="1"/>
  <c r="O151" i="5" s="1"/>
  <c r="J151" i="5"/>
  <c r="S151" i="5" s="1"/>
  <c r="W151" i="5" s="1"/>
  <c r="M151" i="5"/>
  <c r="N151" i="5"/>
  <c r="P151" i="5"/>
  <c r="R151" i="5"/>
  <c r="D152" i="5"/>
  <c r="E152" i="5"/>
  <c r="F152" i="5"/>
  <c r="G152" i="5"/>
  <c r="I152" i="5"/>
  <c r="J152" i="5"/>
  <c r="L152" i="5"/>
  <c r="O152" i="5" s="1"/>
  <c r="M152" i="5"/>
  <c r="R152" i="5"/>
  <c r="T152" i="5"/>
  <c r="U152" i="5"/>
  <c r="D153" i="5"/>
  <c r="E153" i="5"/>
  <c r="F153" i="5"/>
  <c r="G153" i="5"/>
  <c r="I153" i="5"/>
  <c r="P153" i="5" s="1"/>
  <c r="J153" i="5"/>
  <c r="L153" i="5"/>
  <c r="O153" i="5" s="1"/>
  <c r="M153" i="5"/>
  <c r="N153" i="5"/>
  <c r="Q153" i="5"/>
  <c r="R153" i="5"/>
  <c r="V153" i="5"/>
  <c r="X153" i="5"/>
  <c r="D154" i="5"/>
  <c r="E154" i="5"/>
  <c r="F154" i="5"/>
  <c r="G154" i="5"/>
  <c r="I154" i="5"/>
  <c r="H154" i="5" s="1"/>
  <c r="J154" i="5"/>
  <c r="K154" i="5" s="1"/>
  <c r="L154" i="5"/>
  <c r="O154" i="5" s="1"/>
  <c r="M154" i="5"/>
  <c r="N154" i="5"/>
  <c r="P154" i="5"/>
  <c r="Q154" i="5"/>
  <c r="R154" i="5"/>
  <c r="U154" i="5"/>
  <c r="V154" i="5"/>
  <c r="X154" i="5"/>
  <c r="D155" i="5"/>
  <c r="E155" i="5"/>
  <c r="F155" i="5"/>
  <c r="G155" i="5"/>
  <c r="I155" i="5"/>
  <c r="J155" i="5"/>
  <c r="P155" i="5"/>
  <c r="R155" i="5"/>
  <c r="V155" i="5"/>
  <c r="D156" i="5"/>
  <c r="E156" i="5"/>
  <c r="K156" i="5" s="1"/>
  <c r="F156" i="5"/>
  <c r="G156" i="5"/>
  <c r="I156" i="5"/>
  <c r="L156" i="5" s="1"/>
  <c r="O156" i="5" s="1"/>
  <c r="J156" i="5"/>
  <c r="P156" i="5"/>
  <c r="Q156" i="5"/>
  <c r="R156" i="5"/>
  <c r="T156" i="5"/>
  <c r="V156" i="5"/>
  <c r="X156" i="5"/>
  <c r="D157" i="5"/>
  <c r="E157" i="5"/>
  <c r="U157" i="5" s="1"/>
  <c r="F157" i="5"/>
  <c r="G157" i="5"/>
  <c r="T157" i="5" s="1"/>
  <c r="I157" i="5"/>
  <c r="L157" i="5" s="1"/>
  <c r="O157" i="5" s="1"/>
  <c r="J157" i="5"/>
  <c r="S157" i="5" s="1"/>
  <c r="W157" i="5" s="1"/>
  <c r="K157" i="5"/>
  <c r="M157" i="5"/>
  <c r="N157" i="5"/>
  <c r="P157" i="5"/>
  <c r="R157" i="5"/>
  <c r="V157" i="5"/>
  <c r="D158" i="5"/>
  <c r="E158" i="5"/>
  <c r="F158" i="5"/>
  <c r="G158" i="5"/>
  <c r="T158" i="5" s="1"/>
  <c r="I158" i="5"/>
  <c r="P158" i="5" s="1"/>
  <c r="J158" i="5"/>
  <c r="R158" i="5"/>
  <c r="V158" i="5"/>
  <c r="D159" i="5"/>
  <c r="E159" i="5"/>
  <c r="F159" i="5"/>
  <c r="G159" i="5"/>
  <c r="I159" i="5"/>
  <c r="P159" i="5" s="1"/>
  <c r="J159" i="5"/>
  <c r="S159" i="5" s="1"/>
  <c r="W159" i="5" s="1"/>
  <c r="L159" i="5"/>
  <c r="M159" i="5"/>
  <c r="N159" i="5"/>
  <c r="O159" i="5"/>
  <c r="Q159" i="5"/>
  <c r="R159" i="5"/>
  <c r="X159" i="5"/>
  <c r="D160" i="5"/>
  <c r="E160" i="5"/>
  <c r="F160" i="5"/>
  <c r="G160" i="5"/>
  <c r="T160" i="5" s="1"/>
  <c r="I160" i="5"/>
  <c r="H160" i="5" s="1"/>
  <c r="J160" i="5"/>
  <c r="K160" i="5" s="1"/>
  <c r="L160" i="5"/>
  <c r="O160" i="5" s="1"/>
  <c r="M160" i="5"/>
  <c r="N160" i="5"/>
  <c r="P160" i="5"/>
  <c r="Q160" i="5"/>
  <c r="R160" i="5"/>
  <c r="S160" i="5"/>
  <c r="W160" i="5" s="1"/>
  <c r="Y160" i="5" s="1"/>
  <c r="Z160" i="5" s="1"/>
  <c r="U160" i="5"/>
  <c r="V160" i="5"/>
  <c r="X160" i="5"/>
  <c r="D161" i="5"/>
  <c r="E161" i="5"/>
  <c r="U161" i="5" s="1"/>
  <c r="F161" i="5"/>
  <c r="G161" i="5"/>
  <c r="I161" i="5"/>
  <c r="J161" i="5"/>
  <c r="R161" i="5"/>
  <c r="S161" i="5"/>
  <c r="W161" i="5" s="1"/>
  <c r="V161" i="5"/>
  <c r="D162" i="5"/>
  <c r="E162" i="5"/>
  <c r="U162" i="5" s="1"/>
  <c r="F162" i="5"/>
  <c r="G162" i="5"/>
  <c r="I162" i="5"/>
  <c r="J162" i="5"/>
  <c r="L162" i="5"/>
  <c r="O162" i="5" s="1"/>
  <c r="M162" i="5"/>
  <c r="P162" i="5"/>
  <c r="Q162" i="5"/>
  <c r="R162" i="5"/>
  <c r="V162" i="5"/>
  <c r="X162" i="5"/>
  <c r="D163" i="5"/>
  <c r="E163" i="5"/>
  <c r="F163" i="5"/>
  <c r="G163" i="5"/>
  <c r="I163" i="5"/>
  <c r="L163" i="5" s="1"/>
  <c r="O163" i="5" s="1"/>
  <c r="J163" i="5"/>
  <c r="M163" i="5"/>
  <c r="N163" i="5"/>
  <c r="P163" i="5"/>
  <c r="R163" i="5"/>
  <c r="S163" i="5"/>
  <c r="W163" i="5" s="1"/>
  <c r="T163" i="5"/>
  <c r="V163" i="5"/>
  <c r="D164" i="5"/>
  <c r="E164" i="5"/>
  <c r="K164" i="5" s="1"/>
  <c r="F164" i="5"/>
  <c r="G164" i="5"/>
  <c r="T164" i="5" s="1"/>
  <c r="I164" i="5"/>
  <c r="J164" i="5"/>
  <c r="S164" i="5" s="1"/>
  <c r="W164" i="5" s="1"/>
  <c r="L164" i="5"/>
  <c r="M164" i="5"/>
  <c r="O164" i="5"/>
  <c r="P164" i="5"/>
  <c r="Q164" i="5"/>
  <c r="R164" i="5"/>
  <c r="U164" i="5"/>
  <c r="V164" i="5"/>
  <c r="D165" i="5"/>
  <c r="E165" i="5"/>
  <c r="F165" i="5"/>
  <c r="Z165" i="5" s="1"/>
  <c r="G165" i="5"/>
  <c r="I165" i="5"/>
  <c r="P165" i="5" s="1"/>
  <c r="J165" i="5"/>
  <c r="V165" i="5" s="1"/>
  <c r="Y165" i="5" s="1"/>
  <c r="L165" i="5"/>
  <c r="M165" i="5"/>
  <c r="N165" i="5"/>
  <c r="O165" i="5"/>
  <c r="Q165" i="5"/>
  <c r="R165" i="5"/>
  <c r="S165" i="5"/>
  <c r="W165" i="5"/>
  <c r="X165" i="5"/>
  <c r="D166" i="5"/>
  <c r="E166" i="5"/>
  <c r="F166" i="5"/>
  <c r="G166" i="5"/>
  <c r="T166" i="5" s="1"/>
  <c r="I166" i="5"/>
  <c r="H166" i="5" s="1"/>
  <c r="J166" i="5"/>
  <c r="K166" i="5" s="1"/>
  <c r="L166" i="5"/>
  <c r="O166" i="5" s="1"/>
  <c r="M166" i="5"/>
  <c r="N166" i="5"/>
  <c r="P166" i="5"/>
  <c r="Q166" i="5"/>
  <c r="R166" i="5"/>
  <c r="U166" i="5"/>
  <c r="V166" i="5"/>
  <c r="X166" i="5"/>
  <c r="D167" i="5"/>
  <c r="E167" i="5"/>
  <c r="F167" i="5"/>
  <c r="G167" i="5"/>
  <c r="I167" i="5"/>
  <c r="N167" i="5" s="1"/>
  <c r="J167" i="5"/>
  <c r="L167" i="5"/>
  <c r="O167" i="5" s="1"/>
  <c r="R167" i="5"/>
  <c r="S167" i="5"/>
  <c r="W167" i="5" s="1"/>
  <c r="V167" i="5"/>
  <c r="D168" i="5"/>
  <c r="E168" i="5"/>
  <c r="U168" i="5" s="1"/>
  <c r="F168" i="5"/>
  <c r="G168" i="5"/>
  <c r="T168" i="5" s="1"/>
  <c r="I168" i="5"/>
  <c r="P168" i="5" s="1"/>
  <c r="J168" i="5"/>
  <c r="L168" i="5"/>
  <c r="O168" i="5" s="1"/>
  <c r="M168" i="5"/>
  <c r="N168" i="5"/>
  <c r="R168" i="5"/>
  <c r="V168" i="5"/>
  <c r="X168" i="5"/>
  <c r="D169" i="5"/>
  <c r="E169" i="5"/>
  <c r="F169" i="5"/>
  <c r="G169" i="5"/>
  <c r="I169" i="5"/>
  <c r="H169" i="5" s="1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D170" i="5"/>
  <c r="E170" i="5"/>
  <c r="F170" i="5"/>
  <c r="G170" i="5"/>
  <c r="I170" i="5"/>
  <c r="J170" i="5"/>
  <c r="K170" i="5"/>
  <c r="L170" i="5"/>
  <c r="M170" i="5"/>
  <c r="O170" i="5"/>
  <c r="P170" i="5"/>
  <c r="Q170" i="5"/>
  <c r="R170" i="5"/>
  <c r="T170" i="5"/>
  <c r="U170" i="5"/>
  <c r="X170" i="5"/>
  <c r="D171" i="5"/>
  <c r="E171" i="5"/>
  <c r="U171" i="5" s="1"/>
  <c r="F171" i="5"/>
  <c r="G171" i="5"/>
  <c r="T171" i="5" s="1"/>
  <c r="I171" i="5"/>
  <c r="P171" i="5" s="1"/>
  <c r="J171" i="5"/>
  <c r="S171" i="5" s="1"/>
  <c r="W171" i="5" s="1"/>
  <c r="K171" i="5"/>
  <c r="L171" i="5"/>
  <c r="O171" i="5" s="1"/>
  <c r="M171" i="5"/>
  <c r="N171" i="5"/>
  <c r="Q171" i="5"/>
  <c r="R171" i="5"/>
  <c r="V171" i="5"/>
  <c r="Y171" i="5" s="1"/>
  <c r="Z171" i="5" s="1"/>
  <c r="X171" i="5"/>
  <c r="D172" i="5"/>
  <c r="E172" i="5"/>
  <c r="F172" i="5"/>
  <c r="G172" i="5"/>
  <c r="T172" i="5" s="1"/>
  <c r="I172" i="5"/>
  <c r="H172" i="5" s="1"/>
  <c r="J172" i="5"/>
  <c r="L172" i="5"/>
  <c r="M172" i="5"/>
  <c r="N172" i="5"/>
  <c r="O172" i="5"/>
  <c r="P172" i="5"/>
  <c r="Q172" i="5"/>
  <c r="R172" i="5"/>
  <c r="U172" i="5"/>
  <c r="X172" i="5"/>
  <c r="D173" i="5"/>
  <c r="E173" i="5"/>
  <c r="T173" i="5" s="1"/>
  <c r="F173" i="5"/>
  <c r="G173" i="5"/>
  <c r="I173" i="5"/>
  <c r="J173" i="5"/>
  <c r="L173" i="5"/>
  <c r="O173" i="5"/>
  <c r="P173" i="5"/>
  <c r="Q173" i="5"/>
  <c r="R173" i="5"/>
  <c r="U173" i="5"/>
  <c r="V173" i="5"/>
  <c r="D174" i="5"/>
  <c r="E174" i="5"/>
  <c r="F174" i="5"/>
  <c r="G174" i="5"/>
  <c r="S174" i="5" s="1"/>
  <c r="W174" i="5" s="1"/>
  <c r="I174" i="5"/>
  <c r="L174" i="5" s="1"/>
  <c r="O174" i="5" s="1"/>
  <c r="J174" i="5"/>
  <c r="K174" i="5"/>
  <c r="R174" i="5"/>
  <c r="T174" i="5"/>
  <c r="V174" i="5"/>
  <c r="D175" i="5"/>
  <c r="E175" i="5"/>
  <c r="F175" i="5"/>
  <c r="G175" i="5"/>
  <c r="T175" i="5" s="1"/>
  <c r="I175" i="5"/>
  <c r="J175" i="5"/>
  <c r="V175" i="5" s="1"/>
  <c r="M175" i="5"/>
  <c r="N175" i="5"/>
  <c r="P175" i="5"/>
  <c r="R175" i="5"/>
  <c r="U175" i="5"/>
  <c r="D176" i="5"/>
  <c r="E176" i="5"/>
  <c r="K176" i="5" s="1"/>
  <c r="F176" i="5"/>
  <c r="G176" i="5"/>
  <c r="S176" i="5" s="1"/>
  <c r="W176" i="5" s="1"/>
  <c r="I176" i="5"/>
  <c r="J176" i="5"/>
  <c r="L176" i="5"/>
  <c r="O176" i="5" s="1"/>
  <c r="M176" i="5"/>
  <c r="P176" i="5"/>
  <c r="R176" i="5"/>
  <c r="T176" i="5"/>
  <c r="U176" i="5"/>
  <c r="V176" i="5"/>
  <c r="D177" i="5"/>
  <c r="E177" i="5"/>
  <c r="F177" i="5"/>
  <c r="G177" i="5"/>
  <c r="I177" i="5"/>
  <c r="J177" i="5"/>
  <c r="S177" i="5" s="1"/>
  <c r="W177" i="5" s="1"/>
  <c r="L177" i="5"/>
  <c r="O177" i="5" s="1"/>
  <c r="R177" i="5"/>
  <c r="T177" i="5"/>
  <c r="D178" i="5"/>
  <c r="E178" i="5"/>
  <c r="U178" i="5" s="1"/>
  <c r="F178" i="5"/>
  <c r="G178" i="5"/>
  <c r="T178" i="5" s="1"/>
  <c r="I178" i="5"/>
  <c r="J178" i="5"/>
  <c r="L178" i="5"/>
  <c r="O178" i="5" s="1"/>
  <c r="M178" i="5"/>
  <c r="N178" i="5"/>
  <c r="Q178" i="5"/>
  <c r="R178" i="5"/>
  <c r="V178" i="5"/>
  <c r="X178" i="5"/>
  <c r="D179" i="5"/>
  <c r="E179" i="5"/>
  <c r="F179" i="5"/>
  <c r="G179" i="5"/>
  <c r="T179" i="5" s="1"/>
  <c r="I179" i="5"/>
  <c r="H179" i="5" s="1"/>
  <c r="J179" i="5"/>
  <c r="K179" i="5" s="1"/>
  <c r="L179" i="5"/>
  <c r="M179" i="5"/>
  <c r="N179" i="5"/>
  <c r="O179" i="5"/>
  <c r="P179" i="5"/>
  <c r="Q179" i="5"/>
  <c r="R179" i="5"/>
  <c r="S179" i="5"/>
  <c r="W179" i="5" s="1"/>
  <c r="U179" i="5"/>
  <c r="X179" i="5"/>
  <c r="D180" i="5"/>
  <c r="E180" i="5"/>
  <c r="F180" i="5"/>
  <c r="G180" i="5"/>
  <c r="I180" i="5"/>
  <c r="L180" i="5" s="1"/>
  <c r="O180" i="5" s="1"/>
  <c r="J180" i="5"/>
  <c r="Q180" i="5"/>
  <c r="R180" i="5"/>
  <c r="V180" i="5"/>
  <c r="D181" i="5"/>
  <c r="E181" i="5"/>
  <c r="U181" i="5" s="1"/>
  <c r="F181" i="5"/>
  <c r="G181" i="5"/>
  <c r="I181" i="5"/>
  <c r="J181" i="5"/>
  <c r="L181" i="5"/>
  <c r="O181" i="5" s="1"/>
  <c r="N181" i="5"/>
  <c r="P181" i="5"/>
  <c r="Q181" i="5"/>
  <c r="R181" i="5"/>
  <c r="T181" i="5"/>
  <c r="V181" i="5"/>
  <c r="X181" i="5"/>
  <c r="D182" i="5"/>
  <c r="E182" i="5"/>
  <c r="K182" i="5" s="1"/>
  <c r="F182" i="5"/>
  <c r="G182" i="5"/>
  <c r="S182" i="5" s="1"/>
  <c r="W182" i="5" s="1"/>
  <c r="I182" i="5"/>
  <c r="J182" i="5"/>
  <c r="M182" i="5"/>
  <c r="N182" i="5"/>
  <c r="R182" i="5"/>
  <c r="V182" i="5"/>
  <c r="D183" i="5"/>
  <c r="E183" i="5"/>
  <c r="F183" i="5"/>
  <c r="G183" i="5"/>
  <c r="I183" i="5"/>
  <c r="J183" i="5"/>
  <c r="K183" i="5" s="1"/>
  <c r="L183" i="5"/>
  <c r="O183" i="5"/>
  <c r="P183" i="5"/>
  <c r="R183" i="5"/>
  <c r="T183" i="5"/>
  <c r="U183" i="5"/>
  <c r="X183" i="5"/>
  <c r="D184" i="5"/>
  <c r="E184" i="5"/>
  <c r="U184" i="5" s="1"/>
  <c r="F184" i="5"/>
  <c r="G184" i="5"/>
  <c r="T184" i="5" s="1"/>
  <c r="I184" i="5"/>
  <c r="J184" i="5"/>
  <c r="S184" i="5" s="1"/>
  <c r="W184" i="5" s="1"/>
  <c r="L184" i="5"/>
  <c r="O184" i="5" s="1"/>
  <c r="M184" i="5"/>
  <c r="N184" i="5"/>
  <c r="Q184" i="5"/>
  <c r="R184" i="5"/>
  <c r="X184" i="5"/>
  <c r="D185" i="5"/>
  <c r="E185" i="5"/>
  <c r="F185" i="5"/>
  <c r="G185" i="5"/>
  <c r="I185" i="5"/>
  <c r="H185" i="5" s="1"/>
  <c r="J185" i="5"/>
  <c r="K185" i="5" s="1"/>
  <c r="L185" i="5"/>
  <c r="M185" i="5"/>
  <c r="N185" i="5"/>
  <c r="O185" i="5"/>
  <c r="P185" i="5"/>
  <c r="Q185" i="5"/>
  <c r="R185" i="5"/>
  <c r="S185" i="5"/>
  <c r="W185" i="5" s="1"/>
  <c r="T185" i="5"/>
  <c r="U185" i="5"/>
  <c r="X185" i="5"/>
  <c r="D186" i="5"/>
  <c r="E186" i="5"/>
  <c r="F186" i="5"/>
  <c r="G186" i="5"/>
  <c r="I186" i="5"/>
  <c r="L186" i="5" s="1"/>
  <c r="O186" i="5" s="1"/>
  <c r="J186" i="5"/>
  <c r="S186" i="5" s="1"/>
  <c r="W186" i="5" s="1"/>
  <c r="P186" i="5"/>
  <c r="R186" i="5"/>
  <c r="X186" i="5"/>
  <c r="D187" i="5"/>
  <c r="E187" i="5"/>
  <c r="U187" i="5" s="1"/>
  <c r="F187" i="5"/>
  <c r="G187" i="5"/>
  <c r="I187" i="5"/>
  <c r="J187" i="5"/>
  <c r="L187" i="5"/>
  <c r="O187" i="5" s="1"/>
  <c r="N187" i="5"/>
  <c r="P187" i="5"/>
  <c r="Q187" i="5"/>
  <c r="R187" i="5"/>
  <c r="T187" i="5"/>
  <c r="V187" i="5"/>
  <c r="X187" i="5"/>
  <c r="D188" i="5"/>
  <c r="E188" i="5"/>
  <c r="F188" i="5"/>
  <c r="G188" i="5"/>
  <c r="I188" i="5"/>
  <c r="M188" i="5" s="1"/>
  <c r="J188" i="5"/>
  <c r="S188" i="5" s="1"/>
  <c r="W188" i="5" s="1"/>
  <c r="N188" i="5"/>
  <c r="R188" i="5"/>
  <c r="T188" i="5"/>
  <c r="D189" i="5"/>
  <c r="E189" i="5"/>
  <c r="K189" i="5" s="1"/>
  <c r="F189" i="5"/>
  <c r="G189" i="5"/>
  <c r="S189" i="5" s="1"/>
  <c r="W189" i="5" s="1"/>
  <c r="I189" i="5"/>
  <c r="J189" i="5"/>
  <c r="L189" i="5"/>
  <c r="O189" i="5" s="1"/>
  <c r="P189" i="5"/>
  <c r="R189" i="5"/>
  <c r="U189" i="5"/>
  <c r="V189" i="5"/>
  <c r="X189" i="5"/>
  <c r="D190" i="5"/>
  <c r="E190" i="5"/>
  <c r="T190" i="5" s="1"/>
  <c r="F190" i="5"/>
  <c r="G190" i="5"/>
  <c r="I190" i="5"/>
  <c r="J190" i="5"/>
  <c r="L190" i="5"/>
  <c r="O190" i="5" s="1"/>
  <c r="M190" i="5"/>
  <c r="N190" i="5"/>
  <c r="Q190" i="5"/>
  <c r="R190" i="5"/>
  <c r="U190" i="5"/>
  <c r="V190" i="5"/>
  <c r="X190" i="5"/>
  <c r="D191" i="5"/>
  <c r="E191" i="5"/>
  <c r="F191" i="5"/>
  <c r="G191" i="5"/>
  <c r="S191" i="5" s="1"/>
  <c r="W191" i="5" s="1"/>
  <c r="I191" i="5"/>
  <c r="H191" i="5" s="1"/>
  <c r="J191" i="5"/>
  <c r="K191" i="5"/>
  <c r="L191" i="5"/>
  <c r="O191" i="5" s="1"/>
  <c r="M191" i="5"/>
  <c r="N191" i="5"/>
  <c r="P191" i="5"/>
  <c r="Q191" i="5"/>
  <c r="R191" i="5"/>
  <c r="U191" i="5"/>
  <c r="V191" i="5"/>
  <c r="X191" i="5"/>
  <c r="D192" i="5"/>
  <c r="E192" i="5"/>
  <c r="F192" i="5"/>
  <c r="G192" i="5"/>
  <c r="I192" i="5"/>
  <c r="L192" i="5" s="1"/>
  <c r="O192" i="5" s="1"/>
  <c r="J192" i="5"/>
  <c r="S192" i="5" s="1"/>
  <c r="W192" i="5" s="1"/>
  <c r="N192" i="5"/>
  <c r="R192" i="5"/>
  <c r="U192" i="5"/>
  <c r="X192" i="5"/>
  <c r="D193" i="5"/>
  <c r="E193" i="5"/>
  <c r="U193" i="5" s="1"/>
  <c r="F193" i="5"/>
  <c r="G193" i="5"/>
  <c r="S193" i="5" s="1"/>
  <c r="W193" i="5" s="1"/>
  <c r="Y193" i="5" s="1"/>
  <c r="I193" i="5"/>
  <c r="J193" i="5"/>
  <c r="K193" i="5"/>
  <c r="L193" i="5"/>
  <c r="N193" i="5"/>
  <c r="O193" i="5"/>
  <c r="P193" i="5"/>
  <c r="Q193" i="5"/>
  <c r="R193" i="5"/>
  <c r="V193" i="5"/>
  <c r="X193" i="5"/>
  <c r="D194" i="5"/>
  <c r="E194" i="5"/>
  <c r="K194" i="5" s="1"/>
  <c r="F194" i="5"/>
  <c r="G194" i="5"/>
  <c r="S194" i="5" s="1"/>
  <c r="W194" i="5" s="1"/>
  <c r="I194" i="5"/>
  <c r="J194" i="5"/>
  <c r="R194" i="5"/>
  <c r="V194" i="5"/>
  <c r="D195" i="5"/>
  <c r="E195" i="5"/>
  <c r="F195" i="5"/>
  <c r="G195" i="5"/>
  <c r="T195" i="5" s="1"/>
  <c r="I195" i="5"/>
  <c r="J195" i="5"/>
  <c r="K195" i="5" s="1"/>
  <c r="L195" i="5"/>
  <c r="M195" i="5"/>
  <c r="O195" i="5"/>
  <c r="P195" i="5"/>
  <c r="R195" i="5"/>
  <c r="U195" i="5"/>
  <c r="V195" i="5"/>
  <c r="X195" i="5"/>
  <c r="D196" i="5"/>
  <c r="E196" i="5"/>
  <c r="K196" i="5" s="1"/>
  <c r="F196" i="5"/>
  <c r="G196" i="5"/>
  <c r="I196" i="5"/>
  <c r="Q196" i="5" s="1"/>
  <c r="J196" i="5"/>
  <c r="R196" i="5"/>
  <c r="T196" i="5"/>
  <c r="V196" i="5"/>
  <c r="D197" i="5"/>
  <c r="E197" i="5"/>
  <c r="F197" i="5"/>
  <c r="Z197" i="5" s="1"/>
  <c r="G197" i="5"/>
  <c r="I197" i="5"/>
  <c r="H197" i="5" s="1"/>
  <c r="J197" i="5"/>
  <c r="S197" i="5" s="1"/>
  <c r="W197" i="5" s="1"/>
  <c r="Y197" i="5" s="1"/>
  <c r="K197" i="5"/>
  <c r="L197" i="5"/>
  <c r="O197" i="5" s="1"/>
  <c r="M197" i="5"/>
  <c r="N197" i="5"/>
  <c r="P197" i="5"/>
  <c r="Q197" i="5"/>
  <c r="R197" i="5"/>
  <c r="T197" i="5"/>
  <c r="U197" i="5"/>
  <c r="V197" i="5"/>
  <c r="X197" i="5"/>
  <c r="D198" i="5"/>
  <c r="E198" i="5"/>
  <c r="F198" i="5"/>
  <c r="G198" i="5"/>
  <c r="I198" i="5"/>
  <c r="Q198" i="5" s="1"/>
  <c r="J198" i="5"/>
  <c r="V198" i="5" s="1"/>
  <c r="Y198" i="5" s="1"/>
  <c r="L198" i="5"/>
  <c r="O198" i="5" s="1"/>
  <c r="M198" i="5"/>
  <c r="N198" i="5"/>
  <c r="P198" i="5"/>
  <c r="R198" i="5"/>
  <c r="S198" i="5"/>
  <c r="W198" i="5" s="1"/>
  <c r="U198" i="5"/>
  <c r="X198" i="5"/>
  <c r="D199" i="5"/>
  <c r="E199" i="5"/>
  <c r="K199" i="5" s="1"/>
  <c r="F199" i="5"/>
  <c r="G199" i="5"/>
  <c r="S199" i="5" s="1"/>
  <c r="W199" i="5" s="1"/>
  <c r="Y199" i="5" s="1"/>
  <c r="Z199" i="5" s="1"/>
  <c r="I199" i="5"/>
  <c r="J199" i="5"/>
  <c r="L199" i="5"/>
  <c r="O199" i="5" s="1"/>
  <c r="P199" i="5"/>
  <c r="Q199" i="5"/>
  <c r="R199" i="5"/>
  <c r="U199" i="5"/>
  <c r="V199" i="5"/>
  <c r="X199" i="5"/>
  <c r="D200" i="5"/>
  <c r="E200" i="5"/>
  <c r="F200" i="5"/>
  <c r="G200" i="5"/>
  <c r="T200" i="5" s="1"/>
  <c r="I200" i="5"/>
  <c r="N200" i="5" s="1"/>
  <c r="J200" i="5"/>
  <c r="S200" i="5" s="1"/>
  <c r="W200" i="5" s="1"/>
  <c r="M200" i="5"/>
  <c r="R200" i="5"/>
  <c r="D201" i="5"/>
  <c r="E201" i="5"/>
  <c r="F201" i="5"/>
  <c r="G201" i="5"/>
  <c r="T201" i="5" s="1"/>
  <c r="I201" i="5"/>
  <c r="X201" i="5" s="1"/>
  <c r="J201" i="5"/>
  <c r="K201" i="5"/>
  <c r="R201" i="5"/>
  <c r="S201" i="5"/>
  <c r="W201" i="5" s="1"/>
  <c r="V201" i="5"/>
  <c r="Y201" i="5" s="1"/>
  <c r="D202" i="5"/>
  <c r="E202" i="5"/>
  <c r="K202" i="5" s="1"/>
  <c r="F202" i="5"/>
  <c r="G202" i="5"/>
  <c r="T202" i="5" s="1"/>
  <c r="I202" i="5"/>
  <c r="J202" i="5"/>
  <c r="S202" i="5" s="1"/>
  <c r="W202" i="5" s="1"/>
  <c r="M202" i="5"/>
  <c r="N202" i="5"/>
  <c r="R202" i="5"/>
  <c r="U202" i="5"/>
  <c r="X202" i="5"/>
  <c r="D203" i="5"/>
  <c r="E203" i="5"/>
  <c r="F203" i="5"/>
  <c r="G203" i="5"/>
  <c r="I203" i="5"/>
  <c r="H203" i="5" s="1"/>
  <c r="J203" i="5"/>
  <c r="S203" i="5" s="1"/>
  <c r="W203" i="5" s="1"/>
  <c r="K203" i="5"/>
  <c r="L203" i="5"/>
  <c r="O203" i="5" s="1"/>
  <c r="M203" i="5"/>
  <c r="N203" i="5"/>
  <c r="P203" i="5"/>
  <c r="Q203" i="5"/>
  <c r="R203" i="5"/>
  <c r="T203" i="5"/>
  <c r="U203" i="5"/>
  <c r="V203" i="5"/>
  <c r="X203" i="5"/>
  <c r="D204" i="5"/>
  <c r="E204" i="5"/>
  <c r="F204" i="5"/>
  <c r="G204" i="5"/>
  <c r="I204" i="5"/>
  <c r="H204" i="5" s="1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D205" i="5"/>
  <c r="E205" i="5"/>
  <c r="K205" i="5" s="1"/>
  <c r="F205" i="5"/>
  <c r="G205" i="5"/>
  <c r="I205" i="5"/>
  <c r="X205" i="5" s="1"/>
  <c r="J205" i="5"/>
  <c r="P205" i="5"/>
  <c r="Q205" i="5"/>
  <c r="R205" i="5"/>
  <c r="S205" i="5"/>
  <c r="W205" i="5" s="1"/>
  <c r="Y205" i="5" s="1"/>
  <c r="Z205" i="5" s="1"/>
  <c r="V205" i="5"/>
  <c r="D206" i="5"/>
  <c r="E206" i="5"/>
  <c r="K206" i="5" s="1"/>
  <c r="F206" i="5"/>
  <c r="G206" i="5"/>
  <c r="T206" i="5" s="1"/>
  <c r="I206" i="5"/>
  <c r="J206" i="5"/>
  <c r="S206" i="5" s="1"/>
  <c r="W206" i="5" s="1"/>
  <c r="N206" i="5"/>
  <c r="P206" i="5"/>
  <c r="R206" i="5"/>
  <c r="U206" i="5"/>
  <c r="D207" i="5"/>
  <c r="E207" i="5"/>
  <c r="K207" i="5" s="1"/>
  <c r="F207" i="5"/>
  <c r="G207" i="5"/>
  <c r="I207" i="5"/>
  <c r="X207" i="5" s="1"/>
  <c r="J207" i="5"/>
  <c r="S207" i="5" s="1"/>
  <c r="W207" i="5" s="1"/>
  <c r="L207" i="5"/>
  <c r="O207" i="5" s="1"/>
  <c r="M207" i="5"/>
  <c r="P207" i="5"/>
  <c r="R207" i="5"/>
  <c r="T207" i="5"/>
  <c r="U207" i="5"/>
  <c r="D208" i="5"/>
  <c r="E208" i="5"/>
  <c r="K208" i="5" s="1"/>
  <c r="F208" i="5"/>
  <c r="G208" i="5"/>
  <c r="T208" i="5" s="1"/>
  <c r="I208" i="5"/>
  <c r="J208" i="5"/>
  <c r="L208" i="5"/>
  <c r="O208" i="5" s="1"/>
  <c r="N208" i="5"/>
  <c r="Q208" i="5"/>
  <c r="R208" i="5"/>
  <c r="V208" i="5"/>
  <c r="D209" i="5"/>
  <c r="E209" i="5"/>
  <c r="F209" i="5"/>
  <c r="G209" i="5"/>
  <c r="I209" i="5"/>
  <c r="H209" i="5" s="1"/>
  <c r="J209" i="5"/>
  <c r="S209" i="5" s="1"/>
  <c r="W209" i="5" s="1"/>
  <c r="L209" i="5"/>
  <c r="O209" i="5" s="1"/>
  <c r="M209" i="5"/>
  <c r="N209" i="5"/>
  <c r="P209" i="5"/>
  <c r="Q209" i="5"/>
  <c r="R209" i="5"/>
  <c r="T209" i="5"/>
  <c r="U209" i="5"/>
  <c r="V209" i="5"/>
  <c r="Y209" i="5" s="1"/>
  <c r="X209" i="5"/>
  <c r="D210" i="5"/>
  <c r="E210" i="5"/>
  <c r="F210" i="5"/>
  <c r="G210" i="5"/>
  <c r="I210" i="5"/>
  <c r="P210" i="5" s="1"/>
  <c r="J210" i="5"/>
  <c r="V210" i="5" s="1"/>
  <c r="Y210" i="5" s="1"/>
  <c r="Z210" i="5" s="1"/>
  <c r="L210" i="5"/>
  <c r="M210" i="5"/>
  <c r="N210" i="5"/>
  <c r="O210" i="5"/>
  <c r="R210" i="5"/>
  <c r="S210" i="5"/>
  <c r="W210" i="5" s="1"/>
  <c r="X210" i="5"/>
  <c r="D211" i="5"/>
  <c r="E211" i="5"/>
  <c r="U211" i="5" s="1"/>
  <c r="F211" i="5"/>
  <c r="G211" i="5"/>
  <c r="I211" i="5"/>
  <c r="L211" i="5" s="1"/>
  <c r="O211" i="5" s="1"/>
  <c r="J211" i="5"/>
  <c r="K211" i="5"/>
  <c r="N211" i="5"/>
  <c r="P211" i="5"/>
  <c r="Q211" i="5"/>
  <c r="R211" i="5"/>
  <c r="S211" i="5"/>
  <c r="T211" i="5"/>
  <c r="V211" i="5"/>
  <c r="W211" i="5"/>
  <c r="X211" i="5"/>
  <c r="D212" i="5"/>
  <c r="E212" i="5"/>
  <c r="F212" i="5"/>
  <c r="G212" i="5"/>
  <c r="T212" i="5" s="1"/>
  <c r="I212" i="5"/>
  <c r="M212" i="5" s="1"/>
  <c r="J212" i="5"/>
  <c r="S212" i="5" s="1"/>
  <c r="W212" i="5" s="1"/>
  <c r="K212" i="5"/>
  <c r="Q212" i="5"/>
  <c r="R212" i="5"/>
  <c r="V212" i="5"/>
  <c r="D213" i="5"/>
  <c r="E213" i="5"/>
  <c r="F213" i="5"/>
  <c r="G213" i="5"/>
  <c r="T213" i="5" s="1"/>
  <c r="I213" i="5"/>
  <c r="J213" i="5"/>
  <c r="K213" i="5" s="1"/>
  <c r="L213" i="5"/>
  <c r="M213" i="5"/>
  <c r="O213" i="5"/>
  <c r="P213" i="5"/>
  <c r="R213" i="5"/>
  <c r="U213" i="5"/>
  <c r="V213" i="5"/>
  <c r="X213" i="5"/>
  <c r="D214" i="5"/>
  <c r="E214" i="5"/>
  <c r="K214" i="5" s="1"/>
  <c r="F214" i="5"/>
  <c r="G214" i="5"/>
  <c r="I214" i="5"/>
  <c r="X214" i="5" s="1"/>
  <c r="J214" i="5"/>
  <c r="R214" i="5"/>
  <c r="T214" i="5"/>
  <c r="V214" i="5"/>
  <c r="D215" i="5"/>
  <c r="E215" i="5"/>
  <c r="F215" i="5"/>
  <c r="Z215" i="5" s="1"/>
  <c r="G215" i="5"/>
  <c r="I215" i="5"/>
  <c r="H215" i="5" s="1"/>
  <c r="J215" i="5"/>
  <c r="S215" i="5" s="1"/>
  <c r="W215" i="5" s="1"/>
  <c r="Y215" i="5" s="1"/>
  <c r="K215" i="5"/>
  <c r="L215" i="5"/>
  <c r="O215" i="5" s="1"/>
  <c r="M215" i="5"/>
  <c r="N215" i="5"/>
  <c r="P215" i="5"/>
  <c r="Q215" i="5"/>
  <c r="R215" i="5"/>
  <c r="T215" i="5"/>
  <c r="U215" i="5"/>
  <c r="V215" i="5"/>
  <c r="X215" i="5"/>
  <c r="D216" i="5"/>
  <c r="E216" i="5"/>
  <c r="F216" i="5"/>
  <c r="Z216" i="5" s="1"/>
  <c r="G216" i="5"/>
  <c r="I216" i="5"/>
  <c r="Q216" i="5" s="1"/>
  <c r="J216" i="5"/>
  <c r="V216" i="5" s="1"/>
  <c r="Y216" i="5" s="1"/>
  <c r="L216" i="5"/>
  <c r="O216" i="5" s="1"/>
  <c r="M216" i="5"/>
  <c r="N216" i="5"/>
  <c r="P216" i="5"/>
  <c r="R216" i="5"/>
  <c r="S216" i="5"/>
  <c r="W216" i="5" s="1"/>
  <c r="U216" i="5"/>
  <c r="X216" i="5"/>
  <c r="D217" i="5"/>
  <c r="E217" i="5"/>
  <c r="K217" i="5" s="1"/>
  <c r="F217" i="5"/>
  <c r="G217" i="5"/>
  <c r="S217" i="5" s="1"/>
  <c r="W217" i="5" s="1"/>
  <c r="Y217" i="5" s="1"/>
  <c r="Z217" i="5" s="1"/>
  <c r="I217" i="5"/>
  <c r="J217" i="5"/>
  <c r="L217" i="5"/>
  <c r="O217" i="5" s="1"/>
  <c r="P217" i="5"/>
  <c r="Q217" i="5"/>
  <c r="R217" i="5"/>
  <c r="U217" i="5"/>
  <c r="V217" i="5"/>
  <c r="X217" i="5"/>
  <c r="D218" i="5"/>
  <c r="E218" i="5"/>
  <c r="F218" i="5"/>
  <c r="G218" i="5"/>
  <c r="T218" i="5" s="1"/>
  <c r="I218" i="5"/>
  <c r="N218" i="5" s="1"/>
  <c r="J218" i="5"/>
  <c r="S218" i="5" s="1"/>
  <c r="W218" i="5" s="1"/>
  <c r="M218" i="5"/>
  <c r="Q218" i="5"/>
  <c r="R218" i="5"/>
  <c r="D219" i="5"/>
  <c r="E219" i="5"/>
  <c r="F219" i="5"/>
  <c r="G219" i="5"/>
  <c r="T219" i="5" s="1"/>
  <c r="I219" i="5"/>
  <c r="X219" i="5" s="1"/>
  <c r="J219" i="5"/>
  <c r="K219" i="5"/>
  <c r="R219" i="5"/>
  <c r="S219" i="5"/>
  <c r="W219" i="5" s="1"/>
  <c r="V219" i="5"/>
  <c r="D220" i="5"/>
  <c r="E220" i="5"/>
  <c r="K220" i="5" s="1"/>
  <c r="F220" i="5"/>
  <c r="G220" i="5"/>
  <c r="T220" i="5" s="1"/>
  <c r="I220" i="5"/>
  <c r="J220" i="5"/>
  <c r="S220" i="5" s="1"/>
  <c r="W220" i="5" s="1"/>
  <c r="M220" i="5"/>
  <c r="N220" i="5"/>
  <c r="R220" i="5"/>
  <c r="U220" i="5"/>
  <c r="X220" i="5"/>
  <c r="D221" i="5"/>
  <c r="E221" i="5"/>
  <c r="T221" i="5" s="1"/>
  <c r="F221" i="5"/>
  <c r="G221" i="5"/>
  <c r="I221" i="5"/>
  <c r="J221" i="5"/>
  <c r="S221" i="5" s="1"/>
  <c r="W221" i="5" s="1"/>
  <c r="L221" i="5"/>
  <c r="O221" i="5" s="1"/>
  <c r="M221" i="5"/>
  <c r="N221" i="5"/>
  <c r="Q221" i="5"/>
  <c r="R221" i="5"/>
  <c r="V221" i="5"/>
  <c r="X221" i="5"/>
  <c r="D222" i="5"/>
  <c r="E222" i="5"/>
  <c r="U222" i="5" s="1"/>
  <c r="F222" i="5"/>
  <c r="G222" i="5"/>
  <c r="S222" i="5" s="1"/>
  <c r="W222" i="5" s="1"/>
  <c r="Y222" i="5" s="1"/>
  <c r="Z222" i="5" s="1"/>
  <c r="I222" i="5"/>
  <c r="J222" i="5"/>
  <c r="K222" i="5" s="1"/>
  <c r="L222" i="5"/>
  <c r="O222" i="5" s="1"/>
  <c r="M222" i="5"/>
  <c r="N222" i="5"/>
  <c r="P222" i="5"/>
  <c r="Q222" i="5"/>
  <c r="R222" i="5"/>
  <c r="T222" i="5"/>
  <c r="V222" i="5"/>
  <c r="X222" i="5"/>
  <c r="D223" i="5"/>
  <c r="E223" i="5"/>
  <c r="T223" i="5" s="1"/>
  <c r="F223" i="5"/>
  <c r="G223" i="5"/>
  <c r="I223" i="5"/>
  <c r="L223" i="5" s="1"/>
  <c r="O223" i="5" s="1"/>
  <c r="J223" i="5"/>
  <c r="S223" i="5" s="1"/>
  <c r="W223" i="5" s="1"/>
  <c r="P223" i="5"/>
  <c r="R223" i="5"/>
  <c r="V223" i="5"/>
  <c r="D224" i="5"/>
  <c r="E224" i="5"/>
  <c r="K224" i="5" s="1"/>
  <c r="F224" i="5"/>
  <c r="G224" i="5"/>
  <c r="S224" i="5" s="1"/>
  <c r="W224" i="5" s="1"/>
  <c r="I224" i="5"/>
  <c r="J224" i="5"/>
  <c r="L224" i="5"/>
  <c r="O224" i="5" s="1"/>
  <c r="N224" i="5"/>
  <c r="P224" i="5"/>
  <c r="Q224" i="5"/>
  <c r="R224" i="5"/>
  <c r="V224" i="5"/>
  <c r="X224" i="5"/>
  <c r="D225" i="5"/>
  <c r="E225" i="5"/>
  <c r="U225" i="5" s="1"/>
  <c r="F225" i="5"/>
  <c r="G225" i="5"/>
  <c r="I225" i="5"/>
  <c r="J225" i="5"/>
  <c r="S225" i="5" s="1"/>
  <c r="W225" i="5" s="1"/>
  <c r="M225" i="5"/>
  <c r="N225" i="5"/>
  <c r="R225" i="5"/>
  <c r="T225" i="5"/>
  <c r="D226" i="5"/>
  <c r="E226" i="5"/>
  <c r="F226" i="5"/>
  <c r="G226" i="5"/>
  <c r="I226" i="5"/>
  <c r="H226" i="5" s="1"/>
  <c r="J226" i="5"/>
  <c r="S226" i="5" s="1"/>
  <c r="W226" i="5" s="1"/>
  <c r="L226" i="5"/>
  <c r="O226" i="5" s="1"/>
  <c r="P226" i="5"/>
  <c r="R226" i="5"/>
  <c r="T226" i="5"/>
  <c r="U226" i="5"/>
  <c r="V226" i="5"/>
  <c r="X226" i="5"/>
  <c r="D227" i="5"/>
  <c r="E227" i="5"/>
  <c r="T227" i="5" s="1"/>
  <c r="F227" i="5"/>
  <c r="G227" i="5"/>
  <c r="I227" i="5"/>
  <c r="J227" i="5"/>
  <c r="S227" i="5" s="1"/>
  <c r="W227" i="5" s="1"/>
  <c r="L227" i="5"/>
  <c r="O227" i="5" s="1"/>
  <c r="M227" i="5"/>
  <c r="N227" i="5"/>
  <c r="Q227" i="5"/>
  <c r="R227" i="5"/>
  <c r="V227" i="5"/>
  <c r="X227" i="5"/>
  <c r="R6" i="5"/>
  <c r="J6" i="5"/>
  <c r="I6" i="5"/>
  <c r="G6" i="5"/>
  <c r="F6" i="5"/>
  <c r="E6" i="5"/>
  <c r="D6" i="5"/>
  <c r="D86" i="7"/>
  <c r="E86" i="7"/>
  <c r="F86" i="7"/>
  <c r="G86" i="7"/>
  <c r="I86" i="7"/>
  <c r="AA86" i="7" s="1"/>
  <c r="K86" i="7"/>
  <c r="Y86" i="7" s="1"/>
  <c r="U86" i="7"/>
  <c r="D88" i="7"/>
  <c r="E88" i="7"/>
  <c r="F88" i="7"/>
  <c r="G88" i="7"/>
  <c r="I88" i="7"/>
  <c r="P88" i="7" s="1"/>
  <c r="K88" i="7"/>
  <c r="Y88" i="7" s="1"/>
  <c r="U88" i="7"/>
  <c r="D91" i="7"/>
  <c r="E91" i="7"/>
  <c r="F91" i="7"/>
  <c r="G91" i="7"/>
  <c r="I91" i="7"/>
  <c r="S91" i="7" s="1"/>
  <c r="K91" i="7"/>
  <c r="Y91" i="7" s="1"/>
  <c r="U91" i="7"/>
  <c r="D6" i="7"/>
  <c r="E6" i="7"/>
  <c r="F6" i="7"/>
  <c r="G6" i="7"/>
  <c r="I6" i="7"/>
  <c r="K6" i="7"/>
  <c r="Y6" i="7" s="1"/>
  <c r="U6" i="7"/>
  <c r="D12" i="7"/>
  <c r="E12" i="7"/>
  <c r="F12" i="7"/>
  <c r="G12" i="7"/>
  <c r="I12" i="7"/>
  <c r="P12" i="7" s="1"/>
  <c r="K12" i="7"/>
  <c r="Y12" i="7" s="1"/>
  <c r="U12" i="7"/>
  <c r="D18" i="7"/>
  <c r="E18" i="7"/>
  <c r="F18" i="7"/>
  <c r="G18" i="7"/>
  <c r="I18" i="7"/>
  <c r="O18" i="7" s="1"/>
  <c r="R18" i="7" s="1"/>
  <c r="K18" i="7"/>
  <c r="Y18" i="7" s="1"/>
  <c r="U18" i="7"/>
  <c r="D94" i="7"/>
  <c r="E94" i="7"/>
  <c r="F94" i="7"/>
  <c r="G94" i="7"/>
  <c r="I94" i="7"/>
  <c r="AA94" i="7" s="1"/>
  <c r="K94" i="7"/>
  <c r="U94" i="7"/>
  <c r="D95" i="7"/>
  <c r="E95" i="7"/>
  <c r="F95" i="7"/>
  <c r="G95" i="7"/>
  <c r="I95" i="7"/>
  <c r="M95" i="7" s="1"/>
  <c r="K95" i="7"/>
  <c r="Y95" i="7" s="1"/>
  <c r="U95" i="7"/>
  <c r="D97" i="7"/>
  <c r="E97" i="7"/>
  <c r="F97" i="7"/>
  <c r="G97" i="7"/>
  <c r="I97" i="7"/>
  <c r="T97" i="7" s="1"/>
  <c r="K97" i="7"/>
  <c r="Y97" i="7" s="1"/>
  <c r="U97" i="7"/>
  <c r="D101" i="7"/>
  <c r="E101" i="7"/>
  <c r="F101" i="7"/>
  <c r="G101" i="7"/>
  <c r="I101" i="7"/>
  <c r="S101" i="7" s="1"/>
  <c r="K101" i="7"/>
  <c r="Y101" i="7" s="1"/>
  <c r="U101" i="7"/>
  <c r="D27" i="7"/>
  <c r="E27" i="7"/>
  <c r="F27" i="7"/>
  <c r="G27" i="7"/>
  <c r="I27" i="7"/>
  <c r="K27" i="7"/>
  <c r="U27" i="7"/>
  <c r="D33" i="7"/>
  <c r="E33" i="7"/>
  <c r="F33" i="7"/>
  <c r="G33" i="7"/>
  <c r="I33" i="7"/>
  <c r="K33" i="7"/>
  <c r="U33" i="7"/>
  <c r="D44" i="7"/>
  <c r="E44" i="7"/>
  <c r="F44" i="7"/>
  <c r="G44" i="7"/>
  <c r="I44" i="7"/>
  <c r="K44" i="7"/>
  <c r="U44" i="7"/>
  <c r="D102" i="7"/>
  <c r="E102" i="7"/>
  <c r="F102" i="7"/>
  <c r="G102" i="7"/>
  <c r="I102" i="7"/>
  <c r="P102" i="7" s="1"/>
  <c r="K102" i="7"/>
  <c r="Y102" i="7" s="1"/>
  <c r="U102" i="7"/>
  <c r="D104" i="7"/>
  <c r="E104" i="7"/>
  <c r="F104" i="7"/>
  <c r="G104" i="7"/>
  <c r="I104" i="7"/>
  <c r="P104" i="7" s="1"/>
  <c r="K104" i="7"/>
  <c r="Y104" i="7" s="1"/>
  <c r="U104" i="7"/>
  <c r="D111" i="7"/>
  <c r="E111" i="7"/>
  <c r="F111" i="7"/>
  <c r="G111" i="7"/>
  <c r="I111" i="7"/>
  <c r="AA111" i="7" s="1"/>
  <c r="K111" i="7"/>
  <c r="Y111" i="7" s="1"/>
  <c r="U111" i="7"/>
  <c r="D118" i="7"/>
  <c r="E118" i="7"/>
  <c r="F118" i="7"/>
  <c r="G118" i="7"/>
  <c r="I118" i="7"/>
  <c r="S118" i="7" s="1"/>
  <c r="K118" i="7"/>
  <c r="U118" i="7"/>
  <c r="D57" i="7"/>
  <c r="E57" i="7"/>
  <c r="F57" i="7"/>
  <c r="G57" i="7"/>
  <c r="K57" i="7"/>
  <c r="Y57" i="7" s="1"/>
  <c r="U57" i="7"/>
  <c r="D63" i="7"/>
  <c r="E63" i="7"/>
  <c r="F63" i="7"/>
  <c r="G63" i="7"/>
  <c r="I63" i="7"/>
  <c r="AA63" i="7" s="1"/>
  <c r="K63" i="7"/>
  <c r="Y63" i="7" s="1"/>
  <c r="U63" i="7"/>
  <c r="D70" i="7"/>
  <c r="E70" i="7"/>
  <c r="F70" i="7"/>
  <c r="G70" i="7"/>
  <c r="I70" i="7"/>
  <c r="AA70" i="7" s="1"/>
  <c r="K70" i="7"/>
  <c r="Y70" i="7" s="1"/>
  <c r="U70" i="7"/>
  <c r="D87" i="7"/>
  <c r="E87" i="7"/>
  <c r="F87" i="7"/>
  <c r="G87" i="7"/>
  <c r="I87" i="7"/>
  <c r="S87" i="7" s="1"/>
  <c r="K87" i="7"/>
  <c r="Y87" i="7" s="1"/>
  <c r="U87" i="7"/>
  <c r="D89" i="7"/>
  <c r="E89" i="7"/>
  <c r="F89" i="7"/>
  <c r="G89" i="7"/>
  <c r="I89" i="7"/>
  <c r="O89" i="7" s="1"/>
  <c r="R89" i="7" s="1"/>
  <c r="K89" i="7"/>
  <c r="Y89" i="7" s="1"/>
  <c r="U89" i="7"/>
  <c r="D92" i="7"/>
  <c r="E92" i="7"/>
  <c r="F92" i="7"/>
  <c r="G92" i="7"/>
  <c r="I92" i="7"/>
  <c r="K92" i="7"/>
  <c r="Y92" i="7" s="1"/>
  <c r="U92" i="7"/>
  <c r="D9" i="7"/>
  <c r="E9" i="7"/>
  <c r="F9" i="7"/>
  <c r="G9" i="7"/>
  <c r="I9" i="7"/>
  <c r="O9" i="7" s="1"/>
  <c r="R9" i="7" s="1"/>
  <c r="K9" i="7"/>
  <c r="Y9" i="7" s="1"/>
  <c r="U9" i="7"/>
  <c r="D13" i="7"/>
  <c r="E13" i="7"/>
  <c r="F13" i="7"/>
  <c r="G13" i="7"/>
  <c r="I13" i="7"/>
  <c r="T13" i="7" s="1"/>
  <c r="K13" i="7"/>
  <c r="Y13" i="7" s="1"/>
  <c r="U13" i="7"/>
  <c r="D17" i="7"/>
  <c r="E17" i="7"/>
  <c r="F17" i="7"/>
  <c r="G17" i="7"/>
  <c r="I17" i="7"/>
  <c r="K17" i="7"/>
  <c r="Y17" i="7" s="1"/>
  <c r="U17" i="7"/>
  <c r="D23" i="7"/>
  <c r="E23" i="7"/>
  <c r="F23" i="7"/>
  <c r="G23" i="7"/>
  <c r="I23" i="7"/>
  <c r="AA23" i="7" s="1"/>
  <c r="K23" i="7"/>
  <c r="Y23" i="7" s="1"/>
  <c r="U23" i="7"/>
  <c r="D96" i="7"/>
  <c r="E96" i="7"/>
  <c r="F96" i="7"/>
  <c r="G96" i="7"/>
  <c r="I96" i="7"/>
  <c r="AA96" i="7" s="1"/>
  <c r="K96" i="7"/>
  <c r="Y96" i="7" s="1"/>
  <c r="U96" i="7"/>
  <c r="D98" i="7"/>
  <c r="E98" i="7"/>
  <c r="F98" i="7"/>
  <c r="G98" i="7"/>
  <c r="I98" i="7"/>
  <c r="T98" i="7" s="1"/>
  <c r="K98" i="7"/>
  <c r="Y98" i="7" s="1"/>
  <c r="U98" i="7"/>
  <c r="D103" i="7"/>
  <c r="E103" i="7"/>
  <c r="F103" i="7"/>
  <c r="G103" i="7"/>
  <c r="I103" i="7"/>
  <c r="M103" i="7" s="1"/>
  <c r="K103" i="7"/>
  <c r="U103" i="7"/>
  <c r="D29" i="7"/>
  <c r="E29" i="7"/>
  <c r="F29" i="7"/>
  <c r="G29" i="7"/>
  <c r="I29" i="7"/>
  <c r="K29" i="7"/>
  <c r="U29" i="7"/>
  <c r="D36" i="7"/>
  <c r="E36" i="7"/>
  <c r="F36" i="7"/>
  <c r="G36" i="7"/>
  <c r="I36" i="7"/>
  <c r="K36" i="7"/>
  <c r="Y36" i="7" s="1"/>
  <c r="U36" i="7"/>
  <c r="D42" i="7"/>
  <c r="E42" i="7"/>
  <c r="F42" i="7"/>
  <c r="G42" i="7"/>
  <c r="I42" i="7"/>
  <c r="O42" i="7" s="1"/>
  <c r="R42" i="7" s="1"/>
  <c r="K42" i="7"/>
  <c r="Y42" i="7" s="1"/>
  <c r="U42" i="7"/>
  <c r="D50" i="7"/>
  <c r="E50" i="7"/>
  <c r="F50" i="7"/>
  <c r="G50" i="7"/>
  <c r="I50" i="7"/>
  <c r="T50" i="7" s="1"/>
  <c r="K50" i="7"/>
  <c r="U50" i="7"/>
  <c r="D107" i="7"/>
  <c r="E107" i="7"/>
  <c r="F107" i="7"/>
  <c r="G107" i="7"/>
  <c r="I107" i="7"/>
  <c r="K107" i="7"/>
  <c r="Y107" i="7" s="1"/>
  <c r="U107" i="7"/>
  <c r="D114" i="7"/>
  <c r="E114" i="7"/>
  <c r="F114" i="7"/>
  <c r="G114" i="7"/>
  <c r="I114" i="7"/>
  <c r="T114" i="7" s="1"/>
  <c r="K114" i="7"/>
  <c r="Y114" i="7" s="1"/>
  <c r="U114" i="7"/>
  <c r="D122" i="7"/>
  <c r="E122" i="7"/>
  <c r="F122" i="7"/>
  <c r="G122" i="7"/>
  <c r="I122" i="7"/>
  <c r="S122" i="7" s="1"/>
  <c r="K122" i="7"/>
  <c r="Y122" i="7" s="1"/>
  <c r="U122" i="7"/>
  <c r="D60" i="7"/>
  <c r="E60" i="7"/>
  <c r="F60" i="7"/>
  <c r="G60" i="7"/>
  <c r="I60" i="7"/>
  <c r="O60" i="7" s="1"/>
  <c r="R60" i="7" s="1"/>
  <c r="K60" i="7"/>
  <c r="Y60" i="7" s="1"/>
  <c r="U60" i="7"/>
  <c r="D64" i="7"/>
  <c r="E64" i="7"/>
  <c r="F64" i="7"/>
  <c r="G64" i="7"/>
  <c r="I64" i="7"/>
  <c r="M64" i="7" s="1"/>
  <c r="K64" i="7"/>
  <c r="U64" i="7"/>
  <c r="D68" i="7"/>
  <c r="E68" i="7"/>
  <c r="F68" i="7"/>
  <c r="G68" i="7"/>
  <c r="I68" i="7"/>
  <c r="M68" i="7" s="1"/>
  <c r="K68" i="7"/>
  <c r="Y68" i="7" s="1"/>
  <c r="U68" i="7"/>
  <c r="D76" i="7"/>
  <c r="E76" i="7"/>
  <c r="F76" i="7"/>
  <c r="G76" i="7"/>
  <c r="I76" i="7"/>
  <c r="K76" i="7"/>
  <c r="U76" i="7"/>
  <c r="D90" i="7"/>
  <c r="E90" i="7"/>
  <c r="F90" i="7"/>
  <c r="G90" i="7"/>
  <c r="I90" i="7"/>
  <c r="S90" i="7" s="1"/>
  <c r="K90" i="7"/>
  <c r="Y90" i="7" s="1"/>
  <c r="U90" i="7"/>
  <c r="D93" i="7"/>
  <c r="E93" i="7"/>
  <c r="F93" i="7"/>
  <c r="G93" i="7"/>
  <c r="I93" i="7"/>
  <c r="T93" i="7" s="1"/>
  <c r="K93" i="7"/>
  <c r="Y93" i="7" s="1"/>
  <c r="U93" i="7"/>
  <c r="D10" i="7"/>
  <c r="E10" i="7"/>
  <c r="F10" i="7"/>
  <c r="G10" i="7"/>
  <c r="I10" i="7"/>
  <c r="O10" i="7" s="1"/>
  <c r="R10" i="7" s="1"/>
  <c r="K10" i="7"/>
  <c r="U10" i="7"/>
  <c r="D14" i="7"/>
  <c r="E14" i="7"/>
  <c r="F14" i="7"/>
  <c r="G14" i="7"/>
  <c r="I14" i="7"/>
  <c r="AA14" i="7" s="1"/>
  <c r="K14" i="7"/>
  <c r="Y14" i="7" s="1"/>
  <c r="U14" i="7"/>
  <c r="D20" i="7"/>
  <c r="E20" i="7"/>
  <c r="F20" i="7"/>
  <c r="G20" i="7"/>
  <c r="I20" i="7"/>
  <c r="T20" i="7" s="1"/>
  <c r="K20" i="7"/>
  <c r="Y20" i="7" s="1"/>
  <c r="U20" i="7"/>
  <c r="D25" i="7"/>
  <c r="E25" i="7"/>
  <c r="F25" i="7"/>
  <c r="G25" i="7"/>
  <c r="I25" i="7"/>
  <c r="AA25" i="7" s="1"/>
  <c r="K25" i="7"/>
  <c r="Y25" i="7" s="1"/>
  <c r="U25" i="7"/>
  <c r="D32" i="7"/>
  <c r="E32" i="7"/>
  <c r="F32" i="7"/>
  <c r="G32" i="7"/>
  <c r="I32" i="7"/>
  <c r="K32" i="7"/>
  <c r="U32" i="7"/>
  <c r="D99" i="7"/>
  <c r="E99" i="7"/>
  <c r="F99" i="7"/>
  <c r="G99" i="7"/>
  <c r="I99" i="7"/>
  <c r="K99" i="7"/>
  <c r="Y99" i="7" s="1"/>
  <c r="U99" i="7"/>
  <c r="D105" i="7"/>
  <c r="E105" i="7"/>
  <c r="F105" i="7"/>
  <c r="G105" i="7"/>
  <c r="I105" i="7"/>
  <c r="K105" i="7"/>
  <c r="U105" i="7"/>
  <c r="D30" i="7"/>
  <c r="E30" i="7"/>
  <c r="F30" i="7"/>
  <c r="G30" i="7"/>
  <c r="I30" i="7"/>
  <c r="P30" i="7" s="1"/>
  <c r="K30" i="7"/>
  <c r="U30" i="7"/>
  <c r="D39" i="7"/>
  <c r="E39" i="7"/>
  <c r="F39" i="7"/>
  <c r="G39" i="7"/>
  <c r="I39" i="7"/>
  <c r="T39" i="7" s="1"/>
  <c r="K39" i="7"/>
  <c r="Y39" i="7" s="1"/>
  <c r="U39" i="7"/>
  <c r="D45" i="7"/>
  <c r="E45" i="7"/>
  <c r="F45" i="7"/>
  <c r="G45" i="7"/>
  <c r="I45" i="7"/>
  <c r="S45" i="7" s="1"/>
  <c r="K45" i="7"/>
  <c r="Y45" i="7" s="1"/>
  <c r="U45" i="7"/>
  <c r="D51" i="7"/>
  <c r="E51" i="7"/>
  <c r="F51" i="7"/>
  <c r="G51" i="7"/>
  <c r="I51" i="7"/>
  <c r="K51" i="7"/>
  <c r="Y51" i="7" s="1"/>
  <c r="U51" i="7"/>
  <c r="D54" i="7"/>
  <c r="E54" i="7"/>
  <c r="F54" i="7"/>
  <c r="G54" i="7"/>
  <c r="T54" i="7"/>
  <c r="K54" i="7"/>
  <c r="Y54" i="7" s="1"/>
  <c r="U54" i="7"/>
  <c r="D116" i="7"/>
  <c r="E116" i="7"/>
  <c r="F116" i="7"/>
  <c r="G116" i="7"/>
  <c r="I116" i="7"/>
  <c r="P116" i="7" s="1"/>
  <c r="K116" i="7"/>
  <c r="Y116" i="7" s="1"/>
  <c r="U116" i="7"/>
  <c r="D120" i="7"/>
  <c r="E120" i="7"/>
  <c r="F120" i="7"/>
  <c r="G120" i="7"/>
  <c r="I120" i="7"/>
  <c r="M120" i="7" s="1"/>
  <c r="R120" i="7" s="1"/>
  <c r="K120" i="7"/>
  <c r="Y120" i="7" s="1"/>
  <c r="U120" i="7"/>
  <c r="D61" i="7"/>
  <c r="E61" i="7"/>
  <c r="F61" i="7"/>
  <c r="I61" i="7"/>
  <c r="T61" i="7" s="1"/>
  <c r="U61" i="7"/>
  <c r="D65" i="7"/>
  <c r="E65" i="7"/>
  <c r="H65" i="7" s="1"/>
  <c r="F65" i="7"/>
  <c r="G65" i="7"/>
  <c r="I65" i="7"/>
  <c r="P65" i="7" s="1"/>
  <c r="K65" i="7"/>
  <c r="Y65" i="7" s="1"/>
  <c r="U65" i="7"/>
  <c r="D72" i="7"/>
  <c r="E72" i="7"/>
  <c r="F72" i="7"/>
  <c r="G72" i="7"/>
  <c r="I72" i="7"/>
  <c r="M72" i="7" s="1"/>
  <c r="K72" i="7"/>
  <c r="Y72" i="7" s="1"/>
  <c r="U72" i="7"/>
  <c r="D77" i="7"/>
  <c r="E77" i="7"/>
  <c r="F77" i="7"/>
  <c r="G77" i="7"/>
  <c r="I77" i="7"/>
  <c r="AA77" i="7" s="1"/>
  <c r="K77" i="7"/>
  <c r="Y77" i="7" s="1"/>
  <c r="U77" i="7"/>
  <c r="D80" i="7"/>
  <c r="E80" i="7"/>
  <c r="F80" i="7"/>
  <c r="G80" i="7"/>
  <c r="I80" i="7"/>
  <c r="O80" i="7" s="1"/>
  <c r="R80" i="7" s="1"/>
  <c r="K80" i="7"/>
  <c r="Y80" i="7" s="1"/>
  <c r="U80" i="7"/>
  <c r="D8" i="7"/>
  <c r="E8" i="7"/>
  <c r="F8" i="7"/>
  <c r="G8" i="7"/>
  <c r="I8" i="7"/>
  <c r="K8" i="7"/>
  <c r="U8" i="7"/>
  <c r="D7" i="7"/>
  <c r="E7" i="7"/>
  <c r="F7" i="7"/>
  <c r="G7" i="7"/>
  <c r="I7" i="7"/>
  <c r="K7" i="7"/>
  <c r="Y7" i="7" s="1"/>
  <c r="U7" i="7"/>
  <c r="D15" i="7"/>
  <c r="E15" i="7"/>
  <c r="F15" i="7"/>
  <c r="G15" i="7"/>
  <c r="I15" i="7"/>
  <c r="K15" i="7"/>
  <c r="U15" i="7"/>
  <c r="D21" i="7"/>
  <c r="E21" i="7"/>
  <c r="F21" i="7"/>
  <c r="G21" i="7"/>
  <c r="I21" i="7"/>
  <c r="K21" i="7"/>
  <c r="Y21" i="7" s="1"/>
  <c r="U21" i="7"/>
  <c r="D28" i="7"/>
  <c r="E28" i="7"/>
  <c r="F28" i="7"/>
  <c r="G28" i="7"/>
  <c r="I28" i="7"/>
  <c r="K28" i="7"/>
  <c r="Y28" i="7" s="1"/>
  <c r="U28" i="7"/>
  <c r="D37" i="7"/>
  <c r="E37" i="7"/>
  <c r="F37" i="7"/>
  <c r="G37" i="7"/>
  <c r="I37" i="7"/>
  <c r="T37" i="7" s="1"/>
  <c r="K37" i="7"/>
  <c r="Y37" i="7" s="1"/>
  <c r="U37" i="7"/>
  <c r="D109" i="7"/>
  <c r="E109" i="7"/>
  <c r="L109" i="7" s="1"/>
  <c r="F109" i="7"/>
  <c r="G109" i="7"/>
  <c r="Y109" i="7"/>
  <c r="U109" i="7"/>
  <c r="D100" i="7"/>
  <c r="E100" i="7"/>
  <c r="F100" i="7"/>
  <c r="G100" i="7"/>
  <c r="I100" i="7"/>
  <c r="AA100" i="7" s="1"/>
  <c r="K100" i="7"/>
  <c r="Y100" i="7" s="1"/>
  <c r="U100" i="7"/>
  <c r="D26" i="7"/>
  <c r="E26" i="7"/>
  <c r="F26" i="7"/>
  <c r="G26" i="7"/>
  <c r="I26" i="7"/>
  <c r="M26" i="7" s="1"/>
  <c r="R26" i="7" s="1"/>
  <c r="K26" i="7"/>
  <c r="Y26" i="7" s="1"/>
  <c r="U26" i="7"/>
  <c r="D41" i="7"/>
  <c r="E41" i="7"/>
  <c r="F41" i="7"/>
  <c r="G41" i="7"/>
  <c r="I41" i="7"/>
  <c r="T41" i="7" s="1"/>
  <c r="K41" i="7"/>
  <c r="U41" i="7"/>
  <c r="D46" i="7"/>
  <c r="E46" i="7"/>
  <c r="F46" i="7"/>
  <c r="G46" i="7"/>
  <c r="I46" i="7"/>
  <c r="S46" i="7" s="1"/>
  <c r="K46" i="7"/>
  <c r="Y46" i="7" s="1"/>
  <c r="U46" i="7"/>
  <c r="D52" i="7"/>
  <c r="E52" i="7"/>
  <c r="F52" i="7"/>
  <c r="G52" i="7"/>
  <c r="I52" i="7"/>
  <c r="M52" i="7" s="1"/>
  <c r="U52" i="7"/>
  <c r="D55" i="7"/>
  <c r="E55" i="7"/>
  <c r="F55" i="7"/>
  <c r="G55" i="7"/>
  <c r="I55" i="7"/>
  <c r="M55" i="7" s="1"/>
  <c r="K55" i="7"/>
  <c r="Y55" i="7" s="1"/>
  <c r="U55" i="7"/>
  <c r="D129" i="7"/>
  <c r="E129" i="7"/>
  <c r="F129" i="7"/>
  <c r="G129" i="7"/>
  <c r="I129" i="7"/>
  <c r="P129" i="7" s="1"/>
  <c r="K129" i="7"/>
  <c r="U129" i="7"/>
  <c r="D123" i="7"/>
  <c r="E123" i="7"/>
  <c r="F123" i="7"/>
  <c r="G123" i="7"/>
  <c r="I123" i="7"/>
  <c r="M123" i="7" s="1"/>
  <c r="R123" i="7" s="1"/>
  <c r="K123" i="7"/>
  <c r="Y123" i="7" s="1"/>
  <c r="U123" i="7"/>
  <c r="D62" i="7"/>
  <c r="E62" i="7"/>
  <c r="F62" i="7"/>
  <c r="G62" i="7"/>
  <c r="I62" i="7"/>
  <c r="K62" i="7"/>
  <c r="U62" i="7"/>
  <c r="D67" i="7"/>
  <c r="E67" i="7"/>
  <c r="F67" i="7"/>
  <c r="G67" i="7"/>
  <c r="I67" i="7"/>
  <c r="O67" i="7" s="1"/>
  <c r="R67" i="7" s="1"/>
  <c r="K67" i="7"/>
  <c r="Y67" i="7" s="1"/>
  <c r="U67" i="7"/>
  <c r="D73" i="7"/>
  <c r="E73" i="7"/>
  <c r="F73" i="7"/>
  <c r="G73" i="7"/>
  <c r="I73" i="7"/>
  <c r="K73" i="7"/>
  <c r="Y73" i="7" s="1"/>
  <c r="U73" i="7"/>
  <c r="D78" i="7"/>
  <c r="E78" i="7"/>
  <c r="F78" i="7"/>
  <c r="G78" i="7"/>
  <c r="I78" i="7"/>
  <c r="M78" i="7" s="1"/>
  <c r="K78" i="7"/>
  <c r="Y78" i="7" s="1"/>
  <c r="U78" i="7"/>
  <c r="D81" i="7"/>
  <c r="E81" i="7"/>
  <c r="F81" i="7"/>
  <c r="G81" i="7"/>
  <c r="I81" i="7"/>
  <c r="S81" i="7" s="1"/>
  <c r="K81" i="7"/>
  <c r="Y81" i="7" s="1"/>
  <c r="U81" i="7"/>
  <c r="D157" i="7"/>
  <c r="E157" i="7"/>
  <c r="F157" i="7"/>
  <c r="G157" i="7"/>
  <c r="I157" i="7"/>
  <c r="T157" i="7" s="1"/>
  <c r="K157" i="7"/>
  <c r="U157" i="7"/>
  <c r="D11" i="7"/>
  <c r="E11" i="7"/>
  <c r="F11" i="7"/>
  <c r="G11" i="7"/>
  <c r="I11" i="7"/>
  <c r="M11" i="7" s="1"/>
  <c r="R11" i="7" s="1"/>
  <c r="K11" i="7"/>
  <c r="U11" i="7"/>
  <c r="D16" i="7"/>
  <c r="E16" i="7"/>
  <c r="F16" i="7"/>
  <c r="G16" i="7"/>
  <c r="I16" i="7"/>
  <c r="O16" i="7" s="1"/>
  <c r="K16" i="7"/>
  <c r="Y16" i="7" s="1"/>
  <c r="U16" i="7"/>
  <c r="D22" i="7"/>
  <c r="E22" i="7"/>
  <c r="F22" i="7"/>
  <c r="G22" i="7"/>
  <c r="I22" i="7"/>
  <c r="O22" i="7" s="1"/>
  <c r="R22" i="7" s="1"/>
  <c r="K22" i="7"/>
  <c r="U22" i="7"/>
  <c r="D31" i="7"/>
  <c r="E31" i="7"/>
  <c r="F31" i="7"/>
  <c r="G31" i="7"/>
  <c r="I31" i="7"/>
  <c r="AA31" i="7" s="1"/>
  <c r="K31" i="7"/>
  <c r="Y31" i="7" s="1"/>
  <c r="U31" i="7"/>
  <c r="D40" i="7"/>
  <c r="E40" i="7"/>
  <c r="F40" i="7"/>
  <c r="G40" i="7"/>
  <c r="I40" i="7"/>
  <c r="K40" i="7"/>
  <c r="Y40" i="7" s="1"/>
  <c r="U40" i="7"/>
  <c r="D110" i="7"/>
  <c r="E110" i="7"/>
  <c r="L110" i="7" s="1"/>
  <c r="F110" i="7"/>
  <c r="G110" i="7"/>
  <c r="Y110" i="7"/>
  <c r="U110" i="7"/>
  <c r="D117" i="7"/>
  <c r="E117" i="7"/>
  <c r="F117" i="7"/>
  <c r="G117" i="7"/>
  <c r="I117" i="7"/>
  <c r="AA117" i="7" s="1"/>
  <c r="K117" i="7"/>
  <c r="Y117" i="7" s="1"/>
  <c r="U117" i="7"/>
  <c r="D34" i="7"/>
  <c r="E34" i="7"/>
  <c r="F34" i="7"/>
  <c r="G34" i="7"/>
  <c r="I34" i="7"/>
  <c r="AA34" i="7" s="1"/>
  <c r="K34" i="7"/>
  <c r="Y34" i="7" s="1"/>
  <c r="U34" i="7"/>
  <c r="D43" i="7"/>
  <c r="E43" i="7"/>
  <c r="F43" i="7"/>
  <c r="G43" i="7"/>
  <c r="I43" i="7"/>
  <c r="K43" i="7"/>
  <c r="Y43" i="7" s="1"/>
  <c r="U43" i="7"/>
  <c r="D49" i="7"/>
  <c r="E49" i="7"/>
  <c r="F49" i="7"/>
  <c r="G49" i="7"/>
  <c r="I49" i="7"/>
  <c r="T49" i="7" s="1"/>
  <c r="K49" i="7"/>
  <c r="Y49" i="7" s="1"/>
  <c r="U49" i="7"/>
  <c r="D53" i="7"/>
  <c r="E53" i="7"/>
  <c r="F53" i="7"/>
  <c r="G53" i="7"/>
  <c r="I53" i="7"/>
  <c r="O53" i="7" s="1"/>
  <c r="R53" i="7" s="1"/>
  <c r="K53" i="7"/>
  <c r="Y53" i="7" s="1"/>
  <c r="U53" i="7"/>
  <c r="D59" i="7"/>
  <c r="E59" i="7"/>
  <c r="F59" i="7"/>
  <c r="G59" i="7"/>
  <c r="M59" i="7"/>
  <c r="U59" i="7"/>
  <c r="D134" i="7"/>
  <c r="E134" i="7"/>
  <c r="F134" i="7"/>
  <c r="G134" i="7"/>
  <c r="I134" i="7"/>
  <c r="M134" i="7" s="1"/>
  <c r="K134" i="7"/>
  <c r="Y134" i="7" s="1"/>
  <c r="U134" i="7"/>
  <c r="D137" i="7"/>
  <c r="E137" i="7"/>
  <c r="F137" i="7"/>
  <c r="G137" i="7"/>
  <c r="I137" i="7"/>
  <c r="M137" i="7" s="1"/>
  <c r="K137" i="7"/>
  <c r="Y137" i="7" s="1"/>
  <c r="U137" i="7"/>
  <c r="D66" i="7"/>
  <c r="E66" i="7"/>
  <c r="F66" i="7"/>
  <c r="G66" i="7"/>
  <c r="I66" i="7"/>
  <c r="M66" i="7" s="1"/>
  <c r="K66" i="7"/>
  <c r="U66" i="7"/>
  <c r="D69" i="7"/>
  <c r="E69" i="7"/>
  <c r="F69" i="7"/>
  <c r="G69" i="7"/>
  <c r="I69" i="7"/>
  <c r="P69" i="7" s="1"/>
  <c r="K69" i="7"/>
  <c r="Y69" i="7" s="1"/>
  <c r="U69" i="7"/>
  <c r="D75" i="7"/>
  <c r="E75" i="7"/>
  <c r="F75" i="7"/>
  <c r="G75" i="7"/>
  <c r="I75" i="7"/>
  <c r="O75" i="7" s="1"/>
  <c r="R75" i="7" s="1"/>
  <c r="K75" i="7"/>
  <c r="Y75" i="7" s="1"/>
  <c r="U75" i="7"/>
  <c r="D79" i="7"/>
  <c r="E79" i="7"/>
  <c r="F79" i="7"/>
  <c r="G79" i="7"/>
  <c r="I79" i="7"/>
  <c r="K79" i="7"/>
  <c r="Y79" i="7" s="1"/>
  <c r="U79" i="7"/>
  <c r="D84" i="7"/>
  <c r="E84" i="7"/>
  <c r="F84" i="7"/>
  <c r="G84" i="7"/>
  <c r="I84" i="7"/>
  <c r="M84" i="7" s="1"/>
  <c r="K84" i="7"/>
  <c r="Y84" i="7" s="1"/>
  <c r="U84" i="7"/>
  <c r="D162" i="7"/>
  <c r="E162" i="7"/>
  <c r="F162" i="7"/>
  <c r="G162" i="7"/>
  <c r="I162" i="7"/>
  <c r="M162" i="7" s="1"/>
  <c r="K162" i="7"/>
  <c r="Y162" i="7" s="1"/>
  <c r="U162" i="7"/>
  <c r="D168" i="7"/>
  <c r="E168" i="7"/>
  <c r="F168" i="7"/>
  <c r="G168" i="7"/>
  <c r="I168" i="7"/>
  <c r="M168" i="7" s="1"/>
  <c r="K168" i="7"/>
  <c r="Y168" i="7" s="1"/>
  <c r="U168" i="7"/>
  <c r="D19" i="7"/>
  <c r="E19" i="7"/>
  <c r="F19" i="7"/>
  <c r="G19" i="7"/>
  <c r="I19" i="7"/>
  <c r="P19" i="7" s="1"/>
  <c r="K19" i="7"/>
  <c r="Y19" i="7" s="1"/>
  <c r="U19" i="7"/>
  <c r="D24" i="7"/>
  <c r="E24" i="7"/>
  <c r="F24" i="7"/>
  <c r="G24" i="7"/>
  <c r="I24" i="7"/>
  <c r="K24" i="7"/>
  <c r="Y24" i="7" s="1"/>
  <c r="U24" i="7"/>
  <c r="D38" i="7"/>
  <c r="E38" i="7"/>
  <c r="F38" i="7"/>
  <c r="G38" i="7"/>
  <c r="I38" i="7"/>
  <c r="S38" i="7" s="1"/>
  <c r="K38" i="7"/>
  <c r="Y38" i="7" s="1"/>
  <c r="U38" i="7"/>
  <c r="D108" i="7"/>
  <c r="E108" i="7"/>
  <c r="F108" i="7"/>
  <c r="I108" i="7"/>
  <c r="AA108" i="7" s="1"/>
  <c r="K108" i="7"/>
  <c r="Y108" i="7" s="1"/>
  <c r="U108" i="7"/>
  <c r="D112" i="7"/>
  <c r="E112" i="7"/>
  <c r="L112" i="7" s="1"/>
  <c r="F112" i="7"/>
  <c r="G112" i="7"/>
  <c r="Y112" i="7"/>
  <c r="U112" i="7"/>
  <c r="D124" i="7"/>
  <c r="E124" i="7"/>
  <c r="F124" i="7"/>
  <c r="G124" i="7"/>
  <c r="I124" i="7"/>
  <c r="K124" i="7"/>
  <c r="Y124" i="7" s="1"/>
  <c r="U124" i="7"/>
  <c r="D126" i="7"/>
  <c r="E126" i="7"/>
  <c r="F126" i="7"/>
  <c r="G126" i="7"/>
  <c r="I126" i="7"/>
  <c r="O126" i="7" s="1"/>
  <c r="R126" i="7" s="1"/>
  <c r="K126" i="7"/>
  <c r="Y126" i="7" s="1"/>
  <c r="U126" i="7"/>
  <c r="D48" i="7"/>
  <c r="E48" i="7"/>
  <c r="F48" i="7"/>
  <c r="G48" i="7"/>
  <c r="I48" i="7"/>
  <c r="K48" i="7"/>
  <c r="U48" i="7"/>
  <c r="D47" i="7"/>
  <c r="E47" i="7"/>
  <c r="F47" i="7"/>
  <c r="G47" i="7"/>
  <c r="I47" i="7"/>
  <c r="P47" i="7" s="1"/>
  <c r="K47" i="7"/>
  <c r="Y47" i="7" s="1"/>
  <c r="U47" i="7"/>
  <c r="D56" i="7"/>
  <c r="E56" i="7"/>
  <c r="F56" i="7"/>
  <c r="G56" i="7"/>
  <c r="I56" i="7"/>
  <c r="AA56" i="7" s="1"/>
  <c r="K56" i="7"/>
  <c r="Y56" i="7" s="1"/>
  <c r="U56" i="7"/>
  <c r="D128" i="7"/>
  <c r="E128" i="7"/>
  <c r="F128" i="7"/>
  <c r="G128" i="7"/>
  <c r="I128" i="7"/>
  <c r="P128" i="7" s="1"/>
  <c r="K128" i="7"/>
  <c r="Y128" i="7" s="1"/>
  <c r="U128" i="7"/>
  <c r="D135" i="7"/>
  <c r="E135" i="7"/>
  <c r="F135" i="7"/>
  <c r="G135" i="7"/>
  <c r="I135" i="7"/>
  <c r="S135" i="7" s="1"/>
  <c r="K135" i="7"/>
  <c r="Y135" i="7" s="1"/>
  <c r="U135" i="7"/>
  <c r="D143" i="7"/>
  <c r="E143" i="7"/>
  <c r="F143" i="7"/>
  <c r="G143" i="7"/>
  <c r="I143" i="7"/>
  <c r="S143" i="7" s="1"/>
  <c r="K143" i="7"/>
  <c r="Y143" i="7" s="1"/>
  <c r="U143" i="7"/>
  <c r="D148" i="7"/>
  <c r="E148" i="7"/>
  <c r="F148" i="7"/>
  <c r="G148" i="7"/>
  <c r="I148" i="7"/>
  <c r="T148" i="7" s="1"/>
  <c r="K148" i="7"/>
  <c r="Y148" i="7" s="1"/>
  <c r="U148" i="7"/>
  <c r="D74" i="7"/>
  <c r="E74" i="7"/>
  <c r="F74" i="7"/>
  <c r="G74" i="7"/>
  <c r="I74" i="7"/>
  <c r="M74" i="7" s="1"/>
  <c r="K74" i="7"/>
  <c r="U74" i="7"/>
  <c r="D71" i="7"/>
  <c r="E71" i="7"/>
  <c r="F71" i="7"/>
  <c r="G71" i="7"/>
  <c r="I71" i="7"/>
  <c r="P71" i="7" s="1"/>
  <c r="K71" i="7"/>
  <c r="U71" i="7"/>
  <c r="D82" i="7"/>
  <c r="E82" i="7"/>
  <c r="F82" i="7"/>
  <c r="G82" i="7"/>
  <c r="I82" i="7"/>
  <c r="K82" i="7"/>
  <c r="Y82" i="7" s="1"/>
  <c r="U82" i="7"/>
  <c r="D156" i="7"/>
  <c r="E156" i="7"/>
  <c r="F156" i="7"/>
  <c r="G156" i="7"/>
  <c r="I156" i="7"/>
  <c r="M156" i="7" s="1"/>
  <c r="K156" i="7"/>
  <c r="U156" i="7"/>
  <c r="D164" i="7"/>
  <c r="E164" i="7"/>
  <c r="F164" i="7"/>
  <c r="G164" i="7"/>
  <c r="I164" i="7"/>
  <c r="M164" i="7" s="1"/>
  <c r="K164" i="7"/>
  <c r="Y164" i="7" s="1"/>
  <c r="U164" i="7"/>
  <c r="D173" i="7"/>
  <c r="E173" i="7"/>
  <c r="F173" i="7"/>
  <c r="G173" i="7"/>
  <c r="I173" i="7"/>
  <c r="P173" i="7" s="1"/>
  <c r="K173" i="7"/>
  <c r="Y173" i="7" s="1"/>
  <c r="U173" i="7"/>
  <c r="D178" i="7"/>
  <c r="E178" i="7"/>
  <c r="F178" i="7"/>
  <c r="G178" i="7"/>
  <c r="I178" i="7"/>
  <c r="P178" i="7" s="1"/>
  <c r="K178" i="7"/>
  <c r="Y178" i="7" s="1"/>
  <c r="U178" i="7"/>
  <c r="D35" i="7"/>
  <c r="E35" i="7"/>
  <c r="F35" i="7"/>
  <c r="G35" i="7"/>
  <c r="I35" i="7"/>
  <c r="T35" i="7" s="1"/>
  <c r="K35" i="7"/>
  <c r="Y35" i="7" s="1"/>
  <c r="U35" i="7"/>
  <c r="D106" i="7"/>
  <c r="E106" i="7"/>
  <c r="F106" i="7"/>
  <c r="G106" i="7"/>
  <c r="I106" i="7"/>
  <c r="P106" i="7" s="1"/>
  <c r="K106" i="7"/>
  <c r="Y106" i="7" s="1"/>
  <c r="U106" i="7"/>
  <c r="D113" i="7"/>
  <c r="E113" i="7"/>
  <c r="L113" i="7" s="1"/>
  <c r="F113" i="7"/>
  <c r="G113" i="7"/>
  <c r="T113" i="7"/>
  <c r="Y113" i="7"/>
  <c r="U113" i="7"/>
  <c r="D119" i="7"/>
  <c r="E119" i="7"/>
  <c r="F119" i="7"/>
  <c r="G119" i="7"/>
  <c r="I119" i="7"/>
  <c r="K119" i="7"/>
  <c r="Y119" i="7" s="1"/>
  <c r="U119" i="7"/>
  <c r="D125" i="7"/>
  <c r="E125" i="7"/>
  <c r="F125" i="7"/>
  <c r="G125" i="7"/>
  <c r="I125" i="7"/>
  <c r="O125" i="7" s="1"/>
  <c r="R125" i="7" s="1"/>
  <c r="K125" i="7"/>
  <c r="U125" i="7"/>
  <c r="D131" i="7"/>
  <c r="E131" i="7"/>
  <c r="F131" i="7"/>
  <c r="G131" i="7"/>
  <c r="I131" i="7"/>
  <c r="O131" i="7" s="1"/>
  <c r="R131" i="7" s="1"/>
  <c r="K131" i="7"/>
  <c r="Y131" i="7" s="1"/>
  <c r="U131" i="7"/>
  <c r="D138" i="7"/>
  <c r="E138" i="7"/>
  <c r="F138" i="7"/>
  <c r="G138" i="7"/>
  <c r="I138" i="7"/>
  <c r="T138" i="7" s="1"/>
  <c r="K138" i="7"/>
  <c r="Y138" i="7" s="1"/>
  <c r="U138" i="7"/>
  <c r="D58" i="7"/>
  <c r="E58" i="7"/>
  <c r="F58" i="7"/>
  <c r="G58" i="7"/>
  <c r="I58" i="7"/>
  <c r="K58" i="7"/>
  <c r="U58" i="7"/>
  <c r="D130" i="7"/>
  <c r="E130" i="7"/>
  <c r="F130" i="7"/>
  <c r="G130" i="7"/>
  <c r="I130" i="7"/>
  <c r="O130" i="7" s="1"/>
  <c r="R130" i="7" s="1"/>
  <c r="K130" i="7"/>
  <c r="U130" i="7"/>
  <c r="D136" i="7"/>
  <c r="E136" i="7"/>
  <c r="F136" i="7"/>
  <c r="G136" i="7"/>
  <c r="W136" i="7" s="1"/>
  <c r="I136" i="7"/>
  <c r="AA136" i="7" s="1"/>
  <c r="K136" i="7"/>
  <c r="U136" i="7"/>
  <c r="D142" i="7"/>
  <c r="E142" i="7"/>
  <c r="F142" i="7"/>
  <c r="G142" i="7"/>
  <c r="I142" i="7"/>
  <c r="O142" i="7" s="1"/>
  <c r="R142" i="7" s="1"/>
  <c r="K142" i="7"/>
  <c r="U142" i="7"/>
  <c r="D147" i="7"/>
  <c r="E147" i="7"/>
  <c r="F147" i="7"/>
  <c r="G147" i="7"/>
  <c r="I147" i="7"/>
  <c r="K147" i="7"/>
  <c r="Y147" i="7" s="1"/>
  <c r="U147" i="7"/>
  <c r="D152" i="7"/>
  <c r="E152" i="7"/>
  <c r="F152" i="7"/>
  <c r="G152" i="7"/>
  <c r="I152" i="7"/>
  <c r="K152" i="7"/>
  <c r="Y152" i="7" s="1"/>
  <c r="U152" i="7"/>
  <c r="D158" i="7"/>
  <c r="E158" i="7"/>
  <c r="F158" i="7"/>
  <c r="G158" i="7"/>
  <c r="I158" i="7"/>
  <c r="O158" i="7" s="1"/>
  <c r="R158" i="7" s="1"/>
  <c r="K158" i="7"/>
  <c r="Y158" i="7" s="1"/>
  <c r="U158" i="7"/>
  <c r="D83" i="7"/>
  <c r="E83" i="7"/>
  <c r="F83" i="7"/>
  <c r="G83" i="7"/>
  <c r="I83" i="7"/>
  <c r="T83" i="7" s="1"/>
  <c r="K83" i="7"/>
  <c r="U83" i="7"/>
  <c r="D159" i="7"/>
  <c r="E159" i="7"/>
  <c r="F159" i="7"/>
  <c r="G159" i="7"/>
  <c r="I159" i="7"/>
  <c r="K159" i="7"/>
  <c r="Y159" i="7" s="1"/>
  <c r="U159" i="7"/>
  <c r="D165" i="7"/>
  <c r="E165" i="7"/>
  <c r="F165" i="7"/>
  <c r="G165" i="7"/>
  <c r="I165" i="7"/>
  <c r="T165" i="7" s="1"/>
  <c r="K165" i="7"/>
  <c r="Y165" i="7" s="1"/>
  <c r="U165" i="7"/>
  <c r="D171" i="7"/>
  <c r="E171" i="7"/>
  <c r="F171" i="7"/>
  <c r="G171" i="7"/>
  <c r="I171" i="7"/>
  <c r="M171" i="7" s="1"/>
  <c r="K171" i="7"/>
  <c r="Y171" i="7" s="1"/>
  <c r="U171" i="7"/>
  <c r="D176" i="7"/>
  <c r="E176" i="7"/>
  <c r="F176" i="7"/>
  <c r="G176" i="7"/>
  <c r="I176" i="7"/>
  <c r="O176" i="7" s="1"/>
  <c r="R176" i="7" s="1"/>
  <c r="K176" i="7"/>
  <c r="U176" i="7"/>
  <c r="D181" i="7"/>
  <c r="E181" i="7"/>
  <c r="F181" i="7"/>
  <c r="G181" i="7"/>
  <c r="I181" i="7"/>
  <c r="K181" i="7"/>
  <c r="Y181" i="7" s="1"/>
  <c r="U181" i="7"/>
  <c r="D184" i="7"/>
  <c r="E184" i="7"/>
  <c r="F184" i="7"/>
  <c r="G184" i="7"/>
  <c r="I184" i="7"/>
  <c r="K184" i="7"/>
  <c r="U184" i="7"/>
  <c r="D115" i="7"/>
  <c r="E115" i="7"/>
  <c r="F115" i="7"/>
  <c r="G115" i="7"/>
  <c r="I115" i="7"/>
  <c r="M115" i="7" s="1"/>
  <c r="R115" i="7" s="1"/>
  <c r="K115" i="7"/>
  <c r="Y115" i="7" s="1"/>
  <c r="U115" i="7"/>
  <c r="D121" i="7"/>
  <c r="E121" i="7"/>
  <c r="F121" i="7"/>
  <c r="G121" i="7"/>
  <c r="I121" i="7"/>
  <c r="K121" i="7"/>
  <c r="Y121" i="7" s="1"/>
  <c r="U121" i="7"/>
  <c r="D127" i="7"/>
  <c r="E127" i="7"/>
  <c r="F127" i="7"/>
  <c r="G127" i="7"/>
  <c r="I127" i="7"/>
  <c r="S127" i="7" s="1"/>
  <c r="K127" i="7"/>
  <c r="Y127" i="7" s="1"/>
  <c r="U127" i="7"/>
  <c r="D132" i="7"/>
  <c r="E132" i="7"/>
  <c r="F132" i="7"/>
  <c r="G132" i="7"/>
  <c r="I132" i="7"/>
  <c r="O132" i="7" s="1"/>
  <c r="R132" i="7" s="1"/>
  <c r="K132" i="7"/>
  <c r="U132" i="7"/>
  <c r="D139" i="7"/>
  <c r="E139" i="7"/>
  <c r="F139" i="7"/>
  <c r="G139" i="7"/>
  <c r="I139" i="7"/>
  <c r="AA139" i="7" s="1"/>
  <c r="K139" i="7"/>
  <c r="Y139" i="7" s="1"/>
  <c r="U139" i="7"/>
  <c r="D146" i="7"/>
  <c r="E146" i="7"/>
  <c r="F146" i="7"/>
  <c r="G146" i="7"/>
  <c r="I146" i="7"/>
  <c r="T146" i="7" s="1"/>
  <c r="K146" i="7"/>
  <c r="U146" i="7"/>
  <c r="D151" i="7"/>
  <c r="E151" i="7"/>
  <c r="F151" i="7"/>
  <c r="G151" i="7"/>
  <c r="I151" i="7"/>
  <c r="S151" i="7" s="1"/>
  <c r="K151" i="7"/>
  <c r="Y151" i="7" s="1"/>
  <c r="U151" i="7"/>
  <c r="D140" i="7"/>
  <c r="E140" i="7"/>
  <c r="F140" i="7"/>
  <c r="G140" i="7"/>
  <c r="I140" i="7"/>
  <c r="M140" i="7" s="1"/>
  <c r="R140" i="7" s="1"/>
  <c r="K140" i="7"/>
  <c r="Y140" i="7" s="1"/>
  <c r="U140" i="7"/>
  <c r="D144" i="7"/>
  <c r="E144" i="7"/>
  <c r="F144" i="7"/>
  <c r="G144" i="7"/>
  <c r="I144" i="7"/>
  <c r="T144" i="7" s="1"/>
  <c r="K144" i="7"/>
  <c r="Y144" i="7" s="1"/>
  <c r="U144" i="7"/>
  <c r="D149" i="7"/>
  <c r="E149" i="7"/>
  <c r="F149" i="7"/>
  <c r="G149" i="7"/>
  <c r="I149" i="7"/>
  <c r="S149" i="7" s="1"/>
  <c r="K149" i="7"/>
  <c r="Y149" i="7" s="1"/>
  <c r="U149" i="7"/>
  <c r="D153" i="7"/>
  <c r="E153" i="7"/>
  <c r="F153" i="7"/>
  <c r="G153" i="7"/>
  <c r="I153" i="7"/>
  <c r="O153" i="7" s="1"/>
  <c r="R153" i="7" s="1"/>
  <c r="K153" i="7"/>
  <c r="Y153" i="7" s="1"/>
  <c r="U153" i="7"/>
  <c r="D160" i="7"/>
  <c r="E160" i="7"/>
  <c r="F160" i="7"/>
  <c r="G160" i="7"/>
  <c r="I160" i="7"/>
  <c r="T160" i="7" s="1"/>
  <c r="K160" i="7"/>
  <c r="Y160" i="7" s="1"/>
  <c r="U160" i="7"/>
  <c r="D167" i="7"/>
  <c r="E167" i="7"/>
  <c r="F167" i="7"/>
  <c r="G167" i="7"/>
  <c r="I167" i="7"/>
  <c r="O167" i="7" s="1"/>
  <c r="R167" i="7" s="1"/>
  <c r="K167" i="7"/>
  <c r="U167" i="7"/>
  <c r="D174" i="7"/>
  <c r="E174" i="7"/>
  <c r="F174" i="7"/>
  <c r="G174" i="7"/>
  <c r="I174" i="7"/>
  <c r="M174" i="7" s="1"/>
  <c r="K174" i="7"/>
  <c r="Y174" i="7" s="1"/>
  <c r="U174" i="7"/>
  <c r="D169" i="7"/>
  <c r="E169" i="7"/>
  <c r="F169" i="7"/>
  <c r="G169" i="7"/>
  <c r="I169" i="7"/>
  <c r="AA169" i="7" s="1"/>
  <c r="K169" i="7"/>
  <c r="Y169" i="7" s="1"/>
  <c r="U169" i="7"/>
  <c r="D175" i="7"/>
  <c r="E175" i="7"/>
  <c r="F175" i="7"/>
  <c r="G175" i="7"/>
  <c r="I175" i="7"/>
  <c r="P175" i="7" s="1"/>
  <c r="K175" i="7"/>
  <c r="U175" i="7"/>
  <c r="D179" i="7"/>
  <c r="E179" i="7"/>
  <c r="F179" i="7"/>
  <c r="G179" i="7"/>
  <c r="I179" i="7"/>
  <c r="M179" i="7" s="1"/>
  <c r="K179" i="7"/>
  <c r="Y179" i="7" s="1"/>
  <c r="U179" i="7"/>
  <c r="D182" i="7"/>
  <c r="E182" i="7"/>
  <c r="F182" i="7"/>
  <c r="G182" i="7"/>
  <c r="I182" i="7"/>
  <c r="K182" i="7"/>
  <c r="Y182" i="7" s="1"/>
  <c r="U182" i="7"/>
  <c r="D185" i="7"/>
  <c r="E185" i="7"/>
  <c r="F185" i="7"/>
  <c r="G185" i="7"/>
  <c r="I185" i="7"/>
  <c r="O185" i="7" s="1"/>
  <c r="R185" i="7" s="1"/>
  <c r="K185" i="7"/>
  <c r="Y185" i="7" s="1"/>
  <c r="U185" i="7"/>
  <c r="D189" i="7"/>
  <c r="E189" i="7"/>
  <c r="F189" i="7"/>
  <c r="G189" i="7"/>
  <c r="I189" i="7"/>
  <c r="K189" i="7"/>
  <c r="Y189" i="7" s="1"/>
  <c r="U189" i="7"/>
  <c r="D191" i="7"/>
  <c r="E191" i="7"/>
  <c r="F191" i="7"/>
  <c r="G191" i="7"/>
  <c r="I191" i="7"/>
  <c r="K191" i="7"/>
  <c r="Y191" i="7" s="1"/>
  <c r="U191" i="7"/>
  <c r="D133" i="7"/>
  <c r="E133" i="7"/>
  <c r="F133" i="7"/>
  <c r="G133" i="7"/>
  <c r="I133" i="7"/>
  <c r="O133" i="7" s="1"/>
  <c r="K133" i="7"/>
  <c r="Y133" i="7" s="1"/>
  <c r="U133" i="7"/>
  <c r="D141" i="7"/>
  <c r="E141" i="7"/>
  <c r="F141" i="7"/>
  <c r="G141" i="7"/>
  <c r="I141" i="7"/>
  <c r="O141" i="7" s="1"/>
  <c r="K141" i="7"/>
  <c r="Y141" i="7" s="1"/>
  <c r="U141" i="7"/>
  <c r="D145" i="7"/>
  <c r="E145" i="7"/>
  <c r="F145" i="7"/>
  <c r="G145" i="7"/>
  <c r="I145" i="7"/>
  <c r="O145" i="7" s="1"/>
  <c r="R145" i="7" s="1"/>
  <c r="K145" i="7"/>
  <c r="Y145" i="7" s="1"/>
  <c r="U145" i="7"/>
  <c r="D150" i="7"/>
  <c r="E150" i="7"/>
  <c r="F150" i="7"/>
  <c r="G150" i="7"/>
  <c r="I150" i="7"/>
  <c r="K150" i="7"/>
  <c r="U150" i="7"/>
  <c r="D154" i="7"/>
  <c r="E154" i="7"/>
  <c r="F154" i="7"/>
  <c r="G154" i="7"/>
  <c r="I154" i="7"/>
  <c r="P154" i="7" s="1"/>
  <c r="K154" i="7"/>
  <c r="Y154" i="7" s="1"/>
  <c r="U154" i="7"/>
  <c r="D163" i="7"/>
  <c r="E163" i="7"/>
  <c r="F163" i="7"/>
  <c r="G163" i="7"/>
  <c r="I163" i="7"/>
  <c r="K163" i="7"/>
  <c r="Y163" i="7" s="1"/>
  <c r="U163" i="7"/>
  <c r="D170" i="7"/>
  <c r="E170" i="7"/>
  <c r="F170" i="7"/>
  <c r="G170" i="7"/>
  <c r="I170" i="7"/>
  <c r="S170" i="7" s="1"/>
  <c r="K170" i="7"/>
  <c r="Y170" i="7" s="1"/>
  <c r="U170" i="7"/>
  <c r="D155" i="7"/>
  <c r="E155" i="7"/>
  <c r="F155" i="7"/>
  <c r="G155" i="7"/>
  <c r="I155" i="7"/>
  <c r="M155" i="7" s="1"/>
  <c r="R155" i="7" s="1"/>
  <c r="K155" i="7"/>
  <c r="Y155" i="7" s="1"/>
  <c r="U155" i="7"/>
  <c r="D161" i="7"/>
  <c r="E161" i="7"/>
  <c r="F161" i="7"/>
  <c r="G161" i="7"/>
  <c r="I161" i="7"/>
  <c r="K161" i="7"/>
  <c r="Y161" i="7" s="1"/>
  <c r="U161" i="7"/>
  <c r="D166" i="7"/>
  <c r="E166" i="7"/>
  <c r="F166" i="7"/>
  <c r="G166" i="7"/>
  <c r="I166" i="7"/>
  <c r="M166" i="7" s="1"/>
  <c r="K166" i="7"/>
  <c r="Y166" i="7" s="1"/>
  <c r="U166" i="7"/>
  <c r="D172" i="7"/>
  <c r="E172" i="7"/>
  <c r="F172" i="7"/>
  <c r="G172" i="7"/>
  <c r="I172" i="7"/>
  <c r="AA172" i="7" s="1"/>
  <c r="K172" i="7"/>
  <c r="Y172" i="7" s="1"/>
  <c r="U172" i="7"/>
  <c r="D177" i="7"/>
  <c r="E177" i="7"/>
  <c r="F177" i="7"/>
  <c r="G177" i="7"/>
  <c r="I177" i="7"/>
  <c r="M177" i="7" s="1"/>
  <c r="K177" i="7"/>
  <c r="Y177" i="7" s="1"/>
  <c r="U177" i="7"/>
  <c r="D180" i="7"/>
  <c r="E180" i="7"/>
  <c r="F180" i="7"/>
  <c r="G180" i="7"/>
  <c r="I180" i="7"/>
  <c r="K180" i="7"/>
  <c r="U180" i="7"/>
  <c r="D186" i="7"/>
  <c r="E186" i="7"/>
  <c r="F186" i="7"/>
  <c r="G186" i="7"/>
  <c r="I186" i="7"/>
  <c r="O186" i="7" s="1"/>
  <c r="R186" i="7" s="1"/>
  <c r="K186" i="7"/>
  <c r="Y186" i="7" s="1"/>
  <c r="U186" i="7"/>
  <c r="D183" i="7"/>
  <c r="E183" i="7"/>
  <c r="F183" i="7"/>
  <c r="G183" i="7"/>
  <c r="I183" i="7"/>
  <c r="O183" i="7" s="1"/>
  <c r="K183" i="7"/>
  <c r="Y183" i="7" s="1"/>
  <c r="U183" i="7"/>
  <c r="D187" i="7"/>
  <c r="E187" i="7"/>
  <c r="F187" i="7"/>
  <c r="G187" i="7"/>
  <c r="I187" i="7"/>
  <c r="S187" i="7" s="1"/>
  <c r="K187" i="7"/>
  <c r="Y187" i="7" s="1"/>
  <c r="U187" i="7"/>
  <c r="D188" i="7"/>
  <c r="E188" i="7"/>
  <c r="F188" i="7"/>
  <c r="G188" i="7"/>
  <c r="I188" i="7"/>
  <c r="S188" i="7" s="1"/>
  <c r="K188" i="7"/>
  <c r="U188" i="7"/>
  <c r="D190" i="7"/>
  <c r="E190" i="7"/>
  <c r="F190" i="7"/>
  <c r="G190" i="7"/>
  <c r="I190" i="7"/>
  <c r="M190" i="7" s="1"/>
  <c r="K190" i="7"/>
  <c r="Y190" i="7" s="1"/>
  <c r="U190" i="7"/>
  <c r="D192" i="7"/>
  <c r="E192" i="7"/>
  <c r="F192" i="7"/>
  <c r="G192" i="7"/>
  <c r="I192" i="7"/>
  <c r="AA192" i="7" s="1"/>
  <c r="K192" i="7"/>
  <c r="Y192" i="7" s="1"/>
  <c r="U192" i="7"/>
  <c r="D193" i="7"/>
  <c r="E193" i="7"/>
  <c r="F193" i="7"/>
  <c r="G193" i="7"/>
  <c r="I193" i="7"/>
  <c r="O193" i="7" s="1"/>
  <c r="R193" i="7" s="1"/>
  <c r="K193" i="7"/>
  <c r="Y193" i="7" s="1"/>
  <c r="U193" i="7"/>
  <c r="D194" i="7"/>
  <c r="E194" i="7"/>
  <c r="F194" i="7"/>
  <c r="G194" i="7"/>
  <c r="I194" i="7"/>
  <c r="T194" i="7" s="1"/>
  <c r="K194" i="7"/>
  <c r="Y194" i="7" s="1"/>
  <c r="U194" i="7"/>
  <c r="D85" i="7"/>
  <c r="E85" i="7"/>
  <c r="F85" i="7"/>
  <c r="G85" i="7"/>
  <c r="I85" i="7"/>
  <c r="K85" i="7"/>
  <c r="U85" i="7"/>
  <c r="Q7" i="6"/>
  <c r="P7" i="6"/>
  <c r="O7" i="6"/>
  <c r="N7" i="6"/>
  <c r="J7" i="6"/>
  <c r="G7" i="6"/>
  <c r="F7" i="6"/>
  <c r="E7" i="6"/>
  <c r="K7" i="6" s="1"/>
  <c r="D7" i="6"/>
  <c r="U7" i="6"/>
  <c r="I7" i="6"/>
  <c r="L7" i="6" s="1"/>
  <c r="V59" i="7" l="1"/>
  <c r="W134" i="7"/>
  <c r="H7" i="8"/>
  <c r="Z209" i="5"/>
  <c r="Y191" i="5"/>
  <c r="Z191" i="5"/>
  <c r="Z224" i="5"/>
  <c r="Y196" i="5"/>
  <c r="Z196" i="5" s="1"/>
  <c r="Y227" i="5"/>
  <c r="Z227" i="5" s="1"/>
  <c r="Y224" i="5"/>
  <c r="Y219" i="5"/>
  <c r="Y226" i="5"/>
  <c r="Z226" i="5" s="1"/>
  <c r="Y221" i="5"/>
  <c r="Z221" i="5" s="1"/>
  <c r="Z198" i="5"/>
  <c r="Z148" i="5"/>
  <c r="Y203" i="5"/>
  <c r="Z203" i="5" s="1"/>
  <c r="Z193" i="5"/>
  <c r="V225" i="5"/>
  <c r="H135" i="7"/>
  <c r="L59" i="7"/>
  <c r="H59" i="7"/>
  <c r="M226" i="5"/>
  <c r="K225" i="5"/>
  <c r="U224" i="5"/>
  <c r="H224" i="5"/>
  <c r="H217" i="5"/>
  <c r="M217" i="5"/>
  <c r="S214" i="5"/>
  <c r="W214" i="5" s="1"/>
  <c r="Y214" i="5" s="1"/>
  <c r="Z214" i="5" s="1"/>
  <c r="S213" i="5"/>
  <c r="W213" i="5" s="1"/>
  <c r="Y213" i="5" s="1"/>
  <c r="Z213" i="5" s="1"/>
  <c r="H208" i="5"/>
  <c r="P208" i="5"/>
  <c r="T205" i="5"/>
  <c r="H199" i="5"/>
  <c r="M199" i="5"/>
  <c r="X196" i="5"/>
  <c r="S196" i="5"/>
  <c r="W196" i="5" s="1"/>
  <c r="S195" i="5"/>
  <c r="W195" i="5" s="1"/>
  <c r="Y195" i="5" s="1"/>
  <c r="Z195" i="5" s="1"/>
  <c r="H189" i="5"/>
  <c r="N189" i="5"/>
  <c r="Q189" i="5"/>
  <c r="M189" i="5"/>
  <c r="P188" i="5"/>
  <c r="H182" i="5"/>
  <c r="L182" i="5"/>
  <c r="O182" i="5" s="1"/>
  <c r="X182" i="5"/>
  <c r="Y182" i="5" s="1"/>
  <c r="Z182" i="5" s="1"/>
  <c r="Q182" i="5"/>
  <c r="X180" i="5"/>
  <c r="K168" i="5"/>
  <c r="U156" i="5"/>
  <c r="H152" i="5"/>
  <c r="Q152" i="5"/>
  <c r="N152" i="5"/>
  <c r="X152" i="5"/>
  <c r="P152" i="5"/>
  <c r="S139" i="5"/>
  <c r="W139" i="5" s="1"/>
  <c r="Y139" i="5" s="1"/>
  <c r="Z139" i="5" s="1"/>
  <c r="K137" i="5"/>
  <c r="T137" i="5"/>
  <c r="AA48" i="7"/>
  <c r="S48" i="7"/>
  <c r="T224" i="5"/>
  <c r="H214" i="5"/>
  <c r="P214" i="5"/>
  <c r="H194" i="5"/>
  <c r="L194" i="5"/>
  <c r="O194" i="5" s="1"/>
  <c r="X194" i="5"/>
  <c r="Y194" i="5" s="1"/>
  <c r="Z194" i="5" s="1"/>
  <c r="T191" i="5"/>
  <c r="T180" i="5"/>
  <c r="K180" i="5"/>
  <c r="K226" i="5"/>
  <c r="H225" i="5"/>
  <c r="Q223" i="5"/>
  <c r="H220" i="5"/>
  <c r="P220" i="5"/>
  <c r="K218" i="5"/>
  <c r="T217" i="5"/>
  <c r="K209" i="5"/>
  <c r="U208" i="5"/>
  <c r="H206" i="5"/>
  <c r="L206" i="5"/>
  <c r="O206" i="5" s="1"/>
  <c r="X206" i="5"/>
  <c r="H202" i="5"/>
  <c r="P202" i="5"/>
  <c r="K200" i="5"/>
  <c r="T199" i="5"/>
  <c r="H192" i="5"/>
  <c r="Y189" i="5"/>
  <c r="Z189" i="5"/>
  <c r="S187" i="5"/>
  <c r="W187" i="5" s="1"/>
  <c r="Y187" i="5" s="1"/>
  <c r="Z187" i="5" s="1"/>
  <c r="H186" i="5"/>
  <c r="M186" i="5"/>
  <c r="K184" i="5"/>
  <c r="U180" i="5"/>
  <c r="K177" i="5"/>
  <c r="T165" i="5"/>
  <c r="U165" i="5"/>
  <c r="K165" i="5"/>
  <c r="S158" i="5"/>
  <c r="W158" i="5" s="1"/>
  <c r="Y158" i="5" s="1"/>
  <c r="Z158" i="5" s="1"/>
  <c r="H150" i="5"/>
  <c r="M150" i="5"/>
  <c r="N150" i="5"/>
  <c r="L150" i="5"/>
  <c r="O150" i="5" s="1"/>
  <c r="U150" i="5"/>
  <c r="AA51" i="7"/>
  <c r="S51" i="7"/>
  <c r="V220" i="5"/>
  <c r="Y220" i="5" s="1"/>
  <c r="Z220" i="5" s="1"/>
  <c r="P219" i="5"/>
  <c r="U214" i="5"/>
  <c r="H212" i="5"/>
  <c r="L212" i="5"/>
  <c r="O212" i="5" s="1"/>
  <c r="X212" i="5"/>
  <c r="Y212" i="5" s="1"/>
  <c r="Z212" i="5" s="1"/>
  <c r="V206" i="5"/>
  <c r="Y206" i="5" s="1"/>
  <c r="Z206" i="5" s="1"/>
  <c r="V202" i="5"/>
  <c r="Y202" i="5" s="1"/>
  <c r="Z202" i="5" s="1"/>
  <c r="P201" i="5"/>
  <c r="U196" i="5"/>
  <c r="H174" i="5"/>
  <c r="P174" i="5"/>
  <c r="U174" i="5"/>
  <c r="N174" i="5"/>
  <c r="H167" i="5"/>
  <c r="M167" i="5"/>
  <c r="P167" i="5"/>
  <c r="Q167" i="5"/>
  <c r="X167" i="5"/>
  <c r="Y167" i="5" s="1"/>
  <c r="Z167" i="5" s="1"/>
  <c r="H158" i="5"/>
  <c r="Q158" i="5"/>
  <c r="N158" i="5"/>
  <c r="M158" i="5"/>
  <c r="U158" i="5"/>
  <c r="L158" i="5"/>
  <c r="O158" i="5" s="1"/>
  <c r="T153" i="5"/>
  <c r="U153" i="5"/>
  <c r="K153" i="5"/>
  <c r="S150" i="5"/>
  <c r="W150" i="5" s="1"/>
  <c r="T150" i="5"/>
  <c r="K227" i="5"/>
  <c r="K221" i="5"/>
  <c r="H218" i="5"/>
  <c r="L218" i="5"/>
  <c r="O218" i="5" s="1"/>
  <c r="X218" i="5"/>
  <c r="H200" i="5"/>
  <c r="L200" i="5"/>
  <c r="O200" i="5" s="1"/>
  <c r="X200" i="5"/>
  <c r="U194" i="5"/>
  <c r="V192" i="5"/>
  <c r="Y192" i="5" s="1"/>
  <c r="Z192" i="5" s="1"/>
  <c r="T189" i="5"/>
  <c r="H188" i="5"/>
  <c r="L188" i="5"/>
  <c r="O188" i="5" s="1"/>
  <c r="X188" i="5"/>
  <c r="Q188" i="5"/>
  <c r="U182" i="5"/>
  <c r="K181" i="5"/>
  <c r="H177" i="5"/>
  <c r="N177" i="5"/>
  <c r="Q177" i="5"/>
  <c r="M177" i="5"/>
  <c r="S122" i="5"/>
  <c r="W122" i="5" s="1"/>
  <c r="V122" i="5"/>
  <c r="N223" i="5"/>
  <c r="M219" i="5"/>
  <c r="V218" i="5"/>
  <c r="Y218" i="5" s="1"/>
  <c r="Z218" i="5" s="1"/>
  <c r="U212" i="5"/>
  <c r="M201" i="5"/>
  <c r="V200" i="5"/>
  <c r="T194" i="5"/>
  <c r="T192" i="5"/>
  <c r="K192" i="5"/>
  <c r="K190" i="5"/>
  <c r="V186" i="5"/>
  <c r="Y186" i="5" s="1"/>
  <c r="Z186" i="5" s="1"/>
  <c r="T186" i="5"/>
  <c r="K186" i="5"/>
  <c r="T182" i="5"/>
  <c r="P180" i="5"/>
  <c r="X177" i="5"/>
  <c r="X174" i="5"/>
  <c r="Y174" i="5" s="1"/>
  <c r="Z174" i="5" s="1"/>
  <c r="K173" i="5"/>
  <c r="K162" i="5"/>
  <c r="U151" i="5"/>
  <c r="K151" i="5"/>
  <c r="L108" i="7"/>
  <c r="U227" i="5"/>
  <c r="H227" i="5"/>
  <c r="Q225" i="5"/>
  <c r="M223" i="5"/>
  <c r="U221" i="5"/>
  <c r="H221" i="5"/>
  <c r="L219" i="5"/>
  <c r="O219" i="5" s="1"/>
  <c r="U218" i="5"/>
  <c r="Q214" i="5"/>
  <c r="H210" i="5"/>
  <c r="N205" i="5"/>
  <c r="L201" i="5"/>
  <c r="O201" i="5" s="1"/>
  <c r="U200" i="5"/>
  <c r="S190" i="5"/>
  <c r="W190" i="5" s="1"/>
  <c r="Y190" i="5" s="1"/>
  <c r="Z190" i="5" s="1"/>
  <c r="U186" i="5"/>
  <c r="V179" i="5"/>
  <c r="Y179" i="5" s="1"/>
  <c r="Z179" i="5" s="1"/>
  <c r="T167" i="5"/>
  <c r="K167" i="5"/>
  <c r="H161" i="5"/>
  <c r="L161" i="5"/>
  <c r="O161" i="5" s="1"/>
  <c r="X161" i="5"/>
  <c r="Y161" i="5" s="1"/>
  <c r="Z161" i="5" s="1"/>
  <c r="M161" i="5"/>
  <c r="Q161" i="5"/>
  <c r="N161" i="5"/>
  <c r="P161" i="5"/>
  <c r="T159" i="5"/>
  <c r="U159" i="5"/>
  <c r="K159" i="5"/>
  <c r="K158" i="5"/>
  <c r="H155" i="5"/>
  <c r="L155" i="5"/>
  <c r="O155" i="5" s="1"/>
  <c r="X155" i="5"/>
  <c r="M155" i="5"/>
  <c r="Q155" i="5"/>
  <c r="N155" i="5"/>
  <c r="U155" i="5"/>
  <c r="V151" i="5"/>
  <c r="Y136" i="5"/>
  <c r="Z136" i="5" s="1"/>
  <c r="H196" i="5"/>
  <c r="P196" i="5"/>
  <c r="H149" i="5"/>
  <c r="L149" i="5"/>
  <c r="O149" i="5" s="1"/>
  <c r="X149" i="5"/>
  <c r="M149" i="5"/>
  <c r="Q149" i="5"/>
  <c r="P149" i="5"/>
  <c r="Z142" i="5"/>
  <c r="H124" i="5"/>
  <c r="P124" i="5"/>
  <c r="U124" i="5"/>
  <c r="N124" i="5"/>
  <c r="L124" i="5"/>
  <c r="O124" i="5" s="1"/>
  <c r="M124" i="5"/>
  <c r="X124" i="5"/>
  <c r="P225" i="5"/>
  <c r="X223" i="5"/>
  <c r="Y223" i="5" s="1"/>
  <c r="Z223" i="5" s="1"/>
  <c r="Q220" i="5"/>
  <c r="H216" i="5"/>
  <c r="H207" i="5"/>
  <c r="N207" i="5"/>
  <c r="Q207" i="5"/>
  <c r="L205" i="5"/>
  <c r="O205" i="5" s="1"/>
  <c r="Q202" i="5"/>
  <c r="H198" i="5"/>
  <c r="Q192" i="5"/>
  <c r="H190" i="5"/>
  <c r="P190" i="5"/>
  <c r="V188" i="5"/>
  <c r="Y188" i="5" s="1"/>
  <c r="Z188" i="5" s="1"/>
  <c r="K188" i="5"/>
  <c r="V184" i="5"/>
  <c r="Y184" i="5" s="1"/>
  <c r="Z184" i="5" s="1"/>
  <c r="S183" i="5"/>
  <c r="W183" i="5" s="1"/>
  <c r="N180" i="5"/>
  <c r="V177" i="5"/>
  <c r="S168" i="5"/>
  <c r="W168" i="5" s="1"/>
  <c r="Y168" i="5" s="1"/>
  <c r="Z168" i="5" s="1"/>
  <c r="U163" i="5"/>
  <c r="K163" i="5"/>
  <c r="V159" i="5"/>
  <c r="Y159" i="5" s="1"/>
  <c r="Z159" i="5" s="1"/>
  <c r="T151" i="5"/>
  <c r="X150" i="5"/>
  <c r="U149" i="5"/>
  <c r="H144" i="5"/>
  <c r="M144" i="5"/>
  <c r="N144" i="5"/>
  <c r="X144" i="5"/>
  <c r="Q144" i="5"/>
  <c r="Q226" i="5"/>
  <c r="M224" i="5"/>
  <c r="K223" i="5"/>
  <c r="H222" i="5"/>
  <c r="N217" i="5"/>
  <c r="N214" i="5"/>
  <c r="H213" i="5"/>
  <c r="N213" i="5"/>
  <c r="Q213" i="5"/>
  <c r="U210" i="5"/>
  <c r="M208" i="5"/>
  <c r="V207" i="5"/>
  <c r="Y207" i="5" s="1"/>
  <c r="Q206" i="5"/>
  <c r="N199" i="5"/>
  <c r="N196" i="5"/>
  <c r="H195" i="5"/>
  <c r="N195" i="5"/>
  <c r="Q195" i="5"/>
  <c r="Q194" i="5"/>
  <c r="P192" i="5"/>
  <c r="U188" i="5"/>
  <c r="K187" i="5"/>
  <c r="Q186" i="5"/>
  <c r="H183" i="5"/>
  <c r="N183" i="5"/>
  <c r="Q183" i="5"/>
  <c r="M183" i="5"/>
  <c r="P182" i="5"/>
  <c r="U177" i="5"/>
  <c r="H176" i="5"/>
  <c r="N176" i="5"/>
  <c r="X176" i="5"/>
  <c r="Y176" i="5" s="1"/>
  <c r="Z176" i="5" s="1"/>
  <c r="Q176" i="5"/>
  <c r="S149" i="5"/>
  <c r="W149" i="5" s="1"/>
  <c r="Y149" i="5" s="1"/>
  <c r="Z149" i="5" s="1"/>
  <c r="U145" i="5"/>
  <c r="K145" i="5"/>
  <c r="U132" i="5"/>
  <c r="K132" i="5"/>
  <c r="H84" i="5"/>
  <c r="N84" i="5"/>
  <c r="Q84" i="5"/>
  <c r="M84" i="5"/>
  <c r="L84" i="5"/>
  <c r="O84" i="5" s="1"/>
  <c r="P84" i="5"/>
  <c r="U84" i="5"/>
  <c r="X84" i="5"/>
  <c r="H219" i="5"/>
  <c r="N219" i="5"/>
  <c r="Q219" i="5"/>
  <c r="M214" i="5"/>
  <c r="T210" i="5"/>
  <c r="K210" i="5"/>
  <c r="Z207" i="5"/>
  <c r="H201" i="5"/>
  <c r="N201" i="5"/>
  <c r="Q201" i="5"/>
  <c r="M196" i="5"/>
  <c r="P194" i="5"/>
  <c r="S180" i="5"/>
  <c r="W180" i="5" s="1"/>
  <c r="Y180" i="5" s="1"/>
  <c r="Z180" i="5" s="1"/>
  <c r="K175" i="5"/>
  <c r="S175" i="5"/>
  <c r="W175" i="5" s="1"/>
  <c r="Y175" i="5" s="1"/>
  <c r="Z175" i="5" s="1"/>
  <c r="U167" i="5"/>
  <c r="K161" i="5"/>
  <c r="T161" i="5"/>
  <c r="X158" i="5"/>
  <c r="K155" i="5"/>
  <c r="T155" i="5"/>
  <c r="S155" i="5"/>
  <c r="W155" i="5" s="1"/>
  <c r="Y155" i="5" s="1"/>
  <c r="Z155" i="5" s="1"/>
  <c r="T135" i="5"/>
  <c r="U135" i="5"/>
  <c r="U223" i="5"/>
  <c r="H223" i="5"/>
  <c r="T216" i="5"/>
  <c r="K216" i="5"/>
  <c r="L214" i="5"/>
  <c r="O214" i="5" s="1"/>
  <c r="P212" i="5"/>
  <c r="H205" i="5"/>
  <c r="M205" i="5"/>
  <c r="Q200" i="5"/>
  <c r="T198" i="5"/>
  <c r="K198" i="5"/>
  <c r="L196" i="5"/>
  <c r="O196" i="5" s="1"/>
  <c r="N194" i="5"/>
  <c r="T193" i="5"/>
  <c r="V185" i="5"/>
  <c r="Y185" i="5" s="1"/>
  <c r="Z185" i="5" s="1"/>
  <c r="Z183" i="5"/>
  <c r="S181" i="5"/>
  <c r="W181" i="5" s="1"/>
  <c r="Y181" i="5" s="1"/>
  <c r="Z181" i="5" s="1"/>
  <c r="H180" i="5"/>
  <c r="M180" i="5"/>
  <c r="K178" i="5"/>
  <c r="Q174" i="5"/>
  <c r="S170" i="5"/>
  <c r="W170" i="5" s="1"/>
  <c r="V170" i="5"/>
  <c r="Y170" i="5" s="1"/>
  <c r="Z170" i="5" s="1"/>
  <c r="T154" i="5"/>
  <c r="S154" i="5"/>
  <c r="W154" i="5" s="1"/>
  <c r="Y154" i="5" s="1"/>
  <c r="S147" i="5"/>
  <c r="W147" i="5" s="1"/>
  <c r="V147" i="5"/>
  <c r="H136" i="7"/>
  <c r="P227" i="5"/>
  <c r="N226" i="5"/>
  <c r="X225" i="5"/>
  <c r="L225" i="5"/>
  <c r="O225" i="5" s="1"/>
  <c r="P221" i="5"/>
  <c r="L220" i="5"/>
  <c r="O220" i="5" s="1"/>
  <c r="U219" i="5"/>
  <c r="Z219" i="5"/>
  <c r="P218" i="5"/>
  <c r="N212" i="5"/>
  <c r="Y211" i="5"/>
  <c r="Z211" i="5" s="1"/>
  <c r="H211" i="5"/>
  <c r="M211" i="5"/>
  <c r="Q210" i="5"/>
  <c r="X208" i="5"/>
  <c r="S208" i="5"/>
  <c r="W208" i="5" s="1"/>
  <c r="Y208" i="5" s="1"/>
  <c r="Z208" i="5" s="1"/>
  <c r="M206" i="5"/>
  <c r="U205" i="5"/>
  <c r="L202" i="5"/>
  <c r="O202" i="5" s="1"/>
  <c r="U201" i="5"/>
  <c r="Z201" i="5"/>
  <c r="P200" i="5"/>
  <c r="M194" i="5"/>
  <c r="M192" i="5"/>
  <c r="N186" i="5"/>
  <c r="V183" i="5"/>
  <c r="Y183" i="5" s="1"/>
  <c r="S178" i="5"/>
  <c r="W178" i="5" s="1"/>
  <c r="Y178" i="5" s="1"/>
  <c r="Z178" i="5" s="1"/>
  <c r="P177" i="5"/>
  <c r="M174" i="5"/>
  <c r="S173" i="5"/>
  <c r="W173" i="5" s="1"/>
  <c r="Y173" i="5" s="1"/>
  <c r="Z173" i="5" s="1"/>
  <c r="K172" i="5"/>
  <c r="S172" i="5"/>
  <c r="W172" i="5" s="1"/>
  <c r="V172" i="5"/>
  <c r="Z154" i="5"/>
  <c r="S152" i="5"/>
  <c r="W152" i="5" s="1"/>
  <c r="V152" i="5"/>
  <c r="Y152" i="5" s="1"/>
  <c r="Z152" i="5" s="1"/>
  <c r="Q150" i="5"/>
  <c r="N149" i="5"/>
  <c r="T145" i="5"/>
  <c r="Y138" i="5"/>
  <c r="Z138" i="5" s="1"/>
  <c r="V133" i="5"/>
  <c r="Q124" i="5"/>
  <c r="H193" i="5"/>
  <c r="H187" i="5"/>
  <c r="H181" i="5"/>
  <c r="H173" i="5"/>
  <c r="M173" i="5"/>
  <c r="S166" i="5"/>
  <c r="W166" i="5" s="1"/>
  <c r="Y166" i="5" s="1"/>
  <c r="Z166" i="5" s="1"/>
  <c r="S156" i="5"/>
  <c r="W156" i="5" s="1"/>
  <c r="Y156" i="5" s="1"/>
  <c r="Z156" i="5" s="1"/>
  <c r="S153" i="5"/>
  <c r="W153" i="5" s="1"/>
  <c r="Y153" i="5" s="1"/>
  <c r="Z153" i="5" s="1"/>
  <c r="K133" i="5"/>
  <c r="T129" i="5"/>
  <c r="U129" i="5"/>
  <c r="S128" i="5"/>
  <c r="W128" i="5" s="1"/>
  <c r="Y128" i="5" s="1"/>
  <c r="Z128" i="5" s="1"/>
  <c r="S124" i="5"/>
  <c r="W124" i="5" s="1"/>
  <c r="V124" i="5"/>
  <c r="Y117" i="5"/>
  <c r="S86" i="5"/>
  <c r="W86" i="5" s="1"/>
  <c r="V86" i="5"/>
  <c r="S84" i="5"/>
  <c r="W84" i="5" s="1"/>
  <c r="V84" i="5"/>
  <c r="K84" i="5"/>
  <c r="Z125" i="5"/>
  <c r="H123" i="5"/>
  <c r="N123" i="5"/>
  <c r="Q123" i="5"/>
  <c r="M123" i="5"/>
  <c r="L123" i="5"/>
  <c r="O123" i="5" s="1"/>
  <c r="H122" i="5"/>
  <c r="L122" i="5"/>
  <c r="O122" i="5" s="1"/>
  <c r="X122" i="5"/>
  <c r="P122" i="5"/>
  <c r="M122" i="5"/>
  <c r="S87" i="5"/>
  <c r="W87" i="5" s="1"/>
  <c r="K87" i="5"/>
  <c r="S74" i="5"/>
  <c r="W74" i="5" s="1"/>
  <c r="V74" i="5"/>
  <c r="Z109" i="5"/>
  <c r="T108" i="5"/>
  <c r="K108" i="5"/>
  <c r="K121" i="5"/>
  <c r="K118" i="5"/>
  <c r="S116" i="5"/>
  <c r="W116" i="5" s="1"/>
  <c r="T109" i="5"/>
  <c r="U103" i="5"/>
  <c r="T103" i="5"/>
  <c r="K103" i="5"/>
  <c r="H126" i="5"/>
  <c r="L126" i="5"/>
  <c r="O126" i="5" s="1"/>
  <c r="X126" i="5"/>
  <c r="P126" i="5"/>
  <c r="Q126" i="5"/>
  <c r="M126" i="5"/>
  <c r="K122" i="5"/>
  <c r="S118" i="5"/>
  <c r="W118" i="5" s="1"/>
  <c r="K97" i="5"/>
  <c r="S97" i="5"/>
  <c r="W97" i="5" s="1"/>
  <c r="H184" i="5"/>
  <c r="H178" i="5"/>
  <c r="H168" i="5"/>
  <c r="S141" i="5"/>
  <c r="W141" i="5" s="1"/>
  <c r="P137" i="5"/>
  <c r="H132" i="5"/>
  <c r="M132" i="5"/>
  <c r="N132" i="5"/>
  <c r="T130" i="5"/>
  <c r="Z127" i="5"/>
  <c r="X123" i="5"/>
  <c r="K95" i="5"/>
  <c r="S95" i="5"/>
  <c r="W95" i="5" s="1"/>
  <c r="V95" i="5"/>
  <c r="V87" i="5"/>
  <c r="Y87" i="5" s="1"/>
  <c r="H164" i="5"/>
  <c r="N164" i="5"/>
  <c r="H162" i="5"/>
  <c r="N162" i="5"/>
  <c r="K149" i="5"/>
  <c r="T149" i="5"/>
  <c r="T147" i="5"/>
  <c r="U147" i="5"/>
  <c r="S146" i="5"/>
  <c r="W146" i="5" s="1"/>
  <c r="Y144" i="5"/>
  <c r="Z144" i="5" s="1"/>
  <c r="H143" i="5"/>
  <c r="L143" i="5"/>
  <c r="O143" i="5" s="1"/>
  <c r="X143" i="5"/>
  <c r="Y143" i="5" s="1"/>
  <c r="Z143" i="5" s="1"/>
  <c r="M143" i="5"/>
  <c r="Q143" i="5"/>
  <c r="S132" i="5"/>
  <c r="W132" i="5" s="1"/>
  <c r="Y132" i="5" s="1"/>
  <c r="Z132" i="5" s="1"/>
  <c r="Y127" i="5"/>
  <c r="S120" i="5"/>
  <c r="W120" i="5" s="1"/>
  <c r="V120" i="5"/>
  <c r="T114" i="5"/>
  <c r="K114" i="5"/>
  <c r="H106" i="5"/>
  <c r="P106" i="5"/>
  <c r="L106" i="5"/>
  <c r="O106" i="5" s="1"/>
  <c r="M106" i="5"/>
  <c r="U106" i="5"/>
  <c r="X106" i="5"/>
  <c r="S105" i="5"/>
  <c r="W105" i="5" s="1"/>
  <c r="Y105" i="5" s="1"/>
  <c r="Z105" i="5" s="1"/>
  <c r="Z81" i="5"/>
  <c r="M193" i="5"/>
  <c r="M187" i="5"/>
  <c r="M181" i="5"/>
  <c r="H175" i="5"/>
  <c r="Q175" i="5"/>
  <c r="L175" i="5"/>
  <c r="O175" i="5" s="1"/>
  <c r="X175" i="5"/>
  <c r="N173" i="5"/>
  <c r="X164" i="5"/>
  <c r="Y164" i="5" s="1"/>
  <c r="Z164" i="5" s="1"/>
  <c r="S162" i="5"/>
  <c r="W162" i="5" s="1"/>
  <c r="Y162" i="5" s="1"/>
  <c r="Z162" i="5" s="1"/>
  <c r="K152" i="5"/>
  <c r="H146" i="5"/>
  <c r="Q146" i="5"/>
  <c r="N146" i="5"/>
  <c r="H138" i="5"/>
  <c r="M138" i="5"/>
  <c r="N138" i="5"/>
  <c r="H131" i="5"/>
  <c r="L131" i="5"/>
  <c r="O131" i="5" s="1"/>
  <c r="X131" i="5"/>
  <c r="Y131" i="5" s="1"/>
  <c r="Z131" i="5" s="1"/>
  <c r="M131" i="5"/>
  <c r="Q131" i="5"/>
  <c r="S129" i="5"/>
  <c r="W129" i="5" s="1"/>
  <c r="K126" i="5"/>
  <c r="U123" i="5"/>
  <c r="Z101" i="5"/>
  <c r="H89" i="5"/>
  <c r="M89" i="5"/>
  <c r="X89" i="5"/>
  <c r="N89" i="5"/>
  <c r="P89" i="5"/>
  <c r="L89" i="5"/>
  <c r="O89" i="5" s="1"/>
  <c r="Q89" i="5"/>
  <c r="U89" i="5"/>
  <c r="Z117" i="5"/>
  <c r="V111" i="5"/>
  <c r="Y111" i="5" s="1"/>
  <c r="Z111" i="5" s="1"/>
  <c r="K111" i="5"/>
  <c r="S96" i="5"/>
  <c r="W96" i="5" s="1"/>
  <c r="V96" i="5"/>
  <c r="K96" i="5"/>
  <c r="Y81" i="5"/>
  <c r="S72" i="5"/>
  <c r="W72" i="5" s="1"/>
  <c r="T72" i="5"/>
  <c r="H60" i="5"/>
  <c r="L60" i="5"/>
  <c r="O60" i="5" s="1"/>
  <c r="X60" i="5"/>
  <c r="N60" i="5"/>
  <c r="P60" i="5"/>
  <c r="Q60" i="5"/>
  <c r="M60" i="5"/>
  <c r="U60" i="5"/>
  <c r="K143" i="5"/>
  <c r="T143" i="5"/>
  <c r="Y141" i="5"/>
  <c r="Z141" i="5" s="1"/>
  <c r="T141" i="5"/>
  <c r="U141" i="5"/>
  <c r="H137" i="5"/>
  <c r="L137" i="5"/>
  <c r="O137" i="5" s="1"/>
  <c r="X137" i="5"/>
  <c r="Y137" i="5" s="1"/>
  <c r="Z137" i="5" s="1"/>
  <c r="M137" i="5"/>
  <c r="Q137" i="5"/>
  <c r="S135" i="5"/>
  <c r="W135" i="5" s="1"/>
  <c r="Y135" i="5" s="1"/>
  <c r="Z135" i="5" s="1"/>
  <c r="V126" i="5"/>
  <c r="Y126" i="5" s="1"/>
  <c r="Z126" i="5" s="1"/>
  <c r="S121" i="5"/>
  <c r="W121" i="5" s="1"/>
  <c r="Y113" i="5"/>
  <c r="Z113" i="5" s="1"/>
  <c r="H112" i="5"/>
  <c r="P112" i="5"/>
  <c r="L112" i="5"/>
  <c r="O112" i="5" s="1"/>
  <c r="M112" i="5"/>
  <c r="N112" i="5"/>
  <c r="Q112" i="5"/>
  <c r="H111" i="5"/>
  <c r="N111" i="5"/>
  <c r="Q111" i="5"/>
  <c r="M111" i="5"/>
  <c r="U111" i="5"/>
  <c r="L111" i="5"/>
  <c r="O111" i="5" s="1"/>
  <c r="S110" i="5"/>
  <c r="W110" i="5" s="1"/>
  <c r="Y110" i="5" s="1"/>
  <c r="Z110" i="5" s="1"/>
  <c r="T110" i="5"/>
  <c r="T106" i="5"/>
  <c r="K106" i="5"/>
  <c r="Y102" i="5"/>
  <c r="Z102" i="5" s="1"/>
  <c r="H96" i="5"/>
  <c r="Q96" i="5"/>
  <c r="U96" i="5"/>
  <c r="P96" i="5"/>
  <c r="L96" i="5"/>
  <c r="O96" i="5" s="1"/>
  <c r="M96" i="5"/>
  <c r="N96" i="5"/>
  <c r="X96" i="5"/>
  <c r="T60" i="5"/>
  <c r="S60" i="5"/>
  <c r="W60" i="5" s="1"/>
  <c r="Y60" i="5" s="1"/>
  <c r="Z60" i="5" s="1"/>
  <c r="P184" i="5"/>
  <c r="P178" i="5"/>
  <c r="X173" i="5"/>
  <c r="H170" i="5"/>
  <c r="N170" i="5"/>
  <c r="Q168" i="5"/>
  <c r="T162" i="5"/>
  <c r="H156" i="5"/>
  <c r="M156" i="5"/>
  <c r="N156" i="5"/>
  <c r="V146" i="5"/>
  <c r="Y146" i="5" s="1"/>
  <c r="Z146" i="5" s="1"/>
  <c r="K146" i="5"/>
  <c r="H140" i="5"/>
  <c r="Q140" i="5"/>
  <c r="N140" i="5"/>
  <c r="T132" i="5"/>
  <c r="K131" i="5"/>
  <c r="T131" i="5"/>
  <c r="V129" i="5"/>
  <c r="U126" i="5"/>
  <c r="P123" i="5"/>
  <c r="Q122" i="5"/>
  <c r="V118" i="5"/>
  <c r="Y118" i="5" s="1"/>
  <c r="Z118" i="5" s="1"/>
  <c r="U114" i="5"/>
  <c r="X163" i="5"/>
  <c r="Y163" i="5" s="1"/>
  <c r="Z163" i="5" s="1"/>
  <c r="X157" i="5"/>
  <c r="Y157" i="5" s="1"/>
  <c r="Z157" i="5" s="1"/>
  <c r="X151" i="5"/>
  <c r="X145" i="5"/>
  <c r="Y145" i="5" s="1"/>
  <c r="Z145" i="5" s="1"/>
  <c r="X139" i="5"/>
  <c r="X133" i="5"/>
  <c r="V123" i="5"/>
  <c r="H120" i="5"/>
  <c r="L120" i="5"/>
  <c r="O120" i="5" s="1"/>
  <c r="X120" i="5"/>
  <c r="H116" i="5"/>
  <c r="L116" i="5"/>
  <c r="O116" i="5" s="1"/>
  <c r="X116" i="5"/>
  <c r="P116" i="5"/>
  <c r="S112" i="5"/>
  <c r="W112" i="5" s="1"/>
  <c r="Y112" i="5" s="1"/>
  <c r="Z112" i="5" s="1"/>
  <c r="U108" i="5"/>
  <c r="Q102" i="5"/>
  <c r="V100" i="5"/>
  <c r="Y100" i="5" s="1"/>
  <c r="Z100" i="5" s="1"/>
  <c r="T97" i="5"/>
  <c r="K92" i="5"/>
  <c r="H80" i="5"/>
  <c r="L80" i="5"/>
  <c r="O80" i="5" s="1"/>
  <c r="X80" i="5"/>
  <c r="H65" i="5"/>
  <c r="P65" i="5"/>
  <c r="Q65" i="5"/>
  <c r="L65" i="5"/>
  <c r="O65" i="5" s="1"/>
  <c r="U65" i="5"/>
  <c r="X65" i="5"/>
  <c r="H36" i="5"/>
  <c r="L36" i="5"/>
  <c r="O36" i="5" s="1"/>
  <c r="X36" i="5"/>
  <c r="N36" i="5"/>
  <c r="U36" i="5"/>
  <c r="Q36" i="5"/>
  <c r="P36" i="5"/>
  <c r="M36" i="5"/>
  <c r="Y34" i="5"/>
  <c r="H27" i="5"/>
  <c r="L27" i="5"/>
  <c r="O27" i="5" s="1"/>
  <c r="X27" i="5"/>
  <c r="N27" i="5"/>
  <c r="P27" i="5"/>
  <c r="M27" i="5"/>
  <c r="U27" i="5"/>
  <c r="Q27" i="5"/>
  <c r="S9" i="5"/>
  <c r="W9" i="5" s="1"/>
  <c r="K9" i="5"/>
  <c r="V9" i="5"/>
  <c r="S8" i="5"/>
  <c r="W8" i="5" s="1"/>
  <c r="T8" i="5"/>
  <c r="Y32" i="5"/>
  <c r="Y28" i="5"/>
  <c r="S228" i="5"/>
  <c r="W228" i="5" s="1"/>
  <c r="Y228" i="5" s="1"/>
  <c r="Z228" i="5" s="1"/>
  <c r="T228" i="5"/>
  <c r="H163" i="5"/>
  <c r="H157" i="5"/>
  <c r="H151" i="5"/>
  <c r="H145" i="5"/>
  <c r="H139" i="5"/>
  <c r="H133" i="5"/>
  <c r="H128" i="5"/>
  <c r="P128" i="5"/>
  <c r="K124" i="5"/>
  <c r="S123" i="5"/>
  <c r="W123" i="5" s="1"/>
  <c r="T120" i="5"/>
  <c r="K120" i="5"/>
  <c r="H118" i="5"/>
  <c r="P118" i="5"/>
  <c r="K116" i="5"/>
  <c r="Y103" i="5"/>
  <c r="Z103" i="5" s="1"/>
  <c r="N102" i="5"/>
  <c r="H95" i="5"/>
  <c r="M95" i="5"/>
  <c r="L95" i="5"/>
  <c r="O95" i="5" s="1"/>
  <c r="P95" i="5"/>
  <c r="Q95" i="5"/>
  <c r="X95" i="5"/>
  <c r="U81" i="5"/>
  <c r="K81" i="5"/>
  <c r="S78" i="5"/>
  <c r="W78" i="5" s="1"/>
  <c r="V78" i="5"/>
  <c r="H74" i="5"/>
  <c r="L74" i="5"/>
  <c r="O74" i="5" s="1"/>
  <c r="X74" i="5"/>
  <c r="U74" i="5"/>
  <c r="Q74" i="5"/>
  <c r="Y63" i="5"/>
  <c r="Z63" i="5" s="1"/>
  <c r="T37" i="5"/>
  <c r="U37" i="5"/>
  <c r="K37" i="5"/>
  <c r="S37" i="5"/>
  <c r="W37" i="5" s="1"/>
  <c r="Q114" i="5"/>
  <c r="H105" i="5"/>
  <c r="N105" i="5"/>
  <c r="Q105" i="5"/>
  <c r="M105" i="5"/>
  <c r="Z87" i="5"/>
  <c r="Y83" i="5"/>
  <c r="H78" i="5"/>
  <c r="Q78" i="5"/>
  <c r="U78" i="5"/>
  <c r="X78" i="5"/>
  <c r="P78" i="5"/>
  <c r="U76" i="5"/>
  <c r="Z71" i="5"/>
  <c r="K69" i="5"/>
  <c r="V69" i="5"/>
  <c r="Y69" i="5" s="1"/>
  <c r="Z69" i="5" s="1"/>
  <c r="S69" i="5"/>
  <c r="W69" i="5" s="1"/>
  <c r="H57" i="5"/>
  <c r="L57" i="5"/>
  <c r="O57" i="5" s="1"/>
  <c r="X57" i="5"/>
  <c r="P57" i="5"/>
  <c r="M57" i="5"/>
  <c r="Q57" i="5"/>
  <c r="U57" i="5"/>
  <c r="N57" i="5"/>
  <c r="S56" i="5"/>
  <c r="W56" i="5" s="1"/>
  <c r="Y56" i="5" s="1"/>
  <c r="Z56" i="5" s="1"/>
  <c r="T56" i="5"/>
  <c r="Z52" i="5"/>
  <c r="Y89" i="5"/>
  <c r="Z89" i="5" s="1"/>
  <c r="Y75" i="5"/>
  <c r="Z75" i="5" s="1"/>
  <c r="H69" i="5"/>
  <c r="L69" i="5"/>
  <c r="O69" i="5" s="1"/>
  <c r="X69" i="5"/>
  <c r="P69" i="5"/>
  <c r="M69" i="5"/>
  <c r="N69" i="5"/>
  <c r="U69" i="5"/>
  <c r="V45" i="5"/>
  <c r="K45" i="5"/>
  <c r="Y36" i="5"/>
  <c r="H102" i="5"/>
  <c r="L102" i="5"/>
  <c r="O102" i="5" s="1"/>
  <c r="X102" i="5"/>
  <c r="P97" i="5"/>
  <c r="Q90" i="5"/>
  <c r="K86" i="5"/>
  <c r="S82" i="5"/>
  <c r="W82" i="5" s="1"/>
  <c r="V82" i="5"/>
  <c r="Y82" i="5" s="1"/>
  <c r="Z82" i="5" s="1"/>
  <c r="Z79" i="5"/>
  <c r="Q76" i="5"/>
  <c r="U75" i="5"/>
  <c r="K75" i="5"/>
  <c r="Z62" i="5"/>
  <c r="T61" i="5"/>
  <c r="K61" i="5"/>
  <c r="Y38" i="5"/>
  <c r="Z38" i="5" s="1"/>
  <c r="H171" i="5"/>
  <c r="H165" i="5"/>
  <c r="Q163" i="5"/>
  <c r="H159" i="5"/>
  <c r="Q157" i="5"/>
  <c r="H153" i="5"/>
  <c r="Q151" i="5"/>
  <c r="H147" i="5"/>
  <c r="Q145" i="5"/>
  <c r="H141" i="5"/>
  <c r="Q139" i="5"/>
  <c r="H135" i="5"/>
  <c r="Q133" i="5"/>
  <c r="H129" i="5"/>
  <c r="K127" i="5"/>
  <c r="U118" i="5"/>
  <c r="Y115" i="5"/>
  <c r="N114" i="5"/>
  <c r="N110" i="5"/>
  <c r="S108" i="5"/>
  <c r="W108" i="5" s="1"/>
  <c r="Y108" i="5" s="1"/>
  <c r="Z108" i="5" s="1"/>
  <c r="U105" i="5"/>
  <c r="K100" i="5"/>
  <c r="M90" i="5"/>
  <c r="T89" i="5"/>
  <c r="Z83" i="5"/>
  <c r="H82" i="5"/>
  <c r="P82" i="5"/>
  <c r="U82" i="5"/>
  <c r="X82" i="5"/>
  <c r="Q82" i="5"/>
  <c r="N76" i="5"/>
  <c r="Y50" i="5"/>
  <c r="Z50" i="5" s="1"/>
  <c r="H47" i="5"/>
  <c r="P47" i="5"/>
  <c r="L47" i="5"/>
  <c r="O47" i="5" s="1"/>
  <c r="X47" i="5"/>
  <c r="Y47" i="5" s="1"/>
  <c r="Z47" i="5" s="1"/>
  <c r="U47" i="5"/>
  <c r="Q47" i="5"/>
  <c r="N47" i="5"/>
  <c r="M47" i="5"/>
  <c r="H46" i="5"/>
  <c r="N46" i="5"/>
  <c r="P46" i="5"/>
  <c r="M46" i="5"/>
  <c r="Q46" i="5"/>
  <c r="X46" i="5"/>
  <c r="Y46" i="5" s="1"/>
  <c r="Z46" i="5" s="1"/>
  <c r="U46" i="5"/>
  <c r="T19" i="5"/>
  <c r="K19" i="5"/>
  <c r="S19" i="5"/>
  <c r="W19" i="5" s="1"/>
  <c r="H117" i="5"/>
  <c r="N117" i="5"/>
  <c r="Q117" i="5"/>
  <c r="M117" i="5"/>
  <c r="Z115" i="5"/>
  <c r="H108" i="5"/>
  <c r="L108" i="5"/>
  <c r="O108" i="5" s="1"/>
  <c r="X108" i="5"/>
  <c r="H104" i="5"/>
  <c r="L104" i="5"/>
  <c r="O104" i="5" s="1"/>
  <c r="X104" i="5"/>
  <c r="Y104" i="5" s="1"/>
  <c r="Z104" i="5" s="1"/>
  <c r="P104" i="5"/>
  <c r="N97" i="5"/>
  <c r="T91" i="5"/>
  <c r="S91" i="5"/>
  <c r="W91" i="5" s="1"/>
  <c r="Y91" i="5" s="1"/>
  <c r="Z91" i="5" s="1"/>
  <c r="U86" i="5"/>
  <c r="T79" i="5"/>
  <c r="M76" i="5"/>
  <c r="Z73" i="5"/>
  <c r="S33" i="5"/>
  <c r="W33" i="5" s="1"/>
  <c r="V33" i="5"/>
  <c r="Y121" i="5"/>
  <c r="Z121" i="5" s="1"/>
  <c r="S114" i="5"/>
  <c r="W114" i="5" s="1"/>
  <c r="Y114" i="5" s="1"/>
  <c r="Z114" i="5" s="1"/>
  <c r="T102" i="5"/>
  <c r="K102" i="5"/>
  <c r="H100" i="5"/>
  <c r="P100" i="5"/>
  <c r="H98" i="5"/>
  <c r="X98" i="5"/>
  <c r="M98" i="5"/>
  <c r="N98" i="5"/>
  <c r="U95" i="5"/>
  <c r="K93" i="5"/>
  <c r="K90" i="5"/>
  <c r="Y88" i="5"/>
  <c r="Z88" i="5" s="1"/>
  <c r="T86" i="5"/>
  <c r="T83" i="5"/>
  <c r="H245" i="5"/>
  <c r="L245" i="5"/>
  <c r="O245" i="5" s="1"/>
  <c r="X245" i="5"/>
  <c r="M245" i="5"/>
  <c r="N245" i="5"/>
  <c r="P245" i="5"/>
  <c r="Q245" i="5"/>
  <c r="U245" i="5"/>
  <c r="H114" i="5"/>
  <c r="L114" i="5"/>
  <c r="O114" i="5" s="1"/>
  <c r="X114" i="5"/>
  <c r="H110" i="5"/>
  <c r="L110" i="5"/>
  <c r="O110" i="5" s="1"/>
  <c r="X110" i="5"/>
  <c r="P110" i="5"/>
  <c r="S106" i="5"/>
  <c r="W106" i="5" s="1"/>
  <c r="Y106" i="5" s="1"/>
  <c r="Z106" i="5" s="1"/>
  <c r="U102" i="5"/>
  <c r="S94" i="5"/>
  <c r="W94" i="5" s="1"/>
  <c r="Y94" i="5" s="1"/>
  <c r="Z94" i="5" s="1"/>
  <c r="S76" i="5"/>
  <c r="W76" i="5" s="1"/>
  <c r="V76" i="5"/>
  <c r="U61" i="5"/>
  <c r="Y54" i="5"/>
  <c r="H32" i="5"/>
  <c r="L32" i="5"/>
  <c r="O32" i="5" s="1"/>
  <c r="X32" i="5"/>
  <c r="N32" i="5"/>
  <c r="P32" i="5"/>
  <c r="U32" i="5"/>
  <c r="Q32" i="5"/>
  <c r="H97" i="5"/>
  <c r="Q97" i="5"/>
  <c r="U97" i="5"/>
  <c r="X97" i="5"/>
  <c r="Y97" i="5" s="1"/>
  <c r="Z97" i="5" s="1"/>
  <c r="L97" i="5"/>
  <c r="O97" i="5" s="1"/>
  <c r="H90" i="5"/>
  <c r="P90" i="5"/>
  <c r="U90" i="5"/>
  <c r="N90" i="5"/>
  <c r="S80" i="5"/>
  <c r="W80" i="5" s="1"/>
  <c r="V80" i="5"/>
  <c r="Y77" i="5"/>
  <c r="Z77" i="5" s="1"/>
  <c r="H76" i="5"/>
  <c r="P76" i="5"/>
  <c r="X76" i="5"/>
  <c r="Y58" i="5"/>
  <c r="Z58" i="5" s="1"/>
  <c r="Y57" i="5"/>
  <c r="Z57" i="5" s="1"/>
  <c r="H40" i="5"/>
  <c r="N40" i="5"/>
  <c r="P40" i="5"/>
  <c r="X40" i="5"/>
  <c r="L40" i="5"/>
  <c r="O40" i="5" s="1"/>
  <c r="Q40" i="5"/>
  <c r="U40" i="5"/>
  <c r="Y27" i="5"/>
  <c r="H127" i="5"/>
  <c r="H121" i="5"/>
  <c r="H115" i="5"/>
  <c r="H109" i="5"/>
  <c r="H103" i="5"/>
  <c r="S98" i="5"/>
  <c r="W98" i="5" s="1"/>
  <c r="Y98" i="5" s="1"/>
  <c r="Z98" i="5" s="1"/>
  <c r="H92" i="5"/>
  <c r="L92" i="5"/>
  <c r="O92" i="5" s="1"/>
  <c r="X92" i="5"/>
  <c r="H83" i="5"/>
  <c r="M83" i="5"/>
  <c r="S71" i="5"/>
  <c r="W71" i="5" s="1"/>
  <c r="Y71" i="5" s="1"/>
  <c r="S70" i="5"/>
  <c r="W70" i="5" s="1"/>
  <c r="V70" i="5"/>
  <c r="S65" i="5"/>
  <c r="W65" i="5" s="1"/>
  <c r="Y65" i="5" s="1"/>
  <c r="H62" i="5"/>
  <c r="N62" i="5"/>
  <c r="P62" i="5"/>
  <c r="Q62" i="5"/>
  <c r="L62" i="5"/>
  <c r="O62" i="5" s="1"/>
  <c r="S61" i="5"/>
  <c r="W61" i="5" s="1"/>
  <c r="Y61" i="5" s="1"/>
  <c r="Z61" i="5" s="1"/>
  <c r="H56" i="5"/>
  <c r="N56" i="5"/>
  <c r="P56" i="5"/>
  <c r="U56" i="5"/>
  <c r="X56" i="5"/>
  <c r="T43" i="5"/>
  <c r="S43" i="5"/>
  <c r="W43" i="5" s="1"/>
  <c r="H19" i="5"/>
  <c r="L19" i="5"/>
  <c r="O19" i="5" s="1"/>
  <c r="X19" i="5"/>
  <c r="M19" i="5"/>
  <c r="N19" i="5"/>
  <c r="P19" i="5"/>
  <c r="Q19" i="5"/>
  <c r="U19" i="5"/>
  <c r="T7" i="5"/>
  <c r="K7" i="5"/>
  <c r="S7" i="5"/>
  <c r="W7" i="5" s="1"/>
  <c r="Y7" i="5" s="1"/>
  <c r="H41" i="5"/>
  <c r="P41" i="5"/>
  <c r="L41" i="5"/>
  <c r="O41" i="5" s="1"/>
  <c r="X41" i="5"/>
  <c r="Y41" i="5" s="1"/>
  <c r="Z41" i="5" s="1"/>
  <c r="Q41" i="5"/>
  <c r="M41" i="5"/>
  <c r="H26" i="5"/>
  <c r="L26" i="5"/>
  <c r="O26" i="5" s="1"/>
  <c r="X26" i="5"/>
  <c r="N26" i="5"/>
  <c r="P26" i="5"/>
  <c r="Q26" i="5"/>
  <c r="H21" i="5"/>
  <c r="L21" i="5"/>
  <c r="O21" i="5" s="1"/>
  <c r="X21" i="5"/>
  <c r="N21" i="5"/>
  <c r="P21" i="5"/>
  <c r="Q21" i="5"/>
  <c r="M21" i="5"/>
  <c r="H13" i="5"/>
  <c r="L13" i="5"/>
  <c r="O13" i="5" s="1"/>
  <c r="X13" i="5"/>
  <c r="M13" i="5"/>
  <c r="N13" i="5"/>
  <c r="P13" i="5"/>
  <c r="Q13" i="5"/>
  <c r="U13" i="5"/>
  <c r="Z10" i="5"/>
  <c r="S235" i="5"/>
  <c r="W235" i="5" s="1"/>
  <c r="Y235" i="5" s="1"/>
  <c r="Z235" i="5" s="1"/>
  <c r="K235" i="5"/>
  <c r="S26" i="5"/>
  <c r="W26" i="5" s="1"/>
  <c r="Y26" i="5" s="1"/>
  <c r="Z26" i="5" s="1"/>
  <c r="T26" i="5"/>
  <c r="S20" i="5"/>
  <c r="W20" i="5" s="1"/>
  <c r="Y20" i="5" s="1"/>
  <c r="Z20" i="5" s="1"/>
  <c r="T20" i="5"/>
  <c r="T245" i="5"/>
  <c r="K245" i="5"/>
  <c r="S245" i="5"/>
  <c r="W245" i="5" s="1"/>
  <c r="Y245" i="5" s="1"/>
  <c r="Z245" i="5" s="1"/>
  <c r="T233" i="5"/>
  <c r="K233" i="5"/>
  <c r="S233" i="5"/>
  <c r="W233" i="5" s="1"/>
  <c r="U233" i="5"/>
  <c r="S247" i="5"/>
  <c r="W247" i="5" s="1"/>
  <c r="Y247" i="5" s="1"/>
  <c r="Z247" i="5" s="1"/>
  <c r="K247" i="5"/>
  <c r="Y237" i="5"/>
  <c r="Z237" i="5" s="1"/>
  <c r="S234" i="5"/>
  <c r="W234" i="5" s="1"/>
  <c r="T234" i="5"/>
  <c r="Z93" i="5"/>
  <c r="N86" i="5"/>
  <c r="H68" i="5"/>
  <c r="N68" i="5"/>
  <c r="P68" i="5"/>
  <c r="U68" i="5"/>
  <c r="Q68" i="5"/>
  <c r="Q56" i="5"/>
  <c r="H54" i="5"/>
  <c r="L54" i="5"/>
  <c r="O54" i="5" s="1"/>
  <c r="X54" i="5"/>
  <c r="N54" i="5"/>
  <c r="Q54" i="5"/>
  <c r="M54" i="5"/>
  <c r="H50" i="5"/>
  <c r="L50" i="5"/>
  <c r="O50" i="5" s="1"/>
  <c r="X50" i="5"/>
  <c r="N50" i="5"/>
  <c r="P50" i="5"/>
  <c r="Q50" i="5"/>
  <c r="H45" i="5"/>
  <c r="L45" i="5"/>
  <c r="O45" i="5" s="1"/>
  <c r="X45" i="5"/>
  <c r="N45" i="5"/>
  <c r="P45" i="5"/>
  <c r="U45" i="5"/>
  <c r="K43" i="5"/>
  <c r="T13" i="5"/>
  <c r="K13" i="5"/>
  <c r="S13" i="5"/>
  <c r="W13" i="5" s="1"/>
  <c r="S246" i="5"/>
  <c r="W246" i="5" s="1"/>
  <c r="Y246" i="5" s="1"/>
  <c r="Z246" i="5" s="1"/>
  <c r="T246" i="5"/>
  <c r="M127" i="5"/>
  <c r="H125" i="5"/>
  <c r="M121" i="5"/>
  <c r="H119" i="5"/>
  <c r="M115" i="5"/>
  <c r="H113" i="5"/>
  <c r="M109" i="5"/>
  <c r="H107" i="5"/>
  <c r="M103" i="5"/>
  <c r="H101" i="5"/>
  <c r="N92" i="5"/>
  <c r="H88" i="5"/>
  <c r="P88" i="5"/>
  <c r="H85" i="5"/>
  <c r="Q85" i="5"/>
  <c r="N83" i="5"/>
  <c r="T78" i="5"/>
  <c r="K78" i="5"/>
  <c r="K74" i="5"/>
  <c r="H67" i="5"/>
  <c r="L67" i="5"/>
  <c r="O67" i="5" s="1"/>
  <c r="X67" i="5"/>
  <c r="Y67" i="5" s="1"/>
  <c r="Z67" i="5" s="1"/>
  <c r="N67" i="5"/>
  <c r="M67" i="5"/>
  <c r="Z65" i="5"/>
  <c r="M56" i="5"/>
  <c r="H49" i="5"/>
  <c r="L49" i="5"/>
  <c r="O49" i="5" s="1"/>
  <c r="X49" i="5"/>
  <c r="Y49" i="5" s="1"/>
  <c r="Z49" i="5" s="1"/>
  <c r="N49" i="5"/>
  <c r="P49" i="5"/>
  <c r="H39" i="5"/>
  <c r="L39" i="5"/>
  <c r="O39" i="5" s="1"/>
  <c r="X39" i="5"/>
  <c r="Y39" i="5" s="1"/>
  <c r="Z39" i="5" s="1"/>
  <c r="N39" i="5"/>
  <c r="P39" i="5"/>
  <c r="M39" i="5"/>
  <c r="S15" i="5"/>
  <c r="W15" i="5" s="1"/>
  <c r="Y15" i="5" s="1"/>
  <c r="Z15" i="5" s="1"/>
  <c r="K15" i="5"/>
  <c r="H94" i="5"/>
  <c r="P94" i="5"/>
  <c r="H91" i="5"/>
  <c r="Q91" i="5"/>
  <c r="K82" i="5"/>
  <c r="K80" i="5"/>
  <c r="K76" i="5"/>
  <c r="H58" i="5"/>
  <c r="N58" i="5"/>
  <c r="P58" i="5"/>
  <c r="Q58" i="5"/>
  <c r="U58" i="5"/>
  <c r="L58" i="5"/>
  <c r="O58" i="5" s="1"/>
  <c r="Z54" i="5"/>
  <c r="H44" i="5"/>
  <c r="L44" i="5"/>
  <c r="O44" i="5" s="1"/>
  <c r="X44" i="5"/>
  <c r="Y44" i="5" s="1"/>
  <c r="Z44" i="5" s="1"/>
  <c r="N44" i="5"/>
  <c r="P44" i="5"/>
  <c r="M44" i="5"/>
  <c r="H43" i="5"/>
  <c r="L43" i="5"/>
  <c r="O43" i="5" s="1"/>
  <c r="X43" i="5"/>
  <c r="N43" i="5"/>
  <c r="P43" i="5"/>
  <c r="U43" i="5"/>
  <c r="M43" i="5"/>
  <c r="U41" i="5"/>
  <c r="Y40" i="5"/>
  <c r="Z40" i="5" s="1"/>
  <c r="H15" i="5"/>
  <c r="L15" i="5"/>
  <c r="O15" i="5" s="1"/>
  <c r="X15" i="5"/>
  <c r="N15" i="5"/>
  <c r="P15" i="5"/>
  <c r="Q15" i="5"/>
  <c r="M15" i="5"/>
  <c r="S14" i="5"/>
  <c r="W14" i="5" s="1"/>
  <c r="T14" i="5"/>
  <c r="H7" i="5"/>
  <c r="L7" i="5"/>
  <c r="O7" i="5" s="1"/>
  <c r="X7" i="5"/>
  <c r="M7" i="5"/>
  <c r="N7" i="5"/>
  <c r="P7" i="5"/>
  <c r="Q7" i="5"/>
  <c r="U7" i="5"/>
  <c r="H30" i="5"/>
  <c r="L30" i="5"/>
  <c r="O30" i="5" s="1"/>
  <c r="X30" i="5"/>
  <c r="Y30" i="5" s="1"/>
  <c r="Z30" i="5" s="1"/>
  <c r="M30" i="5"/>
  <c r="N30" i="5"/>
  <c r="P30" i="5"/>
  <c r="Q30" i="5"/>
  <c r="U30" i="5"/>
  <c r="Y21" i="5"/>
  <c r="S241" i="5"/>
  <c r="W241" i="5" s="1"/>
  <c r="Y241" i="5" s="1"/>
  <c r="Z241" i="5" s="1"/>
  <c r="K241" i="5"/>
  <c r="U94" i="5"/>
  <c r="S92" i="5"/>
  <c r="W92" i="5" s="1"/>
  <c r="Y92" i="5" s="1"/>
  <c r="Z92" i="5" s="1"/>
  <c r="H86" i="5"/>
  <c r="L86" i="5"/>
  <c r="O86" i="5" s="1"/>
  <c r="X86" i="5"/>
  <c r="T80" i="5"/>
  <c r="T76" i="5"/>
  <c r="T67" i="5"/>
  <c r="K67" i="5"/>
  <c r="X58" i="5"/>
  <c r="Z23" i="5"/>
  <c r="U21" i="5"/>
  <c r="Y16" i="5"/>
  <c r="Z16" i="5" s="1"/>
  <c r="Z7" i="5"/>
  <c r="S240" i="5"/>
  <c r="W240" i="5" s="1"/>
  <c r="T240" i="5"/>
  <c r="H93" i="5"/>
  <c r="H87" i="5"/>
  <c r="H81" i="5"/>
  <c r="Q79" i="5"/>
  <c r="M77" i="5"/>
  <c r="H75" i="5"/>
  <c r="H72" i="5"/>
  <c r="L72" i="5"/>
  <c r="O72" i="5" s="1"/>
  <c r="X72" i="5"/>
  <c r="U51" i="5"/>
  <c r="H48" i="5"/>
  <c r="L48" i="5"/>
  <c r="O48" i="5" s="1"/>
  <c r="X48" i="5"/>
  <c r="Y48" i="5" s="1"/>
  <c r="Z48" i="5" s="1"/>
  <c r="N48" i="5"/>
  <c r="H37" i="5"/>
  <c r="L37" i="5"/>
  <c r="O37" i="5" s="1"/>
  <c r="X37" i="5"/>
  <c r="N37" i="5"/>
  <c r="P37" i="5"/>
  <c r="H35" i="5"/>
  <c r="P35" i="5"/>
  <c r="L35" i="5"/>
  <c r="O35" i="5" s="1"/>
  <c r="X35" i="5"/>
  <c r="Y35" i="5" s="1"/>
  <c r="Z35" i="5" s="1"/>
  <c r="H33" i="5"/>
  <c r="L33" i="5"/>
  <c r="O33" i="5" s="1"/>
  <c r="X33" i="5"/>
  <c r="N33" i="5"/>
  <c r="P33" i="5"/>
  <c r="Z27" i="5"/>
  <c r="Y24" i="5"/>
  <c r="Z21" i="5"/>
  <c r="Y10" i="5"/>
  <c r="H9" i="5"/>
  <c r="L9" i="5"/>
  <c r="O9" i="5" s="1"/>
  <c r="X9" i="5"/>
  <c r="N9" i="5"/>
  <c r="P9" i="5"/>
  <c r="Q9" i="5"/>
  <c r="Y248" i="5"/>
  <c r="Z248" i="5" s="1"/>
  <c r="H247" i="5"/>
  <c r="L247" i="5"/>
  <c r="O247" i="5" s="1"/>
  <c r="X247" i="5"/>
  <c r="N247" i="5"/>
  <c r="P247" i="5"/>
  <c r="Q247" i="5"/>
  <c r="Y242" i="5"/>
  <c r="Z242" i="5" s="1"/>
  <c r="H241" i="5"/>
  <c r="L241" i="5"/>
  <c r="O241" i="5" s="1"/>
  <c r="X241" i="5"/>
  <c r="N241" i="5"/>
  <c r="P241" i="5"/>
  <c r="Q241" i="5"/>
  <c r="Y236" i="5"/>
  <c r="Z236" i="5" s="1"/>
  <c r="H235" i="5"/>
  <c r="L235" i="5"/>
  <c r="O235" i="5" s="1"/>
  <c r="X235" i="5"/>
  <c r="N235" i="5"/>
  <c r="P235" i="5"/>
  <c r="Q235" i="5"/>
  <c r="H233" i="5"/>
  <c r="L233" i="5"/>
  <c r="O233" i="5" s="1"/>
  <c r="X233" i="5"/>
  <c r="M233" i="5"/>
  <c r="N233" i="5"/>
  <c r="P233" i="5"/>
  <c r="H73" i="5"/>
  <c r="L73" i="5"/>
  <c r="O73" i="5" s="1"/>
  <c r="N73" i="5"/>
  <c r="M71" i="5"/>
  <c r="H70" i="5"/>
  <c r="N70" i="5"/>
  <c r="H52" i="5"/>
  <c r="N52" i="5"/>
  <c r="P52" i="5"/>
  <c r="K49" i="5"/>
  <c r="H25" i="5"/>
  <c r="L25" i="5"/>
  <c r="O25" i="5" s="1"/>
  <c r="X25" i="5"/>
  <c r="Y25" i="5" s="1"/>
  <c r="Z25" i="5" s="1"/>
  <c r="M25" i="5"/>
  <c r="N25" i="5"/>
  <c r="P25" i="5"/>
  <c r="Z232" i="5"/>
  <c r="U73" i="5"/>
  <c r="H66" i="5"/>
  <c r="L66" i="5"/>
  <c r="O66" i="5" s="1"/>
  <c r="X66" i="5"/>
  <c r="Y66" i="5" s="1"/>
  <c r="Z66" i="5" s="1"/>
  <c r="H61" i="5"/>
  <c r="L61" i="5"/>
  <c r="O61" i="5" s="1"/>
  <c r="X61" i="5"/>
  <c r="N61" i="5"/>
  <c r="P61" i="5"/>
  <c r="H59" i="5"/>
  <c r="P59" i="5"/>
  <c r="L59" i="5"/>
  <c r="O59" i="5" s="1"/>
  <c r="X59" i="5"/>
  <c r="Y59" i="5" s="1"/>
  <c r="Z59" i="5" s="1"/>
  <c r="H34" i="5"/>
  <c r="N34" i="5"/>
  <c r="P34" i="5"/>
  <c r="Z32" i="5"/>
  <c r="H24" i="5"/>
  <c r="L24" i="5"/>
  <c r="O24" i="5" s="1"/>
  <c r="X24" i="5"/>
  <c r="M24" i="5"/>
  <c r="N24" i="5"/>
  <c r="U241" i="5"/>
  <c r="U235" i="5"/>
  <c r="H79" i="5"/>
  <c r="H71" i="5"/>
  <c r="P71" i="5"/>
  <c r="Z68" i="5"/>
  <c r="H63" i="5"/>
  <c r="L63" i="5"/>
  <c r="O63" i="5" s="1"/>
  <c r="X63" i="5"/>
  <c r="P63" i="5"/>
  <c r="H38" i="5"/>
  <c r="L38" i="5"/>
  <c r="O38" i="5" s="1"/>
  <c r="X38" i="5"/>
  <c r="N38" i="5"/>
  <c r="P38" i="5"/>
  <c r="Z36" i="5"/>
  <c r="Z28" i="5"/>
  <c r="K27" i="5"/>
  <c r="K21" i="5"/>
  <c r="Y232" i="5"/>
  <c r="H55" i="5"/>
  <c r="L55" i="5"/>
  <c r="O55" i="5" s="1"/>
  <c r="X55" i="5"/>
  <c r="Y55" i="5" s="1"/>
  <c r="Z55" i="5" s="1"/>
  <c r="N55" i="5"/>
  <c r="P55" i="5"/>
  <c r="H53" i="5"/>
  <c r="P53" i="5"/>
  <c r="L53" i="5"/>
  <c r="O53" i="5" s="1"/>
  <c r="X53" i="5"/>
  <c r="Y53" i="5" s="1"/>
  <c r="Z53" i="5" s="1"/>
  <c r="H51" i="5"/>
  <c r="L51" i="5"/>
  <c r="O51" i="5" s="1"/>
  <c r="X51" i="5"/>
  <c r="Y51" i="5" s="1"/>
  <c r="Z51" i="5" s="1"/>
  <c r="N51" i="5"/>
  <c r="P51" i="5"/>
  <c r="H42" i="5"/>
  <c r="L42" i="5"/>
  <c r="O42" i="5" s="1"/>
  <c r="X42" i="5"/>
  <c r="Y42" i="5" s="1"/>
  <c r="Z42" i="5" s="1"/>
  <c r="N42" i="5"/>
  <c r="Z34" i="5"/>
  <c r="H31" i="5"/>
  <c r="L31" i="5"/>
  <c r="O31" i="5" s="1"/>
  <c r="X31" i="5"/>
  <c r="Y31" i="5" s="1"/>
  <c r="Z31" i="5" s="1"/>
  <c r="N31" i="5"/>
  <c r="P31" i="5"/>
  <c r="Z24" i="5"/>
  <c r="Z22" i="5"/>
  <c r="Q18" i="5"/>
  <c r="U228" i="5"/>
  <c r="H228" i="5"/>
  <c r="X23" i="5"/>
  <c r="Y23" i="5" s="1"/>
  <c r="L23" i="5"/>
  <c r="O23" i="5" s="1"/>
  <c r="N18" i="5"/>
  <c r="X17" i="5"/>
  <c r="Y17" i="5" s="1"/>
  <c r="Z17" i="5" s="1"/>
  <c r="L17" i="5"/>
  <c r="O17" i="5" s="1"/>
  <c r="N12" i="5"/>
  <c r="X11" i="5"/>
  <c r="Y11" i="5" s="1"/>
  <c r="Z11" i="5" s="1"/>
  <c r="L11" i="5"/>
  <c r="O11" i="5" s="1"/>
  <c r="N250" i="5"/>
  <c r="X249" i="5"/>
  <c r="Y249" i="5" s="1"/>
  <c r="Z249" i="5" s="1"/>
  <c r="L249" i="5"/>
  <c r="O249" i="5" s="1"/>
  <c r="N244" i="5"/>
  <c r="X243" i="5"/>
  <c r="Y243" i="5" s="1"/>
  <c r="Z243" i="5" s="1"/>
  <c r="L243" i="5"/>
  <c r="O243" i="5" s="1"/>
  <c r="N238" i="5"/>
  <c r="X237" i="5"/>
  <c r="L237" i="5"/>
  <c r="O237" i="5" s="1"/>
  <c r="N232" i="5"/>
  <c r="Q20" i="5"/>
  <c r="M18" i="5"/>
  <c r="Q14" i="5"/>
  <c r="M12" i="5"/>
  <c r="Q8" i="5"/>
  <c r="M250" i="5"/>
  <c r="Q246" i="5"/>
  <c r="M244" i="5"/>
  <c r="Q240" i="5"/>
  <c r="M238" i="5"/>
  <c r="Q234" i="5"/>
  <c r="M232" i="5"/>
  <c r="K231" i="5"/>
  <c r="H230" i="5"/>
  <c r="P20" i="5"/>
  <c r="X18" i="5"/>
  <c r="Y18" i="5" s="1"/>
  <c r="Z18" i="5" s="1"/>
  <c r="L18" i="5"/>
  <c r="O18" i="5" s="1"/>
  <c r="P14" i="5"/>
  <c r="X12" i="5"/>
  <c r="Y12" i="5" s="1"/>
  <c r="Z12" i="5" s="1"/>
  <c r="L12" i="5"/>
  <c r="O12" i="5" s="1"/>
  <c r="P8" i="5"/>
  <c r="X250" i="5"/>
  <c r="Y250" i="5" s="1"/>
  <c r="Z250" i="5" s="1"/>
  <c r="L250" i="5"/>
  <c r="O250" i="5" s="1"/>
  <c r="P246" i="5"/>
  <c r="X244" i="5"/>
  <c r="Y244" i="5" s="1"/>
  <c r="Z244" i="5" s="1"/>
  <c r="L244" i="5"/>
  <c r="O244" i="5" s="1"/>
  <c r="P240" i="5"/>
  <c r="X238" i="5"/>
  <c r="Y238" i="5" s="1"/>
  <c r="Z238" i="5" s="1"/>
  <c r="L238" i="5"/>
  <c r="O238" i="5" s="1"/>
  <c r="P234" i="5"/>
  <c r="X232" i="5"/>
  <c r="L232" i="5"/>
  <c r="O232" i="5" s="1"/>
  <c r="U231" i="5"/>
  <c r="H231" i="5"/>
  <c r="Q229" i="5"/>
  <c r="Y61" i="7"/>
  <c r="V61" i="7"/>
  <c r="Z61" i="7" s="1"/>
  <c r="N20" i="5"/>
  <c r="N14" i="5"/>
  <c r="N8" i="5"/>
  <c r="N246" i="5"/>
  <c r="N240" i="5"/>
  <c r="N234" i="5"/>
  <c r="P229" i="5"/>
  <c r="M8" i="5"/>
  <c r="M246" i="5"/>
  <c r="M240" i="5"/>
  <c r="P28" i="5"/>
  <c r="P22" i="5"/>
  <c r="X20" i="5"/>
  <c r="L20" i="5"/>
  <c r="O20" i="5" s="1"/>
  <c r="P16" i="5"/>
  <c r="X14" i="5"/>
  <c r="L14" i="5"/>
  <c r="O14" i="5" s="1"/>
  <c r="P10" i="5"/>
  <c r="X8" i="5"/>
  <c r="L8" i="5"/>
  <c r="O8" i="5" s="1"/>
  <c r="P248" i="5"/>
  <c r="X246" i="5"/>
  <c r="L246" i="5"/>
  <c r="O246" i="5" s="1"/>
  <c r="P242" i="5"/>
  <c r="X240" i="5"/>
  <c r="L240" i="5"/>
  <c r="O240" i="5" s="1"/>
  <c r="P236" i="5"/>
  <c r="X234" i="5"/>
  <c r="L234" i="5"/>
  <c r="O234" i="5" s="1"/>
  <c r="M229" i="5"/>
  <c r="N28" i="5"/>
  <c r="P23" i="5"/>
  <c r="N22" i="5"/>
  <c r="P17" i="5"/>
  <c r="N16" i="5"/>
  <c r="P11" i="5"/>
  <c r="N10" i="5"/>
  <c r="P249" i="5"/>
  <c r="N248" i="5"/>
  <c r="P243" i="5"/>
  <c r="N242" i="5"/>
  <c r="P237" i="5"/>
  <c r="N236" i="5"/>
  <c r="X229" i="5"/>
  <c r="Y229" i="5" s="1"/>
  <c r="Z229" i="5" s="1"/>
  <c r="L229" i="5"/>
  <c r="O229" i="5" s="1"/>
  <c r="O118" i="7"/>
  <c r="R118" i="7" s="1"/>
  <c r="K6" i="8"/>
  <c r="H6" i="8"/>
  <c r="X64" i="7"/>
  <c r="W41" i="7"/>
  <c r="AA20" i="7"/>
  <c r="L129" i="7"/>
  <c r="T64" i="7"/>
  <c r="P64" i="7"/>
  <c r="T19" i="7"/>
  <c r="P38" i="7"/>
  <c r="M19" i="7"/>
  <c r="R19" i="7" s="1"/>
  <c r="O38" i="7"/>
  <c r="R38" i="7" s="1"/>
  <c r="S128" i="7"/>
  <c r="L55" i="7"/>
  <c r="X17" i="7"/>
  <c r="L127" i="7"/>
  <c r="M142" i="7"/>
  <c r="L84" i="7"/>
  <c r="L49" i="7"/>
  <c r="M138" i="7"/>
  <c r="O127" i="7"/>
  <c r="R127" i="7" s="1"/>
  <c r="AA75" i="7"/>
  <c r="P156" i="7"/>
  <c r="L186" i="7"/>
  <c r="L179" i="7"/>
  <c r="L130" i="7"/>
  <c r="X142" i="7"/>
  <c r="L150" i="7"/>
  <c r="L152" i="7"/>
  <c r="P49" i="7"/>
  <c r="W175" i="7"/>
  <c r="S98" i="7"/>
  <c r="O155" i="7"/>
  <c r="O98" i="7"/>
  <c r="R98" i="7" s="1"/>
  <c r="T132" i="7"/>
  <c r="S158" i="7"/>
  <c r="T70" i="7"/>
  <c r="T57" i="7"/>
  <c r="AA19" i="7"/>
  <c r="S19" i="7"/>
  <c r="S34" i="7"/>
  <c r="P118" i="7"/>
  <c r="L176" i="7"/>
  <c r="L159" i="7"/>
  <c r="X188" i="7"/>
  <c r="V34" i="7"/>
  <c r="Z34" i="7" s="1"/>
  <c r="AB34" i="7" s="1"/>
  <c r="AC34" i="7" s="1"/>
  <c r="L154" i="7"/>
  <c r="S183" i="7"/>
  <c r="AA38" i="7"/>
  <c r="P188" i="7"/>
  <c r="P183" i="7"/>
  <c r="S148" i="7"/>
  <c r="X68" i="7"/>
  <c r="L6" i="7"/>
  <c r="W100" i="7"/>
  <c r="AA102" i="7"/>
  <c r="M117" i="7"/>
  <c r="M128" i="7"/>
  <c r="AA64" i="7"/>
  <c r="AA171" i="7"/>
  <c r="L38" i="7"/>
  <c r="L189" i="7"/>
  <c r="W187" i="7"/>
  <c r="W186" i="7"/>
  <c r="L177" i="7"/>
  <c r="T171" i="7"/>
  <c r="X62" i="7"/>
  <c r="P170" i="7"/>
  <c r="W158" i="7"/>
  <c r="P138" i="7"/>
  <c r="L20" i="7"/>
  <c r="X76" i="7"/>
  <c r="S64" i="7"/>
  <c r="O122" i="7"/>
  <c r="R122" i="7" s="1"/>
  <c r="W70" i="7"/>
  <c r="AA194" i="7"/>
  <c r="S138" i="7"/>
  <c r="L124" i="7"/>
  <c r="M34" i="7"/>
  <c r="R34" i="7" s="1"/>
  <c r="L157" i="7"/>
  <c r="S55" i="7"/>
  <c r="T72" i="7"/>
  <c r="P10" i="7"/>
  <c r="M122" i="7"/>
  <c r="S57" i="7"/>
  <c r="M118" i="7"/>
  <c r="W53" i="7"/>
  <c r="P57" i="7"/>
  <c r="O138" i="7"/>
  <c r="R138" i="7" s="1"/>
  <c r="AA143" i="7"/>
  <c r="S37" i="7"/>
  <c r="L105" i="7"/>
  <c r="T89" i="7"/>
  <c r="X87" i="7"/>
  <c r="O57" i="7"/>
  <c r="R57" i="7" s="1"/>
  <c r="X182" i="7"/>
  <c r="L131" i="7"/>
  <c r="W119" i="7"/>
  <c r="L47" i="7"/>
  <c r="L117" i="7"/>
  <c r="W40" i="7"/>
  <c r="L54" i="7"/>
  <c r="X105" i="7"/>
  <c r="S14" i="7"/>
  <c r="M57" i="7"/>
  <c r="M104" i="7"/>
  <c r="R104" i="7" s="1"/>
  <c r="T192" i="7"/>
  <c r="M187" i="7"/>
  <c r="R187" i="7" s="1"/>
  <c r="W170" i="7"/>
  <c r="M153" i="7"/>
  <c r="W159" i="7"/>
  <c r="L58" i="7"/>
  <c r="L137" i="7"/>
  <c r="W8" i="7"/>
  <c r="M14" i="7"/>
  <c r="T90" i="7"/>
  <c r="W103" i="7"/>
  <c r="O101" i="7"/>
  <c r="R101" i="7" s="1"/>
  <c r="M192" i="7"/>
  <c r="T142" i="7"/>
  <c r="H58" i="7"/>
  <c r="AA49" i="7"/>
  <c r="L61" i="7"/>
  <c r="AA133" i="7"/>
  <c r="L142" i="7"/>
  <c r="T81" i="7"/>
  <c r="P67" i="7"/>
  <c r="V37" i="7"/>
  <c r="Z37" i="7" s="1"/>
  <c r="P51" i="7"/>
  <c r="O64" i="7"/>
  <c r="R64" i="7" s="1"/>
  <c r="X57" i="7"/>
  <c r="X79" i="7"/>
  <c r="P81" i="7"/>
  <c r="AA80" i="7"/>
  <c r="O51" i="7"/>
  <c r="R51" i="7" s="1"/>
  <c r="W172" i="7"/>
  <c r="L115" i="7"/>
  <c r="M83" i="7"/>
  <c r="W79" i="7"/>
  <c r="S117" i="7"/>
  <c r="M81" i="7"/>
  <c r="L21" i="7"/>
  <c r="W7" i="7"/>
  <c r="M51" i="7"/>
  <c r="W30" i="7"/>
  <c r="W29" i="7"/>
  <c r="V95" i="7"/>
  <c r="Z95" i="7" s="1"/>
  <c r="AA138" i="7"/>
  <c r="M47" i="7"/>
  <c r="R47" i="7" s="1"/>
  <c r="L41" i="7"/>
  <c r="P194" i="7"/>
  <c r="L170" i="7"/>
  <c r="L163" i="7"/>
  <c r="O171" i="7"/>
  <c r="R171" i="7" s="1"/>
  <c r="V38" i="7"/>
  <c r="Z38" i="7" s="1"/>
  <c r="T168" i="7"/>
  <c r="W162" i="7"/>
  <c r="M75" i="7"/>
  <c r="W137" i="7"/>
  <c r="L11" i="7"/>
  <c r="Y129" i="7"/>
  <c r="W21" i="7"/>
  <c r="P25" i="7"/>
  <c r="W107" i="7"/>
  <c r="T23" i="7"/>
  <c r="W44" i="7"/>
  <c r="AA18" i="7"/>
  <c r="M194" i="7"/>
  <c r="AA177" i="7"/>
  <c r="P155" i="7"/>
  <c r="P127" i="7"/>
  <c r="V121" i="7"/>
  <c r="Z121" i="7" s="1"/>
  <c r="S168" i="7"/>
  <c r="T59" i="7"/>
  <c r="X177" i="7"/>
  <c r="AA154" i="7"/>
  <c r="O168" i="7"/>
  <c r="R168" i="7" s="1"/>
  <c r="AA76" i="7"/>
  <c r="AA151" i="7"/>
  <c r="AA173" i="7"/>
  <c r="O19" i="7"/>
  <c r="O34" i="7"/>
  <c r="O117" i="7"/>
  <c r="R117" i="7" s="1"/>
  <c r="AA26" i="7"/>
  <c r="V118" i="7"/>
  <c r="Z118" i="7" s="1"/>
  <c r="T18" i="7"/>
  <c r="P177" i="7"/>
  <c r="S154" i="7"/>
  <c r="L78" i="7"/>
  <c r="T80" i="7"/>
  <c r="T76" i="7"/>
  <c r="O13" i="7"/>
  <c r="R13" i="7" s="1"/>
  <c r="L9" i="7"/>
  <c r="S192" i="7"/>
  <c r="V190" i="7"/>
  <c r="Z190" i="7" s="1"/>
  <c r="O177" i="7"/>
  <c r="R177" i="7" s="1"/>
  <c r="M151" i="7"/>
  <c r="V127" i="7"/>
  <c r="Z127" i="7" s="1"/>
  <c r="T173" i="7"/>
  <c r="L164" i="7"/>
  <c r="T38" i="7"/>
  <c r="L75" i="7"/>
  <c r="S80" i="7"/>
  <c r="S76" i="7"/>
  <c r="T149" i="7"/>
  <c r="L35" i="7"/>
  <c r="W82" i="7"/>
  <c r="V134" i="7"/>
  <c r="Z134" i="7" s="1"/>
  <c r="V16" i="7"/>
  <c r="Z16" i="7" s="1"/>
  <c r="T52" i="7"/>
  <c r="T26" i="7"/>
  <c r="M80" i="7"/>
  <c r="L190" i="7"/>
  <c r="X168" i="7"/>
  <c r="V161" i="7"/>
  <c r="Z161" i="7" s="1"/>
  <c r="X191" i="7"/>
  <c r="T139" i="7"/>
  <c r="M38" i="7"/>
  <c r="L16" i="7"/>
  <c r="X96" i="7"/>
  <c r="M101" i="7"/>
  <c r="W94" i="7"/>
  <c r="W91" i="7"/>
  <c r="X170" i="7"/>
  <c r="W191" i="7"/>
  <c r="X19" i="7"/>
  <c r="T75" i="7"/>
  <c r="AA118" i="7"/>
  <c r="X33" i="7"/>
  <c r="X173" i="7"/>
  <c r="O143" i="7"/>
  <c r="R143" i="7" s="1"/>
  <c r="S75" i="7"/>
  <c r="L134" i="7"/>
  <c r="O49" i="7"/>
  <c r="R49" i="7" s="1"/>
  <c r="AA11" i="7"/>
  <c r="V73" i="7"/>
  <c r="Z73" i="7" s="1"/>
  <c r="O55" i="7"/>
  <c r="R55" i="7" s="1"/>
  <c r="P93" i="7"/>
  <c r="L60" i="7"/>
  <c r="X50" i="7"/>
  <c r="H17" i="7"/>
  <c r="Y118" i="7"/>
  <c r="M111" i="7"/>
  <c r="V6" i="7"/>
  <c r="Z6" i="7" s="1"/>
  <c r="X88" i="7"/>
  <c r="L149" i="7"/>
  <c r="AA127" i="7"/>
  <c r="AA130" i="7"/>
  <c r="M143" i="7"/>
  <c r="P75" i="7"/>
  <c r="M53" i="7"/>
  <c r="L43" i="7"/>
  <c r="X107" i="7"/>
  <c r="W36" i="7"/>
  <c r="X44" i="7"/>
  <c r="P98" i="7"/>
  <c r="W99" i="7"/>
  <c r="L94" i="7"/>
  <c r="P89" i="7"/>
  <c r="P90" i="7"/>
  <c r="X83" i="7"/>
  <c r="S83" i="7"/>
  <c r="P83" i="7"/>
  <c r="X86" i="7"/>
  <c r="T86" i="7"/>
  <c r="S86" i="7"/>
  <c r="P86" i="7"/>
  <c r="O86" i="7"/>
  <c r="R86" i="7" s="1"/>
  <c r="M86" i="7"/>
  <c r="W86" i="7"/>
  <c r="T87" i="7"/>
  <c r="P74" i="7"/>
  <c r="W74" i="7"/>
  <c r="V43" i="7"/>
  <c r="Z43" i="7" s="1"/>
  <c r="V48" i="7"/>
  <c r="Z48" i="7" s="1"/>
  <c r="W48" i="7"/>
  <c r="L169" i="7"/>
  <c r="AA132" i="7"/>
  <c r="O83" i="7"/>
  <c r="R83" i="7" s="1"/>
  <c r="S113" i="7"/>
  <c r="M106" i="7"/>
  <c r="R106" i="7" s="1"/>
  <c r="P143" i="7"/>
  <c r="S47" i="7"/>
  <c r="P48" i="7"/>
  <c r="AA168" i="7"/>
  <c r="X75" i="7"/>
  <c r="V40" i="7"/>
  <c r="Z40" i="7" s="1"/>
  <c r="O81" i="7"/>
  <c r="R81" i="7" s="1"/>
  <c r="X55" i="7"/>
  <c r="X109" i="7"/>
  <c r="AA72" i="7"/>
  <c r="M116" i="7"/>
  <c r="M20" i="7"/>
  <c r="O14" i="7"/>
  <c r="R14" i="7" s="1"/>
  <c r="W10" i="7"/>
  <c r="AA90" i="7"/>
  <c r="P60" i="7"/>
  <c r="M114" i="7"/>
  <c r="O107" i="7"/>
  <c r="V50" i="7"/>
  <c r="Z50" i="7" s="1"/>
  <c r="W23" i="7"/>
  <c r="P13" i="7"/>
  <c r="T118" i="7"/>
  <c r="O111" i="7"/>
  <c r="R111" i="7" s="1"/>
  <c r="W33" i="7"/>
  <c r="L88" i="7"/>
  <c r="W169" i="7"/>
  <c r="L153" i="7"/>
  <c r="S132" i="7"/>
  <c r="AA74" i="7"/>
  <c r="M148" i="7"/>
  <c r="AA134" i="7"/>
  <c r="M49" i="7"/>
  <c r="W34" i="7"/>
  <c r="P55" i="7"/>
  <c r="W80" i="7"/>
  <c r="AA39" i="7"/>
  <c r="O12" i="7"/>
  <c r="R12" i="7" s="1"/>
  <c r="X154" i="7"/>
  <c r="AA164" i="7"/>
  <c r="W62" i="7"/>
  <c r="W46" i="7"/>
  <c r="V25" i="7"/>
  <c r="Z25" i="7" s="1"/>
  <c r="AB25" i="7" s="1"/>
  <c r="AC25" i="7" s="1"/>
  <c r="AA103" i="7"/>
  <c r="X103" i="7"/>
  <c r="W97" i="7"/>
  <c r="X141" i="7"/>
  <c r="AA146" i="7"/>
  <c r="L181" i="7"/>
  <c r="M130" i="7"/>
  <c r="W113" i="7"/>
  <c r="X106" i="7"/>
  <c r="O156" i="7"/>
  <c r="R156" i="7" s="1"/>
  <c r="W108" i="7"/>
  <c r="L162" i="7"/>
  <c r="S59" i="7"/>
  <c r="V15" i="7"/>
  <c r="Z15" i="7" s="1"/>
  <c r="X116" i="7"/>
  <c r="S39" i="7"/>
  <c r="V30" i="7"/>
  <c r="Z30" i="7" s="1"/>
  <c r="O90" i="7"/>
  <c r="R90" i="7" s="1"/>
  <c r="P76" i="7"/>
  <c r="L107" i="7"/>
  <c r="P87" i="7"/>
  <c r="X179" i="7"/>
  <c r="AA83" i="7"/>
  <c r="W83" i="7"/>
  <c r="L138" i="7"/>
  <c r="V178" i="7"/>
  <c r="Z178" i="7" s="1"/>
  <c r="T164" i="7"/>
  <c r="L82" i="7"/>
  <c r="L40" i="7"/>
  <c r="W81" i="7"/>
  <c r="W67" i="7"/>
  <c r="AA123" i="7"/>
  <c r="W52" i="7"/>
  <c r="P45" i="7"/>
  <c r="P39" i="7"/>
  <c r="W32" i="7"/>
  <c r="L25" i="7"/>
  <c r="M90" i="7"/>
  <c r="O76" i="7"/>
  <c r="R76" i="7" s="1"/>
  <c r="W122" i="7"/>
  <c r="O23" i="7"/>
  <c r="R23" i="7" s="1"/>
  <c r="V17" i="7"/>
  <c r="Z17" i="7" s="1"/>
  <c r="L13" i="7"/>
  <c r="O87" i="7"/>
  <c r="R87" i="7" s="1"/>
  <c r="P70" i="7"/>
  <c r="X111" i="7"/>
  <c r="M102" i="7"/>
  <c r="R102" i="7" s="1"/>
  <c r="H27" i="7"/>
  <c r="AA95" i="7"/>
  <c r="M18" i="7"/>
  <c r="X91" i="7"/>
  <c r="T88" i="7"/>
  <c r="P146" i="7"/>
  <c r="L147" i="7"/>
  <c r="T125" i="7"/>
  <c r="AA106" i="7"/>
  <c r="AA35" i="7"/>
  <c r="O164" i="7"/>
  <c r="R164" i="7" s="1"/>
  <c r="V143" i="7"/>
  <c r="Z143" i="7" s="1"/>
  <c r="S108" i="7"/>
  <c r="AA84" i="7"/>
  <c r="T134" i="7"/>
  <c r="W61" i="7"/>
  <c r="AA54" i="7"/>
  <c r="O45" i="7"/>
  <c r="R45" i="7" s="1"/>
  <c r="O39" i="7"/>
  <c r="R39" i="7" s="1"/>
  <c r="L68" i="7"/>
  <c r="AA107" i="7"/>
  <c r="T103" i="7"/>
  <c r="T96" i="7"/>
  <c r="M23" i="7"/>
  <c r="M87" i="7"/>
  <c r="S88" i="7"/>
  <c r="W87" i="7"/>
  <c r="V87" i="7"/>
  <c r="Z87" i="7" s="1"/>
  <c r="W193" i="7"/>
  <c r="AA190" i="7"/>
  <c r="AA166" i="7"/>
  <c r="X185" i="7"/>
  <c r="T174" i="7"/>
  <c r="P149" i="7"/>
  <c r="O146" i="7"/>
  <c r="R146" i="7" s="1"/>
  <c r="W139" i="7"/>
  <c r="T115" i="7"/>
  <c r="S176" i="7"/>
  <c r="L165" i="7"/>
  <c r="X138" i="7"/>
  <c r="M125" i="7"/>
  <c r="L119" i="7"/>
  <c r="S178" i="7"/>
  <c r="S173" i="7"/>
  <c r="L148" i="7"/>
  <c r="M108" i="7"/>
  <c r="S134" i="7"/>
  <c r="W22" i="7"/>
  <c r="AA81" i="7"/>
  <c r="AA62" i="7"/>
  <c r="T123" i="7"/>
  <c r="P80" i="7"/>
  <c r="M45" i="7"/>
  <c r="M39" i="7"/>
  <c r="AA122" i="7"/>
  <c r="AA114" i="7"/>
  <c r="S103" i="7"/>
  <c r="M96" i="7"/>
  <c r="L17" i="7"/>
  <c r="L87" i="7"/>
  <c r="V188" i="7"/>
  <c r="Z188" i="7" s="1"/>
  <c r="M186" i="7"/>
  <c r="M149" i="7"/>
  <c r="L144" i="7"/>
  <c r="O151" i="7"/>
  <c r="R151" i="7" s="1"/>
  <c r="Y142" i="7"/>
  <c r="T131" i="7"/>
  <c r="T106" i="7"/>
  <c r="S35" i="7"/>
  <c r="O178" i="7"/>
  <c r="R178" i="7" s="1"/>
  <c r="AA47" i="7"/>
  <c r="L79" i="7"/>
  <c r="L73" i="7"/>
  <c r="W15" i="7"/>
  <c r="L8" i="7"/>
  <c r="AA116" i="7"/>
  <c r="O54" i="7"/>
  <c r="R54" i="7" s="1"/>
  <c r="V122" i="7"/>
  <c r="Z122" i="7" s="1"/>
  <c r="P103" i="7"/>
  <c r="L27" i="7"/>
  <c r="T95" i="7"/>
  <c r="O166" i="7"/>
  <c r="R166" i="7" s="1"/>
  <c r="W121" i="7"/>
  <c r="V159" i="7"/>
  <c r="Z159" i="7" s="1"/>
  <c r="P131" i="7"/>
  <c r="S106" i="7"/>
  <c r="O35" i="7"/>
  <c r="X164" i="7"/>
  <c r="Y48" i="7"/>
  <c r="T66" i="7"/>
  <c r="T62" i="7"/>
  <c r="T46" i="7"/>
  <c r="M54" i="7"/>
  <c r="P114" i="7"/>
  <c r="L50" i="7"/>
  <c r="L29" i="7"/>
  <c r="O103" i="7"/>
  <c r="R103" i="7" s="1"/>
  <c r="T9" i="7"/>
  <c r="M97" i="7"/>
  <c r="S95" i="7"/>
  <c r="O190" i="7"/>
  <c r="R190" i="7" s="1"/>
  <c r="W188" i="7"/>
  <c r="L161" i="7"/>
  <c r="V151" i="7"/>
  <c r="Z151" i="7" s="1"/>
  <c r="W125" i="7"/>
  <c r="O106" i="7"/>
  <c r="M35" i="7"/>
  <c r="R35" i="7" s="1"/>
  <c r="T47" i="7"/>
  <c r="S66" i="7"/>
  <c r="V67" i="7"/>
  <c r="Z67" i="7" s="1"/>
  <c r="M62" i="7"/>
  <c r="AA55" i="7"/>
  <c r="X52" i="7"/>
  <c r="O116" i="7"/>
  <c r="R116" i="7" s="1"/>
  <c r="Y105" i="7"/>
  <c r="P14" i="7"/>
  <c r="X90" i="7"/>
  <c r="T60" i="7"/>
  <c r="P122" i="7"/>
  <c r="O114" i="7"/>
  <c r="R114" i="7" s="1"/>
  <c r="P107" i="7"/>
  <c r="H50" i="7"/>
  <c r="H29" i="7"/>
  <c r="AA87" i="7"/>
  <c r="P111" i="7"/>
  <c r="H33" i="7"/>
  <c r="L97" i="7"/>
  <c r="O95" i="7"/>
  <c r="R95" i="7" s="1"/>
  <c r="X18" i="7"/>
  <c r="H91" i="7"/>
  <c r="L193" i="7"/>
  <c r="P192" i="7"/>
  <c r="T188" i="7"/>
  <c r="L85" i="7"/>
  <c r="L194" i="7"/>
  <c r="O192" i="7"/>
  <c r="R192" i="7" s="1"/>
  <c r="P190" i="7"/>
  <c r="V183" i="7"/>
  <c r="Z183" i="7" s="1"/>
  <c r="P166" i="7"/>
  <c r="V155" i="7"/>
  <c r="Z155" i="7" s="1"/>
  <c r="M160" i="7"/>
  <c r="AA160" i="7"/>
  <c r="M159" i="7"/>
  <c r="R159" i="7" s="1"/>
  <c r="S159" i="7"/>
  <c r="AA159" i="7"/>
  <c r="M43" i="7"/>
  <c r="S43" i="7"/>
  <c r="T43" i="7"/>
  <c r="X43" i="7"/>
  <c r="S181" i="7"/>
  <c r="M181" i="7"/>
  <c r="O181" i="7"/>
  <c r="R181" i="7" s="1"/>
  <c r="P181" i="7"/>
  <c r="W85" i="7"/>
  <c r="L192" i="7"/>
  <c r="L188" i="7"/>
  <c r="L183" i="7"/>
  <c r="S172" i="7"/>
  <c r="L155" i="7"/>
  <c r="O150" i="7"/>
  <c r="R150" i="7" s="1"/>
  <c r="S150" i="7"/>
  <c r="T150" i="7"/>
  <c r="Y167" i="7"/>
  <c r="L167" i="7"/>
  <c r="X149" i="7"/>
  <c r="AA40" i="7"/>
  <c r="T40" i="7"/>
  <c r="V44" i="7"/>
  <c r="Z44" i="7" s="1"/>
  <c r="Y44" i="7"/>
  <c r="P191" i="7"/>
  <c r="O191" i="7"/>
  <c r="R191" i="7" s="1"/>
  <c r="P182" i="7"/>
  <c r="AA182" i="7"/>
  <c r="P167" i="7"/>
  <c r="M167" i="7"/>
  <c r="T167" i="7"/>
  <c r="AA167" i="7"/>
  <c r="V9" i="7"/>
  <c r="Z9" i="7" s="1"/>
  <c r="W9" i="7"/>
  <c r="L32" i="7"/>
  <c r="Y32" i="7"/>
  <c r="V111" i="7"/>
  <c r="Z111" i="7" s="1"/>
  <c r="AB111" i="7" s="1"/>
  <c r="AC111" i="7" s="1"/>
  <c r="W111" i="7"/>
  <c r="M119" i="7"/>
  <c r="O119" i="7"/>
  <c r="R119" i="7" s="1"/>
  <c r="P119" i="7"/>
  <c r="S119" i="7"/>
  <c r="AA119" i="7"/>
  <c r="V192" i="7"/>
  <c r="Z192" i="7" s="1"/>
  <c r="AB192" i="7" s="1"/>
  <c r="AC192" i="7" s="1"/>
  <c r="AA183" i="7"/>
  <c r="X186" i="7"/>
  <c r="L180" i="7"/>
  <c r="X175" i="7"/>
  <c r="H139" i="7"/>
  <c r="X139" i="7"/>
  <c r="M139" i="7"/>
  <c r="O139" i="7"/>
  <c r="R139" i="7" s="1"/>
  <c r="P139" i="7"/>
  <c r="S139" i="7"/>
  <c r="V27" i="7"/>
  <c r="Z27" i="7" s="1"/>
  <c r="Y27" i="7"/>
  <c r="X155" i="7"/>
  <c r="V170" i="7"/>
  <c r="Z170" i="7" s="1"/>
  <c r="V154" i="7"/>
  <c r="Z154" i="7" s="1"/>
  <c r="M141" i="7"/>
  <c r="R141" i="7" s="1"/>
  <c r="H133" i="7"/>
  <c r="T133" i="7"/>
  <c r="P133" i="7"/>
  <c r="H24" i="7"/>
  <c r="M24" i="7"/>
  <c r="R24" i="7" s="1"/>
  <c r="O24" i="7"/>
  <c r="S24" i="7"/>
  <c r="T24" i="7"/>
  <c r="X24" i="7"/>
  <c r="AA24" i="7"/>
  <c r="V193" i="7"/>
  <c r="Z193" i="7" s="1"/>
  <c r="X192" i="7"/>
  <c r="W180" i="7"/>
  <c r="X166" i="7"/>
  <c r="V163" i="7"/>
  <c r="Z163" i="7" s="1"/>
  <c r="X145" i="7"/>
  <c r="V133" i="7"/>
  <c r="Z133" i="7" s="1"/>
  <c r="V169" i="7"/>
  <c r="Z169" i="7" s="1"/>
  <c r="AB169" i="7" s="1"/>
  <c r="AC169" i="7" s="1"/>
  <c r="V120" i="7"/>
  <c r="Z120" i="7" s="1"/>
  <c r="L120" i="7"/>
  <c r="X63" i="7"/>
  <c r="L63" i="7"/>
  <c r="W63" i="7"/>
  <c r="Y188" i="7"/>
  <c r="V177" i="7"/>
  <c r="Z177" i="7" s="1"/>
  <c r="W185" i="7"/>
  <c r="H169" i="7"/>
  <c r="T169" i="7"/>
  <c r="P169" i="7"/>
  <c r="W12" i="7"/>
  <c r="X12" i="7"/>
  <c r="V141" i="7"/>
  <c r="Z141" i="7" s="1"/>
  <c r="W141" i="7"/>
  <c r="L175" i="7"/>
  <c r="Y175" i="7"/>
  <c r="M92" i="7"/>
  <c r="O92" i="7"/>
  <c r="R92" i="7" s="1"/>
  <c r="P92" i="7"/>
  <c r="S92" i="7"/>
  <c r="T92" i="7"/>
  <c r="AA92" i="7"/>
  <c r="T193" i="7"/>
  <c r="P189" i="7"/>
  <c r="X189" i="7"/>
  <c r="AA189" i="7"/>
  <c r="H175" i="7"/>
  <c r="T175" i="7"/>
  <c r="AA175" i="7"/>
  <c r="S175" i="7"/>
  <c r="H21" i="7"/>
  <c r="M21" i="7"/>
  <c r="P21" i="7"/>
  <c r="X21" i="7"/>
  <c r="AA21" i="7"/>
  <c r="Y10" i="7"/>
  <c r="V10" i="7"/>
  <c r="Z10" i="7" s="1"/>
  <c r="L42" i="7"/>
  <c r="W42" i="7"/>
  <c r="V33" i="7"/>
  <c r="Z33" i="7" s="1"/>
  <c r="Y33" i="7"/>
  <c r="M193" i="7"/>
  <c r="S167" i="7"/>
  <c r="T121" i="7"/>
  <c r="M121" i="7"/>
  <c r="R121" i="7" s="1"/>
  <c r="P121" i="7"/>
  <c r="AA121" i="7"/>
  <c r="T181" i="7"/>
  <c r="W154" i="7"/>
  <c r="V149" i="7"/>
  <c r="Z149" i="7" s="1"/>
  <c r="P151" i="7"/>
  <c r="S146" i="7"/>
  <c r="M176" i="7"/>
  <c r="P171" i="7"/>
  <c r="T158" i="7"/>
  <c r="M131" i="7"/>
  <c r="T178" i="7"/>
  <c r="T156" i="7"/>
  <c r="O135" i="7"/>
  <c r="R135" i="7" s="1"/>
  <c r="O128" i="7"/>
  <c r="R128" i="7" s="1"/>
  <c r="O47" i="7"/>
  <c r="P126" i="7"/>
  <c r="H75" i="7"/>
  <c r="L69" i="7"/>
  <c r="AA59" i="7"/>
  <c r="AA53" i="7"/>
  <c r="P34" i="7"/>
  <c r="W11" i="7"/>
  <c r="W157" i="7"/>
  <c r="T55" i="7"/>
  <c r="AA52" i="7"/>
  <c r="Y41" i="7"/>
  <c r="V21" i="7"/>
  <c r="Z21" i="7" s="1"/>
  <c r="Y8" i="7"/>
  <c r="X77" i="7"/>
  <c r="X72" i="7"/>
  <c r="AA120" i="7"/>
  <c r="H25" i="7"/>
  <c r="M10" i="7"/>
  <c r="M93" i="7"/>
  <c r="AA68" i="7"/>
  <c r="M60" i="7"/>
  <c r="S114" i="7"/>
  <c r="Y50" i="7"/>
  <c r="Y29" i="7"/>
  <c r="V13" i="7"/>
  <c r="Z13" i="7" s="1"/>
  <c r="H9" i="7"/>
  <c r="M89" i="7"/>
  <c r="X70" i="7"/>
  <c r="O104" i="7"/>
  <c r="O102" i="7"/>
  <c r="P33" i="7"/>
  <c r="P101" i="7"/>
  <c r="S97" i="7"/>
  <c r="Y94" i="7"/>
  <c r="AA88" i="7"/>
  <c r="H86" i="7"/>
  <c r="T162" i="7"/>
  <c r="Y157" i="7"/>
  <c r="S123" i="7"/>
  <c r="S41" i="7"/>
  <c r="S100" i="7"/>
  <c r="T77" i="7"/>
  <c r="L30" i="7"/>
  <c r="W50" i="7"/>
  <c r="W17" i="7"/>
  <c r="T130" i="7"/>
  <c r="AA58" i="7"/>
  <c r="L106" i="7"/>
  <c r="V135" i="7"/>
  <c r="Z135" i="7" s="1"/>
  <c r="L19" i="7"/>
  <c r="S162" i="7"/>
  <c r="T53" i="7"/>
  <c r="W49" i="7"/>
  <c r="AA22" i="7"/>
  <c r="W16" i="7"/>
  <c r="Y11" i="7"/>
  <c r="P41" i="7"/>
  <c r="L37" i="7"/>
  <c r="S77" i="7"/>
  <c r="S61" i="7"/>
  <c r="X120" i="7"/>
  <c r="V54" i="7"/>
  <c r="Z54" i="7" s="1"/>
  <c r="W45" i="7"/>
  <c r="V20" i="7"/>
  <c r="Z20" i="7" s="1"/>
  <c r="T68" i="7"/>
  <c r="X42" i="7"/>
  <c r="X13" i="7"/>
  <c r="W118" i="7"/>
  <c r="P95" i="7"/>
  <c r="T94" i="7"/>
  <c r="L83" i="7"/>
  <c r="S130" i="7"/>
  <c r="L74" i="7"/>
  <c r="P162" i="7"/>
  <c r="T84" i="7"/>
  <c r="V79" i="7"/>
  <c r="Z79" i="7" s="1"/>
  <c r="S53" i="7"/>
  <c r="V11" i="7"/>
  <c r="Z11" i="7" s="1"/>
  <c r="AA78" i="7"/>
  <c r="L67" i="7"/>
  <c r="V62" i="7"/>
  <c r="Z62" i="7" s="1"/>
  <c r="P123" i="7"/>
  <c r="L46" i="7"/>
  <c r="O41" i="7"/>
  <c r="R41" i="7" s="1"/>
  <c r="P100" i="7"/>
  <c r="V109" i="7"/>
  <c r="Z109" i="7" s="1"/>
  <c r="P77" i="7"/>
  <c r="S72" i="7"/>
  <c r="P61" i="7"/>
  <c r="L99" i="7"/>
  <c r="V90" i="7"/>
  <c r="Z90" i="7" s="1"/>
  <c r="S68" i="7"/>
  <c r="T17" i="7"/>
  <c r="W13" i="7"/>
  <c r="V102" i="7"/>
  <c r="Z102" i="7" s="1"/>
  <c r="O94" i="7"/>
  <c r="R94" i="7" s="1"/>
  <c r="W6" i="7"/>
  <c r="W167" i="7"/>
  <c r="L132" i="7"/>
  <c r="H83" i="7"/>
  <c r="S142" i="7"/>
  <c r="T58" i="7"/>
  <c r="AA131" i="7"/>
  <c r="H106" i="7"/>
  <c r="H173" i="7"/>
  <c r="V74" i="7"/>
  <c r="Z74" i="7" s="1"/>
  <c r="V47" i="7"/>
  <c r="Z47" i="7" s="1"/>
  <c r="O162" i="7"/>
  <c r="R162" i="7" s="1"/>
  <c r="P84" i="7"/>
  <c r="S16" i="7"/>
  <c r="O157" i="7"/>
  <c r="R157" i="7" s="1"/>
  <c r="X78" i="7"/>
  <c r="O123" i="7"/>
  <c r="M41" i="7"/>
  <c r="O26" i="7"/>
  <c r="O100" i="7"/>
  <c r="H109" i="7"/>
  <c r="H37" i="7"/>
  <c r="V80" i="7"/>
  <c r="Z80" i="7" s="1"/>
  <c r="O77" i="7"/>
  <c r="R77" i="7" s="1"/>
  <c r="P72" i="7"/>
  <c r="L65" i="7"/>
  <c r="O61" i="7"/>
  <c r="R61" i="7" s="1"/>
  <c r="T120" i="7"/>
  <c r="T116" i="7"/>
  <c r="AA45" i="7"/>
  <c r="Y30" i="7"/>
  <c r="H99" i="7"/>
  <c r="AA10" i="7"/>
  <c r="X10" i="7"/>
  <c r="M76" i="7"/>
  <c r="P68" i="7"/>
  <c r="AA60" i="7"/>
  <c r="P50" i="7"/>
  <c r="M98" i="7"/>
  <c r="L96" i="7"/>
  <c r="L23" i="7"/>
  <c r="P17" i="7"/>
  <c r="X9" i="7"/>
  <c r="W89" i="7"/>
  <c r="O70" i="7"/>
  <c r="R70" i="7" s="1"/>
  <c r="T63" i="7"/>
  <c r="AA104" i="7"/>
  <c r="L44" i="7"/>
  <c r="W27" i="7"/>
  <c r="M94" i="7"/>
  <c r="S18" i="7"/>
  <c r="P91" i="7"/>
  <c r="L141" i="7"/>
  <c r="L133" i="7"/>
  <c r="L140" i="7"/>
  <c r="L139" i="7"/>
  <c r="AA176" i="7"/>
  <c r="W176" i="7"/>
  <c r="L171" i="7"/>
  <c r="P142" i="7"/>
  <c r="M136" i="7"/>
  <c r="P130" i="7"/>
  <c r="S58" i="7"/>
  <c r="W131" i="7"/>
  <c r="V106" i="7"/>
  <c r="Z106" i="7" s="1"/>
  <c r="W173" i="7"/>
  <c r="L128" i="7"/>
  <c r="W47" i="7"/>
  <c r="H168" i="7"/>
  <c r="O84" i="7"/>
  <c r="R84" i="7" s="1"/>
  <c r="P79" i="7"/>
  <c r="P53" i="7"/>
  <c r="T22" i="7"/>
  <c r="S11" i="7"/>
  <c r="M157" i="7"/>
  <c r="H46" i="7"/>
  <c r="M100" i="7"/>
  <c r="R100" i="7" s="1"/>
  <c r="W109" i="7"/>
  <c r="Y15" i="7"/>
  <c r="L7" i="7"/>
  <c r="M77" i="7"/>
  <c r="O72" i="7"/>
  <c r="R72" i="7" s="1"/>
  <c r="M61" i="7"/>
  <c r="O120" i="7"/>
  <c r="S116" i="7"/>
  <c r="X30" i="7"/>
  <c r="O68" i="7"/>
  <c r="R68" i="7" s="1"/>
  <c r="X60" i="7"/>
  <c r="O50" i="7"/>
  <c r="R50" i="7" s="1"/>
  <c r="P42" i="7"/>
  <c r="L36" i="7"/>
  <c r="O17" i="7"/>
  <c r="R17" i="7" s="1"/>
  <c r="AA89" i="7"/>
  <c r="M70" i="7"/>
  <c r="O63" i="7"/>
  <c r="R63" i="7" s="1"/>
  <c r="L104" i="7"/>
  <c r="L102" i="7"/>
  <c r="P18" i="7"/>
  <c r="V91" i="7"/>
  <c r="Z91" i="7" s="1"/>
  <c r="L145" i="7"/>
  <c r="L182" i="7"/>
  <c r="X146" i="7"/>
  <c r="X176" i="7"/>
  <c r="Y83" i="7"/>
  <c r="P58" i="7"/>
  <c r="X131" i="7"/>
  <c r="W106" i="7"/>
  <c r="AA128" i="7"/>
  <c r="X47" i="7"/>
  <c r="W19" i="7"/>
  <c r="X59" i="7"/>
  <c r="W43" i="7"/>
  <c r="X31" i="7"/>
  <c r="P22" i="7"/>
  <c r="T78" i="7"/>
  <c r="H52" i="7"/>
  <c r="V41" i="7"/>
  <c r="Z41" i="7" s="1"/>
  <c r="V100" i="7"/>
  <c r="Z100" i="7" s="1"/>
  <c r="AB100" i="7" s="1"/>
  <c r="AC100" i="7" s="1"/>
  <c r="H7" i="7"/>
  <c r="V65" i="7"/>
  <c r="Z65" i="7" s="1"/>
  <c r="AA93" i="7"/>
  <c r="H107" i="7"/>
  <c r="L70" i="7"/>
  <c r="M63" i="7"/>
  <c r="X104" i="7"/>
  <c r="AA27" i="7"/>
  <c r="AA101" i="7"/>
  <c r="W73" i="7"/>
  <c r="V55" i="7"/>
  <c r="Z55" i="7" s="1"/>
  <c r="AB55" i="7" s="1"/>
  <c r="AC55" i="7" s="1"/>
  <c r="V107" i="7"/>
  <c r="Z107" i="7" s="1"/>
  <c r="L31" i="7"/>
  <c r="L15" i="7"/>
  <c r="T10" i="7"/>
  <c r="S93" i="7"/>
  <c r="W90" i="7"/>
  <c r="S60" i="7"/>
  <c r="S89" i="7"/>
  <c r="T104" i="7"/>
  <c r="X102" i="7"/>
  <c r="X27" i="7"/>
  <c r="AA97" i="7"/>
  <c r="L12" i="7"/>
  <c r="H42" i="7"/>
  <c r="S104" i="7"/>
  <c r="T101" i="7"/>
  <c r="W95" i="7"/>
  <c r="H12" i="7"/>
  <c r="H154" i="7"/>
  <c r="W153" i="7"/>
  <c r="L121" i="7"/>
  <c r="S171" i="7"/>
  <c r="V125" i="7"/>
  <c r="Z125" i="7" s="1"/>
  <c r="V82" i="7"/>
  <c r="Z82" i="7" s="1"/>
  <c r="X71" i="7"/>
  <c r="S126" i="7"/>
  <c r="X124" i="7"/>
  <c r="AA162" i="7"/>
  <c r="X162" i="7"/>
  <c r="V49" i="7"/>
  <c r="Z49" i="7" s="1"/>
  <c r="X117" i="7"/>
  <c r="L123" i="7"/>
  <c r="AA41" i="7"/>
  <c r="X100" i="7"/>
  <c r="X37" i="7"/>
  <c r="L77" i="7"/>
  <c r="AA61" i="7"/>
  <c r="H30" i="7"/>
  <c r="W105" i="7"/>
  <c r="O93" i="7"/>
  <c r="R93" i="7" s="1"/>
  <c r="V42" i="7"/>
  <c r="Z42" i="7" s="1"/>
  <c r="AA98" i="7"/>
  <c r="H13" i="7"/>
  <c r="S33" i="7"/>
  <c r="T27" i="7"/>
  <c r="X94" i="7"/>
  <c r="V18" i="7"/>
  <c r="Z18" i="7" s="1"/>
  <c r="V12" i="7"/>
  <c r="Z12" i="7" s="1"/>
  <c r="V86" i="7"/>
  <c r="Z86" i="7" s="1"/>
  <c r="AB86" i="7" s="1"/>
  <c r="AC86" i="7" s="1"/>
  <c r="H163" i="7"/>
  <c r="T163" i="7"/>
  <c r="Y184" i="7"/>
  <c r="L184" i="7"/>
  <c r="H152" i="7"/>
  <c r="AA152" i="7"/>
  <c r="M152" i="7"/>
  <c r="O152" i="7"/>
  <c r="R152" i="7" s="1"/>
  <c r="P152" i="7"/>
  <c r="H147" i="7"/>
  <c r="O147" i="7"/>
  <c r="R147" i="7" s="1"/>
  <c r="S147" i="7"/>
  <c r="X147" i="7"/>
  <c r="V75" i="7"/>
  <c r="Z75" i="7" s="1"/>
  <c r="AB75" i="7" s="1"/>
  <c r="AC75" i="7" s="1"/>
  <c r="W75" i="7"/>
  <c r="H28" i="7"/>
  <c r="T28" i="7"/>
  <c r="X28" i="7"/>
  <c r="M28" i="7"/>
  <c r="O28" i="7"/>
  <c r="R28" i="7" s="1"/>
  <c r="P28" i="7"/>
  <c r="S28" i="7"/>
  <c r="AA28" i="7"/>
  <c r="V181" i="7"/>
  <c r="Z181" i="7" s="1"/>
  <c r="W181" i="7"/>
  <c r="W128" i="7"/>
  <c r="W126" i="7"/>
  <c r="L126" i="7"/>
  <c r="X81" i="7"/>
  <c r="L81" i="7"/>
  <c r="H85" i="7"/>
  <c r="O85" i="7"/>
  <c r="R85" i="7" s="1"/>
  <c r="P85" i="7"/>
  <c r="X85" i="7"/>
  <c r="H180" i="7"/>
  <c r="M180" i="7"/>
  <c r="AA180" i="7"/>
  <c r="O180" i="7"/>
  <c r="R180" i="7" s="1"/>
  <c r="H161" i="7"/>
  <c r="AA161" i="7"/>
  <c r="S161" i="7"/>
  <c r="L174" i="7"/>
  <c r="W174" i="7"/>
  <c r="H184" i="7"/>
  <c r="O184" i="7"/>
  <c r="R184" i="7" s="1"/>
  <c r="S184" i="7"/>
  <c r="T184" i="7"/>
  <c r="X184" i="7"/>
  <c r="AA184" i="7"/>
  <c r="M184" i="7"/>
  <c r="V152" i="7"/>
  <c r="Z152" i="7" s="1"/>
  <c r="W152" i="7"/>
  <c r="L136" i="7"/>
  <c r="Y136" i="7"/>
  <c r="H82" i="7"/>
  <c r="O82" i="7"/>
  <c r="R82" i="7" s="1"/>
  <c r="S82" i="7"/>
  <c r="T82" i="7"/>
  <c r="M82" i="7"/>
  <c r="P82" i="7"/>
  <c r="S193" i="7"/>
  <c r="W192" i="7"/>
  <c r="P186" i="7"/>
  <c r="X180" i="7"/>
  <c r="P150" i="7"/>
  <c r="P145" i="7"/>
  <c r="S141" i="7"/>
  <c r="S185" i="7"/>
  <c r="O179" i="7"/>
  <c r="R179" i="7" s="1"/>
  <c r="V175" i="7"/>
  <c r="Z175" i="7" s="1"/>
  <c r="AA144" i="7"/>
  <c r="S140" i="7"/>
  <c r="W146" i="7"/>
  <c r="V176" i="7"/>
  <c r="Z176" i="7" s="1"/>
  <c r="Y176" i="7"/>
  <c r="V173" i="7"/>
  <c r="Z173" i="7" s="1"/>
  <c r="L173" i="7"/>
  <c r="X148" i="7"/>
  <c r="X48" i="7"/>
  <c r="L48" i="7"/>
  <c r="V81" i="7"/>
  <c r="Z81" i="7" s="1"/>
  <c r="AA85" i="7"/>
  <c r="H194" i="7"/>
  <c r="X194" i="7"/>
  <c r="O194" i="7"/>
  <c r="R194" i="7" s="1"/>
  <c r="AA187" i="7"/>
  <c r="H177" i="7"/>
  <c r="T177" i="7"/>
  <c r="P172" i="7"/>
  <c r="X161" i="7"/>
  <c r="X163" i="7"/>
  <c r="S191" i="7"/>
  <c r="P185" i="7"/>
  <c r="P140" i="7"/>
  <c r="V132" i="7"/>
  <c r="Z132" i="7" s="1"/>
  <c r="W132" i="7"/>
  <c r="H127" i="7"/>
  <c r="T127" i="7"/>
  <c r="X127" i="7"/>
  <c r="M127" i="7"/>
  <c r="H115" i="7"/>
  <c r="AA115" i="7"/>
  <c r="O115" i="7"/>
  <c r="P115" i="7"/>
  <c r="S115" i="7"/>
  <c r="X115" i="7"/>
  <c r="V83" i="7"/>
  <c r="Z83" i="7" s="1"/>
  <c r="V130" i="7"/>
  <c r="Z130" i="7" s="1"/>
  <c r="Y125" i="7"/>
  <c r="W148" i="7"/>
  <c r="Y156" i="7"/>
  <c r="L156" i="7"/>
  <c r="Y85" i="7"/>
  <c r="L187" i="7"/>
  <c r="H183" i="7"/>
  <c r="M183" i="7"/>
  <c r="R183" i="7" s="1"/>
  <c r="T183" i="7"/>
  <c r="V180" i="7"/>
  <c r="Z180" i="7" s="1"/>
  <c r="O172" i="7"/>
  <c r="R172" i="7" s="1"/>
  <c r="W161" i="7"/>
  <c r="H155" i="7"/>
  <c r="T155" i="7"/>
  <c r="AA155" i="7"/>
  <c r="X174" i="7"/>
  <c r="H165" i="7"/>
  <c r="M165" i="7"/>
  <c r="O165" i="7"/>
  <c r="R165" i="7" s="1"/>
  <c r="P165" i="7"/>
  <c r="S165" i="7"/>
  <c r="X165" i="7"/>
  <c r="AA147" i="7"/>
  <c r="H112" i="7"/>
  <c r="X112" i="7"/>
  <c r="S112" i="7"/>
  <c r="T112" i="7"/>
  <c r="AA112" i="7"/>
  <c r="V66" i="7"/>
  <c r="Z66" i="7" s="1"/>
  <c r="Y66" i="7"/>
  <c r="Y59" i="7"/>
  <c r="W117" i="7"/>
  <c r="V117" i="7"/>
  <c r="Z117" i="7" s="1"/>
  <c r="AB117" i="7" s="1"/>
  <c r="AC117" i="7" s="1"/>
  <c r="Y180" i="7"/>
  <c r="V185" i="7"/>
  <c r="Z185" i="7" s="1"/>
  <c r="L185" i="7"/>
  <c r="X152" i="7"/>
  <c r="V58" i="7"/>
  <c r="Z58" i="7" s="1"/>
  <c r="W58" i="7"/>
  <c r="V164" i="7"/>
  <c r="Z164" i="7" s="1"/>
  <c r="AB164" i="7" s="1"/>
  <c r="AC164" i="7" s="1"/>
  <c r="W164" i="7"/>
  <c r="X126" i="7"/>
  <c r="W143" i="7"/>
  <c r="X143" i="7"/>
  <c r="L143" i="7"/>
  <c r="H150" i="7"/>
  <c r="M150" i="7"/>
  <c r="T161" i="7"/>
  <c r="V150" i="7"/>
  <c r="Z150" i="7" s="1"/>
  <c r="W150" i="7"/>
  <c r="V191" i="7"/>
  <c r="Z191" i="7" s="1"/>
  <c r="L191" i="7"/>
  <c r="H189" i="7"/>
  <c r="M189" i="7"/>
  <c r="O189" i="7"/>
  <c r="R189" i="7" s="1"/>
  <c r="S189" i="7"/>
  <c r="T189" i="7"/>
  <c r="H185" i="7"/>
  <c r="T185" i="7"/>
  <c r="AA185" i="7"/>
  <c r="M185" i="7"/>
  <c r="V179" i="7"/>
  <c r="Z179" i="7" s="1"/>
  <c r="W179" i="7"/>
  <c r="H140" i="7"/>
  <c r="AA140" i="7"/>
  <c r="O140" i="7"/>
  <c r="T140" i="7"/>
  <c r="X140" i="7"/>
  <c r="H56" i="7"/>
  <c r="P56" i="7"/>
  <c r="M56" i="7"/>
  <c r="O56" i="7"/>
  <c r="R56" i="7" s="1"/>
  <c r="S56" i="7"/>
  <c r="T56" i="7"/>
  <c r="X56" i="7"/>
  <c r="L160" i="7"/>
  <c r="W160" i="7"/>
  <c r="H186" i="7"/>
  <c r="S186" i="7"/>
  <c r="T186" i="7"/>
  <c r="S180" i="7"/>
  <c r="V172" i="7"/>
  <c r="Z172" i="7" s="1"/>
  <c r="AB172" i="7" s="1"/>
  <c r="AC172" i="7" s="1"/>
  <c r="L166" i="7"/>
  <c r="W155" i="7"/>
  <c r="P163" i="7"/>
  <c r="H141" i="7"/>
  <c r="P141" i="7"/>
  <c r="T141" i="7"/>
  <c r="AA141" i="7"/>
  <c r="H191" i="7"/>
  <c r="T191" i="7"/>
  <c r="M191" i="7"/>
  <c r="AA191" i="7"/>
  <c r="H144" i="7"/>
  <c r="S144" i="7"/>
  <c r="M144" i="7"/>
  <c r="R144" i="7" s="1"/>
  <c r="O144" i="7"/>
  <c r="P144" i="7"/>
  <c r="X144" i="7"/>
  <c r="V140" i="7"/>
  <c r="Z140" i="7" s="1"/>
  <c r="W140" i="7"/>
  <c r="T152" i="7"/>
  <c r="T147" i="7"/>
  <c r="X130" i="7"/>
  <c r="W130" i="7"/>
  <c r="AA82" i="7"/>
  <c r="P135" i="7"/>
  <c r="T135" i="7"/>
  <c r="X135" i="7"/>
  <c r="AA135" i="7"/>
  <c r="M135" i="7"/>
  <c r="W112" i="7"/>
  <c r="H69" i="7"/>
  <c r="M69" i="7"/>
  <c r="O69" i="7"/>
  <c r="R69" i="7" s="1"/>
  <c r="S69" i="7"/>
  <c r="T69" i="7"/>
  <c r="X69" i="7"/>
  <c r="AA69" i="7"/>
  <c r="V147" i="7"/>
  <c r="Z147" i="7" s="1"/>
  <c r="W147" i="7"/>
  <c r="W71" i="7"/>
  <c r="L71" i="7"/>
  <c r="AA163" i="7"/>
  <c r="H190" i="7"/>
  <c r="S190" i="7"/>
  <c r="T190" i="7"/>
  <c r="H179" i="7"/>
  <c r="P179" i="7"/>
  <c r="S179" i="7"/>
  <c r="T179" i="7"/>
  <c r="AA179" i="7"/>
  <c r="V165" i="7"/>
  <c r="Z165" i="7" s="1"/>
  <c r="W165" i="7"/>
  <c r="H193" i="7"/>
  <c r="P193" i="7"/>
  <c r="H170" i="7"/>
  <c r="M170" i="7"/>
  <c r="O170" i="7"/>
  <c r="R170" i="7" s="1"/>
  <c r="T170" i="7"/>
  <c r="O163" i="7"/>
  <c r="R163" i="7" s="1"/>
  <c r="V144" i="7"/>
  <c r="Z144" i="7" s="1"/>
  <c r="W144" i="7"/>
  <c r="L146" i="7"/>
  <c r="P147" i="7"/>
  <c r="H124" i="7"/>
  <c r="P124" i="7"/>
  <c r="T124" i="7"/>
  <c r="O124" i="7"/>
  <c r="R124" i="7" s="1"/>
  <c r="M124" i="7"/>
  <c r="S124" i="7"/>
  <c r="AA124" i="7"/>
  <c r="V69" i="7"/>
  <c r="Z69" i="7" s="1"/>
  <c r="W69" i="7"/>
  <c r="H187" i="7"/>
  <c r="T187" i="7"/>
  <c r="X187" i="7"/>
  <c r="S163" i="7"/>
  <c r="H145" i="7"/>
  <c r="M145" i="7"/>
  <c r="S145" i="7"/>
  <c r="T145" i="7"/>
  <c r="H182" i="7"/>
  <c r="M182" i="7"/>
  <c r="O182" i="7"/>
  <c r="R182" i="7" s="1"/>
  <c r="S182" i="7"/>
  <c r="T182" i="7"/>
  <c r="T85" i="7"/>
  <c r="T180" i="7"/>
  <c r="X190" i="7"/>
  <c r="AA193" i="7"/>
  <c r="W190" i="7"/>
  <c r="X183" i="7"/>
  <c r="P161" i="7"/>
  <c r="AA150" i="7"/>
  <c r="V174" i="7"/>
  <c r="Z174" i="7" s="1"/>
  <c r="H153" i="7"/>
  <c r="S153" i="7"/>
  <c r="X153" i="7"/>
  <c r="P153" i="7"/>
  <c r="T153" i="7"/>
  <c r="AA153" i="7"/>
  <c r="X171" i="7"/>
  <c r="W171" i="7"/>
  <c r="S152" i="7"/>
  <c r="V138" i="7"/>
  <c r="Z138" i="7" s="1"/>
  <c r="AB138" i="7" s="1"/>
  <c r="AC138" i="7" s="1"/>
  <c r="W138" i="7"/>
  <c r="V71" i="7"/>
  <c r="Z71" i="7" s="1"/>
  <c r="Y71" i="7"/>
  <c r="M85" i="7"/>
  <c r="S194" i="7"/>
  <c r="P187" i="7"/>
  <c r="W183" i="7"/>
  <c r="AA186" i="7"/>
  <c r="P180" i="7"/>
  <c r="S177" i="7"/>
  <c r="L172" i="7"/>
  <c r="H166" i="7"/>
  <c r="S166" i="7"/>
  <c r="T166" i="7"/>
  <c r="O161" i="7"/>
  <c r="AA170" i="7"/>
  <c r="M163" i="7"/>
  <c r="Y150" i="7"/>
  <c r="H174" i="7"/>
  <c r="AA174" i="7"/>
  <c r="O174" i="7"/>
  <c r="R174" i="7" s="1"/>
  <c r="P174" i="7"/>
  <c r="S174" i="7"/>
  <c r="V146" i="7"/>
  <c r="Z146" i="7" s="1"/>
  <c r="Y146" i="7"/>
  <c r="Y132" i="7"/>
  <c r="V171" i="7"/>
  <c r="Z171" i="7" s="1"/>
  <c r="L158" i="7"/>
  <c r="M147" i="7"/>
  <c r="V136" i="7"/>
  <c r="Z136" i="7" s="1"/>
  <c r="H113" i="7"/>
  <c r="X113" i="7"/>
  <c r="AA113" i="7"/>
  <c r="X82" i="7"/>
  <c r="H71" i="7"/>
  <c r="AA71" i="7"/>
  <c r="M71" i="7"/>
  <c r="R71" i="7" s="1"/>
  <c r="O71" i="7"/>
  <c r="S71" i="7"/>
  <c r="T71" i="7"/>
  <c r="L56" i="7"/>
  <c r="W56" i="7"/>
  <c r="V124" i="7"/>
  <c r="Z124" i="7" s="1"/>
  <c r="W124" i="7"/>
  <c r="H15" i="7"/>
  <c r="AA15" i="7"/>
  <c r="M15" i="7"/>
  <c r="O15" i="7"/>
  <c r="R15" i="7" s="1"/>
  <c r="P15" i="7"/>
  <c r="S15" i="7"/>
  <c r="T15" i="7"/>
  <c r="X15" i="7"/>
  <c r="P136" i="7"/>
  <c r="T136" i="7"/>
  <c r="O136" i="7"/>
  <c r="R136" i="7" s="1"/>
  <c r="S136" i="7"/>
  <c r="X136" i="7"/>
  <c r="H172" i="7"/>
  <c r="M172" i="7"/>
  <c r="T172" i="7"/>
  <c r="S85" i="7"/>
  <c r="X193" i="7"/>
  <c r="H188" i="7"/>
  <c r="M188" i="7"/>
  <c r="AA188" i="7"/>
  <c r="O188" i="7"/>
  <c r="R188" i="7" s="1"/>
  <c r="O187" i="7"/>
  <c r="X172" i="7"/>
  <c r="W166" i="7"/>
  <c r="M161" i="7"/>
  <c r="R161" i="7" s="1"/>
  <c r="S155" i="7"/>
  <c r="X150" i="7"/>
  <c r="AA145" i="7"/>
  <c r="H160" i="7"/>
  <c r="O160" i="7"/>
  <c r="R160" i="7" s="1"/>
  <c r="P160" i="7"/>
  <c r="S160" i="7"/>
  <c r="X160" i="7"/>
  <c r="W151" i="7"/>
  <c r="L151" i="7"/>
  <c r="X121" i="7"/>
  <c r="P184" i="7"/>
  <c r="AA165" i="7"/>
  <c r="Y58" i="7"/>
  <c r="V148" i="7"/>
  <c r="Z148" i="7" s="1"/>
  <c r="S133" i="7"/>
  <c r="O169" i="7"/>
  <c r="V160" i="7"/>
  <c r="Z160" i="7" s="1"/>
  <c r="H146" i="7"/>
  <c r="M146" i="7"/>
  <c r="X132" i="7"/>
  <c r="V115" i="7"/>
  <c r="Z115" i="7" s="1"/>
  <c r="W115" i="7"/>
  <c r="H176" i="7"/>
  <c r="P176" i="7"/>
  <c r="T176" i="7"/>
  <c r="P159" i="7"/>
  <c r="P158" i="7"/>
  <c r="X58" i="7"/>
  <c r="X125" i="7"/>
  <c r="L125" i="7"/>
  <c r="H35" i="7"/>
  <c r="P35" i="7"/>
  <c r="O74" i="7"/>
  <c r="R74" i="7" s="1"/>
  <c r="L168" i="7"/>
  <c r="W66" i="7"/>
  <c r="X66" i="7"/>
  <c r="L66" i="7"/>
  <c r="T154" i="7"/>
  <c r="M169" i="7"/>
  <c r="R169" i="7" s="1"/>
  <c r="V35" i="7"/>
  <c r="Z35" i="7" s="1"/>
  <c r="H164" i="7"/>
  <c r="P164" i="7"/>
  <c r="T126" i="7"/>
  <c r="H108" i="7"/>
  <c r="P108" i="7"/>
  <c r="T108" i="7"/>
  <c r="X108" i="7"/>
  <c r="O108" i="7"/>
  <c r="R108" i="7" s="1"/>
  <c r="H67" i="7"/>
  <c r="AA67" i="7"/>
  <c r="M67" i="7"/>
  <c r="T67" i="7"/>
  <c r="S67" i="7"/>
  <c r="X67" i="7"/>
  <c r="X92" i="7"/>
  <c r="L92" i="7"/>
  <c r="V104" i="7"/>
  <c r="Z104" i="7" s="1"/>
  <c r="W104" i="7"/>
  <c r="H156" i="7"/>
  <c r="S156" i="7"/>
  <c r="X156" i="7"/>
  <c r="H73" i="7"/>
  <c r="S73" i="7"/>
  <c r="T73" i="7"/>
  <c r="O73" i="7"/>
  <c r="R73" i="7" s="1"/>
  <c r="P73" i="7"/>
  <c r="X73" i="7"/>
  <c r="AA73" i="7"/>
  <c r="M73" i="7"/>
  <c r="V52" i="7"/>
  <c r="Z52" i="7" s="1"/>
  <c r="Y52" i="7"/>
  <c r="L52" i="7"/>
  <c r="L103" i="7"/>
  <c r="V103" i="7"/>
  <c r="Z103" i="7" s="1"/>
  <c r="Y103" i="7"/>
  <c r="V184" i="7"/>
  <c r="Z184" i="7" s="1"/>
  <c r="H159" i="7"/>
  <c r="O159" i="7"/>
  <c r="H158" i="7"/>
  <c r="M158" i="7"/>
  <c r="V113" i="7"/>
  <c r="Z113" i="7" s="1"/>
  <c r="H178" i="7"/>
  <c r="M178" i="7"/>
  <c r="AA178" i="7"/>
  <c r="H74" i="7"/>
  <c r="S74" i="7"/>
  <c r="Y22" i="7"/>
  <c r="L22" i="7"/>
  <c r="M133" i="7"/>
  <c r="R133" i="7" s="1"/>
  <c r="X169" i="7"/>
  <c r="O175" i="7"/>
  <c r="H167" i="7"/>
  <c r="P132" i="7"/>
  <c r="W127" i="7"/>
  <c r="X159" i="7"/>
  <c r="AA158" i="7"/>
  <c r="V158" i="7"/>
  <c r="Z158" i="7" s="1"/>
  <c r="Y130" i="7"/>
  <c r="O58" i="7"/>
  <c r="R58" i="7" s="1"/>
  <c r="V131" i="7"/>
  <c r="Z131" i="7" s="1"/>
  <c r="S125" i="7"/>
  <c r="X35" i="7"/>
  <c r="O173" i="7"/>
  <c r="R173" i="7" s="1"/>
  <c r="L135" i="7"/>
  <c r="H48" i="7"/>
  <c r="O48" i="7"/>
  <c r="R48" i="7" s="1"/>
  <c r="T48" i="7"/>
  <c r="M48" i="7"/>
  <c r="V84" i="7"/>
  <c r="Z84" i="7" s="1"/>
  <c r="S137" i="7"/>
  <c r="L53" i="7"/>
  <c r="X53" i="7"/>
  <c r="H31" i="7"/>
  <c r="M31" i="7"/>
  <c r="P31" i="7"/>
  <c r="O31" i="7"/>
  <c r="R31" i="7" s="1"/>
  <c r="S31" i="7"/>
  <c r="T31" i="7"/>
  <c r="H36" i="7"/>
  <c r="M36" i="7"/>
  <c r="AA36" i="7"/>
  <c r="O36" i="7"/>
  <c r="R36" i="7" s="1"/>
  <c r="P36" i="7"/>
  <c r="S36" i="7"/>
  <c r="T36" i="7"/>
  <c r="X36" i="7"/>
  <c r="V194" i="7"/>
  <c r="Z194" i="7" s="1"/>
  <c r="O154" i="7"/>
  <c r="R154" i="7" s="1"/>
  <c r="W194" i="7"/>
  <c r="H192" i="7"/>
  <c r="M154" i="7"/>
  <c r="M175" i="7"/>
  <c r="R175" i="7" s="1"/>
  <c r="X167" i="7"/>
  <c r="V167" i="7"/>
  <c r="Z167" i="7" s="1"/>
  <c r="H149" i="7"/>
  <c r="AA149" i="7"/>
  <c r="O149" i="7"/>
  <c r="R149" i="7" s="1"/>
  <c r="V139" i="7"/>
  <c r="Z139" i="7" s="1"/>
  <c r="AB139" i="7" s="1"/>
  <c r="AC139" i="7" s="1"/>
  <c r="H142" i="7"/>
  <c r="AA142" i="7"/>
  <c r="M58" i="7"/>
  <c r="H131" i="7"/>
  <c r="S131" i="7"/>
  <c r="M173" i="7"/>
  <c r="AA156" i="7"/>
  <c r="Y74" i="7"/>
  <c r="V126" i="7"/>
  <c r="Z126" i="7" s="1"/>
  <c r="L24" i="7"/>
  <c r="H79" i="7"/>
  <c r="M79" i="7"/>
  <c r="AA79" i="7"/>
  <c r="O79" i="7"/>
  <c r="R79" i="7" s="1"/>
  <c r="S79" i="7"/>
  <c r="T79" i="7"/>
  <c r="V31" i="7"/>
  <c r="Z31" i="7" s="1"/>
  <c r="AB31" i="7" s="1"/>
  <c r="AC31" i="7" s="1"/>
  <c r="W31" i="7"/>
  <c r="W114" i="7"/>
  <c r="X114" i="7"/>
  <c r="L114" i="7"/>
  <c r="H151" i="7"/>
  <c r="T151" i="7"/>
  <c r="H121" i="7"/>
  <c r="O121" i="7"/>
  <c r="S121" i="7"/>
  <c r="W184" i="7"/>
  <c r="H181" i="7"/>
  <c r="AA181" i="7"/>
  <c r="X158" i="7"/>
  <c r="V142" i="7"/>
  <c r="Z142" i="7" s="1"/>
  <c r="W142" i="7"/>
  <c r="X178" i="7"/>
  <c r="W178" i="7"/>
  <c r="L178" i="7"/>
  <c r="X74" i="7"/>
  <c r="H148" i="7"/>
  <c r="AA148" i="7"/>
  <c r="O148" i="7"/>
  <c r="R148" i="7" s="1"/>
  <c r="P148" i="7"/>
  <c r="W135" i="7"/>
  <c r="H126" i="7"/>
  <c r="AA126" i="7"/>
  <c r="M126" i="7"/>
  <c r="V110" i="7"/>
  <c r="Z110" i="7" s="1"/>
  <c r="W110" i="7"/>
  <c r="W145" i="7"/>
  <c r="X133" i="7"/>
  <c r="V189" i="7"/>
  <c r="Z189" i="7" s="1"/>
  <c r="V182" i="7"/>
  <c r="Z182" i="7" s="1"/>
  <c r="S169" i="7"/>
  <c r="W149" i="7"/>
  <c r="X151" i="7"/>
  <c r="H132" i="7"/>
  <c r="M132" i="7"/>
  <c r="X181" i="7"/>
  <c r="T159" i="7"/>
  <c r="H125" i="7"/>
  <c r="AA125" i="7"/>
  <c r="P125" i="7"/>
  <c r="S164" i="7"/>
  <c r="T74" i="7"/>
  <c r="V56" i="7"/>
  <c r="Z56" i="7" s="1"/>
  <c r="AB56" i="7" s="1"/>
  <c r="AC56" i="7" s="1"/>
  <c r="X38" i="7"/>
  <c r="W38" i="7"/>
  <c r="W84" i="7"/>
  <c r="X84" i="7"/>
  <c r="H137" i="7"/>
  <c r="P137" i="7"/>
  <c r="T137" i="7"/>
  <c r="X137" i="7"/>
  <c r="AA137" i="7"/>
  <c r="O137" i="7"/>
  <c r="R137" i="7" s="1"/>
  <c r="P24" i="7"/>
  <c r="V19" i="7"/>
  <c r="Z19" i="7" s="1"/>
  <c r="P168" i="7"/>
  <c r="V162" i="7"/>
  <c r="Z162" i="7" s="1"/>
  <c r="X134" i="7"/>
  <c r="H134" i="7"/>
  <c r="P59" i="7"/>
  <c r="V53" i="7"/>
  <c r="Z53" i="7" s="1"/>
  <c r="H43" i="7"/>
  <c r="H117" i="7"/>
  <c r="T117" i="7"/>
  <c r="X16" i="7"/>
  <c r="H78" i="7"/>
  <c r="P78" i="7"/>
  <c r="S78" i="7"/>
  <c r="H105" i="7"/>
  <c r="AA105" i="7"/>
  <c r="M105" i="7"/>
  <c r="O105" i="7"/>
  <c r="R105" i="7" s="1"/>
  <c r="P105" i="7"/>
  <c r="S105" i="7"/>
  <c r="T105" i="7"/>
  <c r="L76" i="7"/>
  <c r="Y76" i="7"/>
  <c r="V101" i="7"/>
  <c r="Z101" i="7" s="1"/>
  <c r="W18" i="7"/>
  <c r="H110" i="7"/>
  <c r="T110" i="7"/>
  <c r="S40" i="7"/>
  <c r="T16" i="7"/>
  <c r="H11" i="7"/>
  <c r="P11" i="7"/>
  <c r="AA129" i="7"/>
  <c r="W101" i="7"/>
  <c r="X101" i="7"/>
  <c r="L101" i="7"/>
  <c r="V108" i="7"/>
  <c r="Z108" i="7" s="1"/>
  <c r="AB108" i="7" s="1"/>
  <c r="AC108" i="7" s="1"/>
  <c r="P66" i="7"/>
  <c r="V137" i="7"/>
  <c r="Z137" i="7" s="1"/>
  <c r="L34" i="7"/>
  <c r="AA110" i="7"/>
  <c r="P40" i="7"/>
  <c r="H22" i="7"/>
  <c r="M22" i="7"/>
  <c r="X22" i="7"/>
  <c r="X11" i="7"/>
  <c r="L62" i="7"/>
  <c r="V26" i="7"/>
  <c r="Z26" i="7" s="1"/>
  <c r="W26" i="7"/>
  <c r="X26" i="7"/>
  <c r="L26" i="7"/>
  <c r="L64" i="7"/>
  <c r="Y64" i="7"/>
  <c r="V24" i="7"/>
  <c r="Z24" i="7" s="1"/>
  <c r="V168" i="7"/>
  <c r="Z168" i="7" s="1"/>
  <c r="H84" i="7"/>
  <c r="O66" i="7"/>
  <c r="R66" i="7" s="1"/>
  <c r="Z59" i="7"/>
  <c r="X49" i="7"/>
  <c r="H49" i="7"/>
  <c r="O40" i="7"/>
  <c r="R40" i="7" s="1"/>
  <c r="H157" i="7"/>
  <c r="X157" i="7"/>
  <c r="P157" i="7"/>
  <c r="S157" i="7"/>
  <c r="S129" i="7"/>
  <c r="X41" i="7"/>
  <c r="H6" i="7"/>
  <c r="AA6" i="7"/>
  <c r="M6" i="7"/>
  <c r="O6" i="7"/>
  <c r="R6" i="7" s="1"/>
  <c r="P6" i="7"/>
  <c r="S6" i="7"/>
  <c r="T6" i="7"/>
  <c r="X6" i="7"/>
  <c r="H119" i="7"/>
  <c r="W156" i="7"/>
  <c r="H143" i="7"/>
  <c r="H128" i="7"/>
  <c r="W24" i="7"/>
  <c r="W168" i="7"/>
  <c r="AA66" i="7"/>
  <c r="P134" i="7"/>
  <c r="P43" i="7"/>
  <c r="X34" i="7"/>
  <c r="H34" i="7"/>
  <c r="X110" i="7"/>
  <c r="H62" i="7"/>
  <c r="O62" i="7"/>
  <c r="R62" i="7" s="1"/>
  <c r="P62" i="7"/>
  <c r="S62" i="7"/>
  <c r="V51" i="7"/>
  <c r="Z51" i="7" s="1"/>
  <c r="AB51" i="7" s="1"/>
  <c r="AC51" i="7" s="1"/>
  <c r="W51" i="7"/>
  <c r="X51" i="7"/>
  <c r="L51" i="7"/>
  <c r="W39" i="7"/>
  <c r="X39" i="7"/>
  <c r="L39" i="7"/>
  <c r="H32" i="7"/>
  <c r="AA32" i="7"/>
  <c r="M32" i="7"/>
  <c r="O32" i="7"/>
  <c r="R32" i="7" s="1"/>
  <c r="P32" i="7"/>
  <c r="S32" i="7"/>
  <c r="T32" i="7"/>
  <c r="X32" i="7"/>
  <c r="V98" i="7"/>
  <c r="Z98" i="7" s="1"/>
  <c r="W98" i="7"/>
  <c r="X98" i="7"/>
  <c r="L98" i="7"/>
  <c r="X119" i="7"/>
  <c r="V119" i="7"/>
  <c r="Z119" i="7" s="1"/>
  <c r="X128" i="7"/>
  <c r="V128" i="7"/>
  <c r="Z128" i="7" s="1"/>
  <c r="H47" i="7"/>
  <c r="O134" i="7"/>
  <c r="R134" i="7" s="1"/>
  <c r="O43" i="7"/>
  <c r="R43" i="7" s="1"/>
  <c r="P117" i="7"/>
  <c r="T11" i="7"/>
  <c r="AA157" i="7"/>
  <c r="O78" i="7"/>
  <c r="R78" i="7" s="1"/>
  <c r="H8" i="7"/>
  <c r="AA8" i="7"/>
  <c r="M8" i="7"/>
  <c r="O8" i="7"/>
  <c r="R8" i="7" s="1"/>
  <c r="P8" i="7"/>
  <c r="S8" i="7"/>
  <c r="T8" i="7"/>
  <c r="X8" i="7"/>
  <c r="H40" i="7"/>
  <c r="M40" i="7"/>
  <c r="H16" i="7"/>
  <c r="M16" i="7"/>
  <c r="R16" i="7" s="1"/>
  <c r="P16" i="7"/>
  <c r="H129" i="7"/>
  <c r="T129" i="7"/>
  <c r="X129" i="7"/>
  <c r="M129" i="7"/>
  <c r="O129" i="7"/>
  <c r="R129" i="7" s="1"/>
  <c r="V14" i="7"/>
  <c r="Z14" i="7" s="1"/>
  <c r="AB14" i="7" s="1"/>
  <c r="AC14" i="7" s="1"/>
  <c r="W14" i="7"/>
  <c r="X14" i="7"/>
  <c r="L14" i="7"/>
  <c r="H66" i="7"/>
  <c r="S110" i="7"/>
  <c r="X40" i="7"/>
  <c r="AA16" i="7"/>
  <c r="H171" i="7"/>
  <c r="H130" i="7"/>
  <c r="H138" i="7"/>
  <c r="T119" i="7"/>
  <c r="T143" i="7"/>
  <c r="T128" i="7"/>
  <c r="V112" i="7"/>
  <c r="Z112" i="7" s="1"/>
  <c r="H38" i="7"/>
  <c r="H19" i="7"/>
  <c r="H162" i="7"/>
  <c r="S84" i="7"/>
  <c r="H53" i="7"/>
  <c r="S49" i="7"/>
  <c r="AA43" i="7"/>
  <c r="T34" i="7"/>
  <c r="S22" i="7"/>
  <c r="O11" i="7"/>
  <c r="Y62" i="7"/>
  <c r="V123" i="7"/>
  <c r="Z123" i="7" s="1"/>
  <c r="W93" i="7"/>
  <c r="X93" i="7"/>
  <c r="L93" i="7"/>
  <c r="H44" i="7"/>
  <c r="AA44" i="7"/>
  <c r="M44" i="7"/>
  <c r="O44" i="7"/>
  <c r="R44" i="7" s="1"/>
  <c r="P44" i="7"/>
  <c r="S44" i="7"/>
  <c r="T44" i="7"/>
  <c r="V22" i="7"/>
  <c r="Z22" i="7" s="1"/>
  <c r="H123" i="7"/>
  <c r="H55" i="7"/>
  <c r="S52" i="7"/>
  <c r="AA46" i="7"/>
  <c r="O21" i="7"/>
  <c r="R21" i="7" s="1"/>
  <c r="P7" i="7"/>
  <c r="V8" i="7"/>
  <c r="Z8" i="7" s="1"/>
  <c r="H77" i="7"/>
  <c r="T51" i="7"/>
  <c r="L45" i="7"/>
  <c r="O30" i="7"/>
  <c r="R30" i="7" s="1"/>
  <c r="P99" i="7"/>
  <c r="V32" i="7"/>
  <c r="Z32" i="7" s="1"/>
  <c r="O25" i="7"/>
  <c r="R25" i="7" s="1"/>
  <c r="T14" i="7"/>
  <c r="L10" i="7"/>
  <c r="H76" i="7"/>
  <c r="H64" i="7"/>
  <c r="L122" i="7"/>
  <c r="M107" i="7"/>
  <c r="R107" i="7" s="1"/>
  <c r="M42" i="7"/>
  <c r="P29" i="7"/>
  <c r="H103" i="7"/>
  <c r="S23" i="7"/>
  <c r="AA17" i="7"/>
  <c r="M17" i="7"/>
  <c r="M9" i="7"/>
  <c r="L89" i="7"/>
  <c r="L57" i="7"/>
  <c r="H88" i="7"/>
  <c r="O7" i="7"/>
  <c r="V77" i="7"/>
  <c r="Z77" i="7" s="1"/>
  <c r="AB77" i="7" s="1"/>
  <c r="AC77" i="7" s="1"/>
  <c r="H120" i="7"/>
  <c r="X54" i="7"/>
  <c r="H54" i="7"/>
  <c r="AA30" i="7"/>
  <c r="M30" i="7"/>
  <c r="V105" i="7"/>
  <c r="Z105" i="7" s="1"/>
  <c r="O99" i="7"/>
  <c r="R99" i="7" s="1"/>
  <c r="M25" i="7"/>
  <c r="X20" i="7"/>
  <c r="H20" i="7"/>
  <c r="V76" i="7"/>
  <c r="Z76" i="7" s="1"/>
  <c r="V64" i="7"/>
  <c r="Z64" i="7" s="1"/>
  <c r="V36" i="7"/>
  <c r="Z36" i="7" s="1"/>
  <c r="O29" i="7"/>
  <c r="R29" i="7" s="1"/>
  <c r="H96" i="7"/>
  <c r="V88" i="7"/>
  <c r="Z88" i="7" s="1"/>
  <c r="H81" i="7"/>
  <c r="X123" i="7"/>
  <c r="W55" i="7"/>
  <c r="P52" i="7"/>
  <c r="X46" i="7"/>
  <c r="V46" i="7"/>
  <c r="Z46" i="7" s="1"/>
  <c r="T100" i="7"/>
  <c r="W37" i="7"/>
  <c r="M7" i="7"/>
  <c r="R7" i="7" s="1"/>
  <c r="W77" i="7"/>
  <c r="W120" i="7"/>
  <c r="W54" i="7"/>
  <c r="H45" i="7"/>
  <c r="M99" i="7"/>
  <c r="W20" i="7"/>
  <c r="H10" i="7"/>
  <c r="W76" i="7"/>
  <c r="W64" i="7"/>
  <c r="X122" i="7"/>
  <c r="H122" i="7"/>
  <c r="S50" i="7"/>
  <c r="AA42" i="7"/>
  <c r="M29" i="7"/>
  <c r="W96" i="7"/>
  <c r="P23" i="7"/>
  <c r="S13" i="7"/>
  <c r="AA9" i="7"/>
  <c r="H89" i="7"/>
  <c r="S63" i="7"/>
  <c r="H57" i="7"/>
  <c r="L111" i="7"/>
  <c r="O33" i="7"/>
  <c r="R33" i="7" s="1"/>
  <c r="H97" i="7"/>
  <c r="M12" i="7"/>
  <c r="O91" i="7"/>
  <c r="R91" i="7" s="1"/>
  <c r="W88" i="7"/>
  <c r="O52" i="7"/>
  <c r="R52" i="7" s="1"/>
  <c r="H26" i="7"/>
  <c r="AA109" i="7"/>
  <c r="X45" i="7"/>
  <c r="V45" i="7"/>
  <c r="Z45" i="7" s="1"/>
  <c r="X89" i="7"/>
  <c r="V89" i="7"/>
  <c r="Z89" i="7" s="1"/>
  <c r="H70" i="7"/>
  <c r="V57" i="7"/>
  <c r="Z57" i="7" s="1"/>
  <c r="AB57" i="7" s="1"/>
  <c r="AC57" i="7" s="1"/>
  <c r="M33" i="7"/>
  <c r="X97" i="7"/>
  <c r="V97" i="7"/>
  <c r="Z97" i="7" s="1"/>
  <c r="H94" i="7"/>
  <c r="AA12" i="7"/>
  <c r="M91" i="7"/>
  <c r="L28" i="7"/>
  <c r="AA7" i="7"/>
  <c r="L80" i="7"/>
  <c r="L72" i="7"/>
  <c r="L116" i="7"/>
  <c r="AA99" i="7"/>
  <c r="L90" i="7"/>
  <c r="AA29" i="7"/>
  <c r="V70" i="7"/>
  <c r="Z70" i="7" s="1"/>
  <c r="AB70" i="7" s="1"/>
  <c r="AC70" i="7" s="1"/>
  <c r="P63" i="7"/>
  <c r="H111" i="7"/>
  <c r="H102" i="7"/>
  <c r="AA33" i="7"/>
  <c r="L33" i="7"/>
  <c r="V94" i="7"/>
  <c r="Z94" i="7" s="1"/>
  <c r="AA91" i="7"/>
  <c r="L91" i="7"/>
  <c r="L86" i="7"/>
  <c r="X7" i="7"/>
  <c r="V7" i="7"/>
  <c r="Z7" i="7" s="1"/>
  <c r="X80" i="7"/>
  <c r="H80" i="7"/>
  <c r="H72" i="7"/>
  <c r="H61" i="7"/>
  <c r="S120" i="7"/>
  <c r="H116" i="7"/>
  <c r="S54" i="7"/>
  <c r="T45" i="7"/>
  <c r="X99" i="7"/>
  <c r="V99" i="7"/>
  <c r="Z99" i="7" s="1"/>
  <c r="X25" i="7"/>
  <c r="S20" i="7"/>
  <c r="H90" i="7"/>
  <c r="H68" i="7"/>
  <c r="H60" i="7"/>
  <c r="T122" i="7"/>
  <c r="M50" i="7"/>
  <c r="X29" i="7"/>
  <c r="V29" i="7"/>
  <c r="Z29" i="7" s="1"/>
  <c r="S96" i="7"/>
  <c r="M13" i="7"/>
  <c r="W102" i="7"/>
  <c r="S27" i="7"/>
  <c r="V129" i="7"/>
  <c r="Z129" i="7" s="1"/>
  <c r="V28" i="7"/>
  <c r="Z28" i="7" s="1"/>
  <c r="V72" i="7"/>
  <c r="Z72" i="7" s="1"/>
  <c r="V116" i="7"/>
  <c r="Z116" i="7" s="1"/>
  <c r="AB116" i="7" s="1"/>
  <c r="AC116" i="7" s="1"/>
  <c r="V68" i="7"/>
  <c r="Z68" i="7" s="1"/>
  <c r="V60" i="7"/>
  <c r="Z60" i="7" s="1"/>
  <c r="T107" i="7"/>
  <c r="T42" i="7"/>
  <c r="H23" i="7"/>
  <c r="L118" i="7"/>
  <c r="L95" i="7"/>
  <c r="V157" i="7"/>
  <c r="Z157" i="7" s="1"/>
  <c r="V78" i="7"/>
  <c r="Z78" i="7" s="1"/>
  <c r="W129" i="7"/>
  <c r="P46" i="7"/>
  <c r="H41" i="7"/>
  <c r="S26" i="7"/>
  <c r="L100" i="7"/>
  <c r="P37" i="7"/>
  <c r="T21" i="7"/>
  <c r="W72" i="7"/>
  <c r="P120" i="7"/>
  <c r="P54" i="7"/>
  <c r="H51" i="7"/>
  <c r="H39" i="7"/>
  <c r="T30" i="7"/>
  <c r="T25" i="7"/>
  <c r="P20" i="7"/>
  <c r="H14" i="7"/>
  <c r="S10" i="7"/>
  <c r="H93" i="7"/>
  <c r="W68" i="7"/>
  <c r="W60" i="7"/>
  <c r="H114" i="7"/>
  <c r="S107" i="7"/>
  <c r="AA50" i="7"/>
  <c r="S42" i="7"/>
  <c r="H98" i="7"/>
  <c r="P96" i="7"/>
  <c r="X23" i="7"/>
  <c r="V23" i="7"/>
  <c r="Z23" i="7" s="1"/>
  <c r="AB23" i="7" s="1"/>
  <c r="AC23" i="7" s="1"/>
  <c r="S17" i="7"/>
  <c r="AA13" i="7"/>
  <c r="S9" i="7"/>
  <c r="H92" i="7"/>
  <c r="S70" i="7"/>
  <c r="T111" i="7"/>
  <c r="T102" i="7"/>
  <c r="P27" i="7"/>
  <c r="H101" i="7"/>
  <c r="S94" i="7"/>
  <c r="L18" i="7"/>
  <c r="O88" i="7"/>
  <c r="R88" i="7" s="1"/>
  <c r="O46" i="7"/>
  <c r="R46" i="7" s="1"/>
  <c r="T109" i="7"/>
  <c r="O37" i="7"/>
  <c r="R37" i="7" s="1"/>
  <c r="S21" i="7"/>
  <c r="T7" i="7"/>
  <c r="V39" i="7"/>
  <c r="Z39" i="7" s="1"/>
  <c r="S30" i="7"/>
  <c r="T99" i="7"/>
  <c r="S25" i="7"/>
  <c r="O20" i="7"/>
  <c r="R20" i="7" s="1"/>
  <c r="V93" i="7"/>
  <c r="Z93" i="7" s="1"/>
  <c r="V114" i="7"/>
  <c r="Z114" i="7" s="1"/>
  <c r="T29" i="7"/>
  <c r="O96" i="7"/>
  <c r="R96" i="7" s="1"/>
  <c r="W92" i="7"/>
  <c r="H87" i="7"/>
  <c r="H63" i="7"/>
  <c r="X118" i="7"/>
  <c r="H118" i="7"/>
  <c r="S111" i="7"/>
  <c r="S102" i="7"/>
  <c r="O27" i="7"/>
  <c r="R27" i="7" s="1"/>
  <c r="P97" i="7"/>
  <c r="X95" i="7"/>
  <c r="H95" i="7"/>
  <c r="T12" i="7"/>
  <c r="M88" i="7"/>
  <c r="X61" i="7"/>
  <c r="M46" i="7"/>
  <c r="P26" i="7"/>
  <c r="H100" i="7"/>
  <c r="S109" i="7"/>
  <c r="AA37" i="7"/>
  <c r="M37" i="7"/>
  <c r="S7" i="7"/>
  <c r="S99" i="7"/>
  <c r="S29" i="7"/>
  <c r="P9" i="7"/>
  <c r="V63" i="7"/>
  <c r="Z63" i="7" s="1"/>
  <c r="AB63" i="7" s="1"/>
  <c r="AC63" i="7" s="1"/>
  <c r="H104" i="7"/>
  <c r="T33" i="7"/>
  <c r="M27" i="7"/>
  <c r="O97" i="7"/>
  <c r="R97" i="7" s="1"/>
  <c r="P94" i="7"/>
  <c r="H18" i="7"/>
  <c r="S12" i="7"/>
  <c r="T91" i="7"/>
  <c r="V85" i="7"/>
  <c r="Z85" i="7" s="1"/>
  <c r="W182" i="7"/>
  <c r="W116" i="7"/>
  <c r="W25" i="7"/>
  <c r="W133" i="7"/>
  <c r="V186" i="7"/>
  <c r="Z186" i="7" s="1"/>
  <c r="W163" i="7"/>
  <c r="V166" i="7"/>
  <c r="Z166" i="7" s="1"/>
  <c r="W35" i="7"/>
  <c r="W59" i="7"/>
  <c r="W123" i="7"/>
  <c r="W65" i="7"/>
  <c r="W78" i="7"/>
  <c r="W28" i="7"/>
  <c r="W57" i="7"/>
  <c r="W177" i="7"/>
  <c r="V156" i="7"/>
  <c r="Z156" i="7" s="1"/>
  <c r="V96" i="7"/>
  <c r="Z96" i="7" s="1"/>
  <c r="AB96" i="7" s="1"/>
  <c r="AC96" i="7" s="1"/>
  <c r="V92" i="7"/>
  <c r="Z92" i="7" s="1"/>
  <c r="W189" i="7"/>
  <c r="V187" i="7"/>
  <c r="Z187" i="7" s="1"/>
  <c r="V145" i="7"/>
  <c r="Z145" i="7" s="1"/>
  <c r="V153" i="7"/>
  <c r="Z153" i="7" s="1"/>
  <c r="R229" i="4"/>
  <c r="V229" i="4" s="1"/>
  <c r="S54" i="4"/>
  <c r="S47" i="4"/>
  <c r="R143" i="4"/>
  <c r="R209" i="4"/>
  <c r="R116" i="4"/>
  <c r="R182" i="4"/>
  <c r="V182" i="4" s="1"/>
  <c r="R33" i="4"/>
  <c r="L245" i="4"/>
  <c r="N245" i="4" s="1"/>
  <c r="T242" i="4"/>
  <c r="T241" i="4"/>
  <c r="O240" i="4"/>
  <c r="Y239" i="4"/>
  <c r="Z239" i="4" s="1"/>
  <c r="W235" i="4"/>
  <c r="R234" i="4"/>
  <c r="V234" i="4" s="1"/>
  <c r="W232" i="4"/>
  <c r="O230" i="4"/>
  <c r="O226" i="4"/>
  <c r="Y225" i="4"/>
  <c r="Z225" i="4" s="1"/>
  <c r="O221" i="4"/>
  <c r="R213" i="4"/>
  <c r="R206" i="4"/>
  <c r="V206" i="4" s="1"/>
  <c r="K204" i="4"/>
  <c r="O200" i="4"/>
  <c r="T198" i="4"/>
  <c r="H197" i="4"/>
  <c r="W186" i="4"/>
  <c r="O185" i="4"/>
  <c r="M184" i="4"/>
  <c r="T183" i="4"/>
  <c r="O171" i="4"/>
  <c r="O167" i="4"/>
  <c r="L162" i="4"/>
  <c r="N162" i="4" s="1"/>
  <c r="P157" i="4"/>
  <c r="K156" i="4"/>
  <c r="T151" i="4"/>
  <c r="H148" i="4"/>
  <c r="T145" i="4"/>
  <c r="S144" i="4"/>
  <c r="H143" i="4"/>
  <c r="K138" i="4"/>
  <c r="W135" i="4"/>
  <c r="O133" i="4"/>
  <c r="S132" i="4"/>
  <c r="W122" i="4"/>
  <c r="K118" i="4"/>
  <c r="O103" i="4"/>
  <c r="L102" i="4"/>
  <c r="N102" i="4" s="1"/>
  <c r="W86" i="4"/>
  <c r="S78" i="4"/>
  <c r="R74" i="4"/>
  <c r="R72" i="4"/>
  <c r="L69" i="4"/>
  <c r="N69" i="4" s="1"/>
  <c r="S67" i="4"/>
  <c r="H59" i="4"/>
  <c r="W56" i="4"/>
  <c r="S45" i="4"/>
  <c r="R26" i="4"/>
  <c r="V26" i="4" s="1"/>
  <c r="S244" i="4"/>
  <c r="S242" i="4"/>
  <c r="R230" i="4"/>
  <c r="V230" i="4" s="1"/>
  <c r="L226" i="4"/>
  <c r="N226" i="4" s="1"/>
  <c r="S218" i="4"/>
  <c r="S208" i="4"/>
  <c r="P202" i="4"/>
  <c r="P201" i="4"/>
  <c r="R199" i="4"/>
  <c r="S196" i="4"/>
  <c r="O192" i="4"/>
  <c r="W187" i="4"/>
  <c r="S182" i="4"/>
  <c r="W179" i="4"/>
  <c r="O178" i="4"/>
  <c r="T173" i="4"/>
  <c r="S166" i="4"/>
  <c r="O163" i="4"/>
  <c r="R161" i="4"/>
  <c r="V161" i="4" s="1"/>
  <c r="O157" i="4"/>
  <c r="W144" i="4"/>
  <c r="O146" i="4"/>
  <c r="O141" i="4"/>
  <c r="O134" i="4"/>
  <c r="O129" i="4"/>
  <c r="S122" i="4"/>
  <c r="W121" i="4"/>
  <c r="P120" i="4"/>
  <c r="O119" i="4"/>
  <c r="W89" i="4"/>
  <c r="O113" i="4"/>
  <c r="O107" i="4"/>
  <c r="T98" i="4"/>
  <c r="W87" i="4"/>
  <c r="S81" i="4"/>
  <c r="O79" i="4"/>
  <c r="S71" i="4"/>
  <c r="O57" i="4"/>
  <c r="R25" i="4"/>
  <c r="V25" i="4" s="1"/>
  <c r="O241" i="4"/>
  <c r="O235" i="4"/>
  <c r="Y226" i="4"/>
  <c r="Z226" i="4" s="1"/>
  <c r="R225" i="4"/>
  <c r="O222" i="4"/>
  <c r="O216" i="4"/>
  <c r="H213" i="4"/>
  <c r="O210" i="4"/>
  <c r="O206" i="4"/>
  <c r="O202" i="4"/>
  <c r="O201" i="4"/>
  <c r="Y200" i="4"/>
  <c r="Z200" i="4" s="1"/>
  <c r="T199" i="4"/>
  <c r="W196" i="4"/>
  <c r="W194" i="4"/>
  <c r="R192" i="4"/>
  <c r="K190" i="4"/>
  <c r="S159" i="4"/>
  <c r="O151" i="4"/>
  <c r="H149" i="4"/>
  <c r="W147" i="4"/>
  <c r="W142" i="4"/>
  <c r="H140" i="4"/>
  <c r="H139" i="4"/>
  <c r="P136" i="4"/>
  <c r="P135" i="4"/>
  <c r="H132" i="4"/>
  <c r="W123" i="4"/>
  <c r="O120" i="4"/>
  <c r="T115" i="4"/>
  <c r="O97" i="4"/>
  <c r="O92" i="4"/>
  <c r="O85" i="4"/>
  <c r="T82" i="4"/>
  <c r="M57" i="4"/>
  <c r="H33" i="4"/>
  <c r="S32" i="4"/>
  <c r="M241" i="4"/>
  <c r="R240" i="4"/>
  <c r="O231" i="4"/>
  <c r="O227" i="4"/>
  <c r="L222" i="4"/>
  <c r="N222" i="4" s="1"/>
  <c r="S221" i="4"/>
  <c r="W218" i="4"/>
  <c r="L202" i="4"/>
  <c r="N202" i="4" s="1"/>
  <c r="K191" i="4"/>
  <c r="O186" i="4"/>
  <c r="O179" i="4"/>
  <c r="P173" i="4"/>
  <c r="O172" i="4"/>
  <c r="O168" i="4"/>
  <c r="O164" i="4"/>
  <c r="S162" i="4"/>
  <c r="O158" i="4"/>
  <c r="H156" i="4"/>
  <c r="O136" i="4"/>
  <c r="O135" i="4"/>
  <c r="T124" i="4"/>
  <c r="P122" i="4"/>
  <c r="R119" i="4"/>
  <c r="V119" i="4" s="1"/>
  <c r="O104" i="4"/>
  <c r="O98" i="4"/>
  <c r="R92" i="4"/>
  <c r="V92" i="4" s="1"/>
  <c r="K91" i="4"/>
  <c r="P87" i="4"/>
  <c r="P86" i="4"/>
  <c r="R85" i="4"/>
  <c r="O22" i="4"/>
  <c r="K61" i="4"/>
  <c r="L57" i="4"/>
  <c r="N57" i="4" s="1"/>
  <c r="M56" i="4"/>
  <c r="O52" i="4"/>
  <c r="K29" i="4"/>
  <c r="K25" i="4"/>
  <c r="R23" i="4"/>
  <c r="T13" i="4"/>
  <c r="O242" i="4"/>
  <c r="H239" i="4"/>
  <c r="H238" i="4"/>
  <c r="O236" i="4"/>
  <c r="O232" i="4"/>
  <c r="W213" i="4"/>
  <c r="O211" i="4"/>
  <c r="O207" i="4"/>
  <c r="O203" i="4"/>
  <c r="O196" i="4"/>
  <c r="P194" i="4"/>
  <c r="O193" i="4"/>
  <c r="O188" i="4"/>
  <c r="O187" i="4"/>
  <c r="H177" i="4"/>
  <c r="O174" i="4"/>
  <c r="O173" i="4"/>
  <c r="O152" i="4"/>
  <c r="K150" i="4"/>
  <c r="O137" i="4"/>
  <c r="M136" i="4"/>
  <c r="O130" i="4"/>
  <c r="S126" i="4"/>
  <c r="O122" i="4"/>
  <c r="O121" i="4"/>
  <c r="M120" i="4"/>
  <c r="P116" i="4"/>
  <c r="O115" i="4"/>
  <c r="O114" i="4"/>
  <c r="H112" i="4"/>
  <c r="H101" i="4"/>
  <c r="M98" i="4"/>
  <c r="O88" i="4"/>
  <c r="O87" i="4"/>
  <c r="O86" i="4"/>
  <c r="S84" i="4"/>
  <c r="O81" i="4"/>
  <c r="O80" i="4"/>
  <c r="S69" i="4"/>
  <c r="K62" i="4"/>
  <c r="R56" i="4"/>
  <c r="T45" i="4"/>
  <c r="S42" i="4"/>
  <c r="S21" i="4"/>
  <c r="R19" i="4"/>
  <c r="K16" i="4"/>
  <c r="T9" i="4"/>
  <c r="K235" i="4"/>
  <c r="O223" i="4"/>
  <c r="T218" i="4"/>
  <c r="O212" i="4"/>
  <c r="O194" i="4"/>
  <c r="W190" i="4"/>
  <c r="O181" i="4"/>
  <c r="O180" i="4"/>
  <c r="O165" i="4"/>
  <c r="O159" i="4"/>
  <c r="O153" i="4"/>
  <c r="O147" i="4"/>
  <c r="T144" i="4"/>
  <c r="O143" i="4"/>
  <c r="O142" i="4"/>
  <c r="O124" i="4"/>
  <c r="O123" i="4"/>
  <c r="M121" i="4"/>
  <c r="O116" i="4"/>
  <c r="K115" i="4"/>
  <c r="S113" i="4"/>
  <c r="O108" i="4"/>
  <c r="O99" i="4"/>
  <c r="L98" i="4"/>
  <c r="N98" i="4" s="1"/>
  <c r="S97" i="4"/>
  <c r="W95" i="4"/>
  <c r="O93" i="4"/>
  <c r="T89" i="4"/>
  <c r="L86" i="4"/>
  <c r="N86" i="4" s="1"/>
  <c r="O82" i="4"/>
  <c r="R80" i="4"/>
  <c r="V80" i="4" s="1"/>
  <c r="K76" i="4"/>
  <c r="S44" i="4"/>
  <c r="W28" i="4"/>
  <c r="S241" i="4"/>
  <c r="W238" i="4"/>
  <c r="R236" i="4"/>
  <c r="V236" i="4" s="1"/>
  <c r="Y235" i="4"/>
  <c r="Z235" i="4" s="1"/>
  <c r="M234" i="4"/>
  <c r="O228" i="4"/>
  <c r="O217" i="4"/>
  <c r="P213" i="4"/>
  <c r="Y207" i="4"/>
  <c r="Z207" i="4" s="1"/>
  <c r="R201" i="4"/>
  <c r="V201" i="4" s="1"/>
  <c r="M196" i="4"/>
  <c r="O195" i="4"/>
  <c r="L194" i="4"/>
  <c r="N194" i="4" s="1"/>
  <c r="T190" i="4"/>
  <c r="L188" i="4"/>
  <c r="N188" i="4" s="1"/>
  <c r="H184" i="4"/>
  <c r="O169" i="4"/>
  <c r="T168" i="4"/>
  <c r="M165" i="4"/>
  <c r="K163" i="4"/>
  <c r="O160" i="4"/>
  <c r="W154" i="4"/>
  <c r="R147" i="4"/>
  <c r="M143" i="4"/>
  <c r="O131" i="4"/>
  <c r="S127" i="4"/>
  <c r="M124" i="4"/>
  <c r="M116" i="4"/>
  <c r="K107" i="4"/>
  <c r="O105" i="4"/>
  <c r="K98" i="4"/>
  <c r="T71" i="4"/>
  <c r="T28" i="4"/>
  <c r="R12" i="4"/>
  <c r="V12" i="4" s="1"/>
  <c r="R7" i="4"/>
  <c r="O249" i="4"/>
  <c r="S247" i="4"/>
  <c r="W239" i="4"/>
  <c r="T238" i="4"/>
  <c r="O237" i="4"/>
  <c r="L234" i="4"/>
  <c r="N234" i="4" s="1"/>
  <c r="R228" i="4"/>
  <c r="O224" i="4"/>
  <c r="T220" i="4"/>
  <c r="O219" i="4"/>
  <c r="P218" i="4"/>
  <c r="S216" i="4"/>
  <c r="O213" i="4"/>
  <c r="O208" i="4"/>
  <c r="O204" i="4"/>
  <c r="O197" i="4"/>
  <c r="O189" i="4"/>
  <c r="O175" i="4"/>
  <c r="T149" i="4"/>
  <c r="O148" i="4"/>
  <c r="O144" i="4"/>
  <c r="O138" i="4"/>
  <c r="O117" i="4"/>
  <c r="O100" i="4"/>
  <c r="O94" i="4"/>
  <c r="O89" i="4"/>
  <c r="O90" i="4"/>
  <c r="O83" i="4"/>
  <c r="O67" i="4"/>
  <c r="R44" i="4"/>
  <c r="W32" i="4"/>
  <c r="R31" i="4"/>
  <c r="S28" i="4"/>
  <c r="H246" i="4"/>
  <c r="O244" i="4"/>
  <c r="S233" i="4"/>
  <c r="K231" i="4"/>
  <c r="U229" i="4"/>
  <c r="X229" i="4" s="1"/>
  <c r="Y229" i="4" s="1"/>
  <c r="Z229" i="4" s="1"/>
  <c r="H228" i="4"/>
  <c r="W225" i="4"/>
  <c r="L224" i="4"/>
  <c r="N224" i="4" s="1"/>
  <c r="H222" i="4"/>
  <c r="L219" i="4"/>
  <c r="N219" i="4" s="1"/>
  <c r="O218" i="4"/>
  <c r="R212" i="4"/>
  <c r="V212" i="4" s="1"/>
  <c r="L208" i="4"/>
  <c r="N208" i="4" s="1"/>
  <c r="Y204" i="4"/>
  <c r="Z204" i="4" s="1"/>
  <c r="H201" i="4"/>
  <c r="W199" i="4"/>
  <c r="O190" i="4"/>
  <c r="W184" i="4"/>
  <c r="O182" i="4"/>
  <c r="T181" i="4"/>
  <c r="T177" i="4"/>
  <c r="H173" i="4"/>
  <c r="O170" i="4"/>
  <c r="T169" i="4"/>
  <c r="O166" i="4"/>
  <c r="K164" i="4"/>
  <c r="T162" i="4"/>
  <c r="T159" i="4"/>
  <c r="W156" i="4"/>
  <c r="O154" i="4"/>
  <c r="M144" i="4"/>
  <c r="H135" i="4"/>
  <c r="O127" i="4"/>
  <c r="O125" i="4"/>
  <c r="W94" i="4"/>
  <c r="P111" i="4"/>
  <c r="M100" i="4"/>
  <c r="O95" i="4"/>
  <c r="L94" i="4"/>
  <c r="N94" i="4" s="1"/>
  <c r="M89" i="4"/>
  <c r="S77" i="4"/>
  <c r="T75" i="4"/>
  <c r="M71" i="4"/>
  <c r="K64" i="4"/>
  <c r="P61" i="4"/>
  <c r="S57" i="4"/>
  <c r="K56" i="4"/>
  <c r="H52" i="4"/>
  <c r="R47" i="4"/>
  <c r="V47" i="4" s="1"/>
  <c r="X82" i="4" s="1"/>
  <c r="Y82" i="4" s="1"/>
  <c r="Z82" i="4" s="1"/>
  <c r="K43" i="4"/>
  <c r="L41" i="4"/>
  <c r="N41" i="4" s="1"/>
  <c r="P25" i="4"/>
  <c r="T23" i="4"/>
  <c r="R14" i="4"/>
  <c r="V14" i="4" s="1"/>
  <c r="O238" i="4"/>
  <c r="S235" i="4"/>
  <c r="R232" i="4"/>
  <c r="V232" i="4" s="1"/>
  <c r="S228" i="4"/>
  <c r="O220" i="4"/>
  <c r="L218" i="4"/>
  <c r="N218" i="4" s="1"/>
  <c r="O214" i="4"/>
  <c r="K213" i="4"/>
  <c r="W205" i="4"/>
  <c r="K203" i="4"/>
  <c r="O198" i="4"/>
  <c r="S193" i="4"/>
  <c r="M190" i="4"/>
  <c r="S180" i="4"/>
  <c r="O176" i="4"/>
  <c r="S173" i="4"/>
  <c r="R159" i="4"/>
  <c r="T156" i="4"/>
  <c r="O149" i="4"/>
  <c r="L144" i="4"/>
  <c r="N144" i="4" s="1"/>
  <c r="O139" i="4"/>
  <c r="O132" i="4"/>
  <c r="O126" i="4"/>
  <c r="H124" i="4"/>
  <c r="R115" i="4"/>
  <c r="O111" i="4"/>
  <c r="O109" i="4"/>
  <c r="S105" i="4"/>
  <c r="O102" i="4"/>
  <c r="L100" i="4"/>
  <c r="N100" i="4" s="1"/>
  <c r="S98" i="4"/>
  <c r="M95" i="4"/>
  <c r="L89" i="4"/>
  <c r="N89" i="4" s="1"/>
  <c r="R82" i="4"/>
  <c r="O78" i="4"/>
  <c r="O74" i="4"/>
  <c r="O68" i="4"/>
  <c r="O54" i="4"/>
  <c r="S53" i="4"/>
  <c r="K49" i="4"/>
  <c r="M46" i="4"/>
  <c r="R41" i="4"/>
  <c r="V41" i="4" s="1"/>
  <c r="H40" i="4"/>
  <c r="S35" i="4"/>
  <c r="L32" i="4"/>
  <c r="N32" i="4" s="1"/>
  <c r="S31" i="4"/>
  <c r="M25" i="4"/>
  <c r="R20" i="4"/>
  <c r="V20" i="4" s="1"/>
  <c r="P10" i="4"/>
  <c r="O239" i="4"/>
  <c r="O229" i="4"/>
  <c r="T226" i="4"/>
  <c r="O225" i="4"/>
  <c r="O209" i="4"/>
  <c r="H207" i="4"/>
  <c r="H196" i="4"/>
  <c r="H194" i="4"/>
  <c r="O191" i="4"/>
  <c r="O183" i="4"/>
  <c r="T182" i="4"/>
  <c r="H179" i="4"/>
  <c r="P177" i="4"/>
  <c r="W163" i="4"/>
  <c r="O161" i="4"/>
  <c r="O155" i="4"/>
  <c r="O145" i="4"/>
  <c r="L127" i="4"/>
  <c r="N127" i="4" s="1"/>
  <c r="H121" i="4"/>
  <c r="S120" i="4"/>
  <c r="O112" i="4"/>
  <c r="O110" i="4"/>
  <c r="S108" i="4"/>
  <c r="O106" i="4"/>
  <c r="T103" i="4"/>
  <c r="O101" i="4"/>
  <c r="O96" i="4"/>
  <c r="H86" i="4"/>
  <c r="W57" i="4"/>
  <c r="W55" i="4"/>
  <c r="R38" i="4"/>
  <c r="V38" i="4" s="1"/>
  <c r="W33" i="4"/>
  <c r="R24" i="4"/>
  <c r="S17" i="4"/>
  <c r="R13" i="4"/>
  <c r="V13" i="4" s="1"/>
  <c r="R11" i="4"/>
  <c r="S9" i="4"/>
  <c r="W250" i="4"/>
  <c r="T247" i="4"/>
  <c r="T246" i="4"/>
  <c r="W242" i="4"/>
  <c r="W226" i="4"/>
  <c r="H226" i="4"/>
  <c r="H225" i="4"/>
  <c r="T222" i="4"/>
  <c r="R221" i="4"/>
  <c r="V221" i="4" s="1"/>
  <c r="M220" i="4"/>
  <c r="L214" i="4"/>
  <c r="N214" i="4" s="1"/>
  <c r="T210" i="4"/>
  <c r="K206" i="4"/>
  <c r="R203" i="4"/>
  <c r="V203" i="4" s="1"/>
  <c r="M200" i="4"/>
  <c r="P198" i="4"/>
  <c r="W195" i="4"/>
  <c r="H195" i="4"/>
  <c r="R190" i="4"/>
  <c r="T187" i="4"/>
  <c r="M186" i="4"/>
  <c r="W177" i="4"/>
  <c r="S175" i="4"/>
  <c r="K174" i="4"/>
  <c r="M172" i="4"/>
  <c r="P168" i="4"/>
  <c r="W166" i="4"/>
  <c r="T160" i="4"/>
  <c r="W159" i="4"/>
  <c r="H159" i="4"/>
  <c r="R155" i="4"/>
  <c r="S153" i="4"/>
  <c r="L146" i="4"/>
  <c r="N146" i="4" s="1"/>
  <c r="R145" i="4"/>
  <c r="V145" i="4" s="1"/>
  <c r="T140" i="4"/>
  <c r="W139" i="4"/>
  <c r="K136" i="4"/>
  <c r="L132" i="4"/>
  <c r="N132" i="4" s="1"/>
  <c r="P124" i="4"/>
  <c r="T122" i="4"/>
  <c r="R113" i="4"/>
  <c r="V113" i="4" s="1"/>
  <c r="W112" i="4"/>
  <c r="M112" i="4"/>
  <c r="L110" i="4"/>
  <c r="N110" i="4" s="1"/>
  <c r="M110" i="4"/>
  <c r="W76" i="4"/>
  <c r="U106" i="4"/>
  <c r="K96" i="4"/>
  <c r="R96" i="4"/>
  <c r="V96" i="4" s="1"/>
  <c r="U96" i="4"/>
  <c r="W249" i="4"/>
  <c r="W243" i="4"/>
  <c r="U230" i="4"/>
  <c r="X230" i="4" s="1"/>
  <c r="Y230" i="4" s="1"/>
  <c r="Z230" i="4" s="1"/>
  <c r="P182" i="4"/>
  <c r="T139" i="4"/>
  <c r="K132" i="4"/>
  <c r="W81" i="4"/>
  <c r="M113" i="4"/>
  <c r="W98" i="4"/>
  <c r="P96" i="4"/>
  <c r="M96" i="4"/>
  <c r="T96" i="4"/>
  <c r="W35" i="4"/>
  <c r="P212" i="4"/>
  <c r="U209" i="4"/>
  <c r="X209" i="4" s="1"/>
  <c r="Y209" i="4" s="1"/>
  <c r="Z209" i="4" s="1"/>
  <c r="T208" i="4"/>
  <c r="K201" i="4"/>
  <c r="T191" i="4"/>
  <c r="R186" i="4"/>
  <c r="T176" i="4"/>
  <c r="P160" i="4"/>
  <c r="M130" i="4"/>
  <c r="W108" i="4"/>
  <c r="H114" i="4"/>
  <c r="R103" i="4"/>
  <c r="V103" i="4" s="1"/>
  <c r="S103" i="4"/>
  <c r="S7" i="4"/>
  <c r="R248" i="4"/>
  <c r="V248" i="4" s="1"/>
  <c r="P246" i="4"/>
  <c r="W245" i="4"/>
  <c r="S238" i="4"/>
  <c r="Y234" i="4"/>
  <c r="Z234" i="4" s="1"/>
  <c r="T229" i="4"/>
  <c r="U228" i="4"/>
  <c r="X228" i="4" s="1"/>
  <c r="Y228" i="4" s="1"/>
  <c r="Z228" i="4" s="1"/>
  <c r="P226" i="4"/>
  <c r="P224" i="4"/>
  <c r="P222" i="4"/>
  <c r="K215" i="4"/>
  <c r="H214" i="4"/>
  <c r="P210" i="4"/>
  <c r="H206" i="4"/>
  <c r="L198" i="4"/>
  <c r="N198" i="4" s="1"/>
  <c r="K197" i="4"/>
  <c r="U192" i="4"/>
  <c r="S191" i="4"/>
  <c r="S187" i="4"/>
  <c r="K184" i="4"/>
  <c r="P181" i="4"/>
  <c r="W178" i="4"/>
  <c r="S176" i="4"/>
  <c r="S169" i="4"/>
  <c r="L168" i="4"/>
  <c r="N168" i="4" s="1"/>
  <c r="S164" i="4"/>
  <c r="S163" i="4"/>
  <c r="M161" i="4"/>
  <c r="S154" i="4"/>
  <c r="K148" i="4"/>
  <c r="K144" i="4"/>
  <c r="L141" i="4"/>
  <c r="N141" i="4" s="1"/>
  <c r="R138" i="4"/>
  <c r="H130" i="4"/>
  <c r="W128" i="4"/>
  <c r="H104" i="4"/>
  <c r="R102" i="4"/>
  <c r="S102" i="4"/>
  <c r="M7" i="4"/>
  <c r="W20" i="4"/>
  <c r="P249" i="4"/>
  <c r="L231" i="4"/>
  <c r="N231" i="4" s="1"/>
  <c r="S229" i="4"/>
  <c r="P227" i="4"/>
  <c r="W221" i="4"/>
  <c r="H220" i="4"/>
  <c r="R214" i="4"/>
  <c r="V214" i="4" s="1"/>
  <c r="M212" i="4"/>
  <c r="S207" i="4"/>
  <c r="W206" i="4"/>
  <c r="Y203" i="4"/>
  <c r="Z203" i="4" s="1"/>
  <c r="K202" i="4"/>
  <c r="T201" i="4"/>
  <c r="R198" i="4"/>
  <c r="R197" i="4"/>
  <c r="P190" i="4"/>
  <c r="W189" i="4"/>
  <c r="H189" i="4"/>
  <c r="R185" i="4"/>
  <c r="V185" i="4" s="1"/>
  <c r="M182" i="4"/>
  <c r="T175" i="4"/>
  <c r="M167" i="4"/>
  <c r="M160" i="4"/>
  <c r="R156" i="4"/>
  <c r="V156" i="4" s="1"/>
  <c r="X156" i="4" s="1"/>
  <c r="Y156" i="4" s="1"/>
  <c r="Z156" i="4" s="1"/>
  <c r="H155" i="4"/>
  <c r="T152" i="4"/>
  <c r="S145" i="4"/>
  <c r="R141" i="4"/>
  <c r="S135" i="4"/>
  <c r="W132" i="4"/>
  <c r="S130" i="4"/>
  <c r="S128" i="4"/>
  <c r="L126" i="4"/>
  <c r="N126" i="4" s="1"/>
  <c r="L124" i="4"/>
  <c r="N124" i="4" s="1"/>
  <c r="L123" i="4"/>
  <c r="N123" i="4" s="1"/>
  <c r="T108" i="4"/>
  <c r="H105" i="4"/>
  <c r="S96" i="4"/>
  <c r="H96" i="4"/>
  <c r="U7" i="4"/>
  <c r="M250" i="4"/>
  <c r="H248" i="4"/>
  <c r="M246" i="4"/>
  <c r="M243" i="4"/>
  <c r="P236" i="4"/>
  <c r="H234" i="4"/>
  <c r="R233" i="4"/>
  <c r="P225" i="4"/>
  <c r="S219" i="4"/>
  <c r="K218" i="4"/>
  <c r="S217" i="4"/>
  <c r="W214" i="4"/>
  <c r="L212" i="4"/>
  <c r="N212" i="4" s="1"/>
  <c r="M210" i="4"/>
  <c r="T206" i="4"/>
  <c r="T203" i="4"/>
  <c r="T202" i="4"/>
  <c r="R196" i="4"/>
  <c r="M195" i="4"/>
  <c r="R194" i="4"/>
  <c r="L182" i="4"/>
  <c r="N182" i="4" s="1"/>
  <c r="R173" i="4"/>
  <c r="V173" i="4" s="1"/>
  <c r="X173" i="4" s="1"/>
  <c r="Y173" i="4" s="1"/>
  <c r="Z173" i="4" s="1"/>
  <c r="L167" i="4"/>
  <c r="N167" i="4" s="1"/>
  <c r="L160" i="4"/>
  <c r="N160" i="4" s="1"/>
  <c r="S152" i="4"/>
  <c r="H147" i="4"/>
  <c r="M142" i="4"/>
  <c r="R140" i="4"/>
  <c r="V140" i="4" s="1"/>
  <c r="M139" i="4"/>
  <c r="R135" i="4"/>
  <c r="T132" i="4"/>
  <c r="L129" i="4"/>
  <c r="N129" i="4" s="1"/>
  <c r="W106" i="4"/>
  <c r="R124" i="4"/>
  <c r="R123" i="4"/>
  <c r="V123" i="4" s="1"/>
  <c r="H116" i="4"/>
  <c r="T116" i="4"/>
  <c r="R108" i="4"/>
  <c r="M106" i="4"/>
  <c r="L106" i="4"/>
  <c r="N106" i="4" s="1"/>
  <c r="P106" i="4"/>
  <c r="W69" i="4"/>
  <c r="R249" i="4"/>
  <c r="V249" i="4" s="1"/>
  <c r="K244" i="4"/>
  <c r="T239" i="4"/>
  <c r="T232" i="4"/>
  <c r="R231" i="4"/>
  <c r="V231" i="4" s="1"/>
  <c r="L228" i="4"/>
  <c r="N228" i="4" s="1"/>
  <c r="M224" i="4"/>
  <c r="T223" i="4"/>
  <c r="M222" i="4"/>
  <c r="Y221" i="4"/>
  <c r="Z221" i="4" s="1"/>
  <c r="W220" i="4"/>
  <c r="T214" i="4"/>
  <c r="K214" i="4"/>
  <c r="T213" i="4"/>
  <c r="Y212" i="4"/>
  <c r="Z212" i="4" s="1"/>
  <c r="L210" i="4"/>
  <c r="N210" i="4" s="1"/>
  <c r="K209" i="4"/>
  <c r="M208" i="4"/>
  <c r="S203" i="4"/>
  <c r="W201" i="4"/>
  <c r="S199" i="4"/>
  <c r="L195" i="4"/>
  <c r="N195" i="4" s="1"/>
  <c r="W193" i="4"/>
  <c r="T186" i="4"/>
  <c r="H185" i="4"/>
  <c r="L181" i="4"/>
  <c r="N181" i="4" s="1"/>
  <c r="M177" i="4"/>
  <c r="W172" i="4"/>
  <c r="M158" i="4"/>
  <c r="P156" i="4"/>
  <c r="W155" i="4"/>
  <c r="S150" i="4"/>
  <c r="P148" i="4"/>
  <c r="U147" i="4"/>
  <c r="H144" i="4"/>
  <c r="K143" i="4"/>
  <c r="R142" i="4"/>
  <c r="H137" i="4"/>
  <c r="K128" i="4"/>
  <c r="T112" i="4"/>
  <c r="H106" i="4"/>
  <c r="P107" i="4"/>
  <c r="L107" i="4"/>
  <c r="N107" i="4" s="1"/>
  <c r="S243" i="4"/>
  <c r="R242" i="4"/>
  <c r="V242" i="4" s="1"/>
  <c r="R241" i="4"/>
  <c r="V241" i="4" s="1"/>
  <c r="R237" i="4"/>
  <c r="V237" i="4" s="1"/>
  <c r="L236" i="4"/>
  <c r="N236" i="4" s="1"/>
  <c r="H231" i="4"/>
  <c r="R227" i="4"/>
  <c r="V227" i="4" s="1"/>
  <c r="Y224" i="4"/>
  <c r="Z224" i="4" s="1"/>
  <c r="K222" i="4"/>
  <c r="R220" i="4"/>
  <c r="R208" i="4"/>
  <c r="V208" i="4" s="1"/>
  <c r="L207" i="4"/>
  <c r="N207" i="4" s="1"/>
  <c r="S201" i="4"/>
  <c r="R195" i="4"/>
  <c r="V195" i="4" s="1"/>
  <c r="X195" i="4" s="1"/>
  <c r="Y195" i="4" s="1"/>
  <c r="Z195" i="4" s="1"/>
  <c r="H191" i="4"/>
  <c r="W182" i="4"/>
  <c r="X182" i="4" s="1"/>
  <c r="Y182" i="4" s="1"/>
  <c r="Z182" i="4" s="1"/>
  <c r="H182" i="4"/>
  <c r="R176" i="4"/>
  <c r="K175" i="4"/>
  <c r="R170" i="4"/>
  <c r="V170" i="4" s="1"/>
  <c r="X170" i="4" s="1"/>
  <c r="Y170" i="4" s="1"/>
  <c r="Z170" i="4" s="1"/>
  <c r="S167" i="4"/>
  <c r="R162" i="4"/>
  <c r="V162" i="4" s="1"/>
  <c r="W161" i="4"/>
  <c r="X161" i="4" s="1"/>
  <c r="Y161" i="4" s="1"/>
  <c r="Z161" i="4" s="1"/>
  <c r="S160" i="4"/>
  <c r="M156" i="4"/>
  <c r="R153" i="4"/>
  <c r="V153" i="4" s="1"/>
  <c r="K152" i="4"/>
  <c r="M148" i="4"/>
  <c r="P146" i="4"/>
  <c r="S141" i="4"/>
  <c r="W129" i="4"/>
  <c r="W127" i="4"/>
  <c r="H127" i="4"/>
  <c r="L121" i="4"/>
  <c r="N121" i="4" s="1"/>
  <c r="P119" i="4"/>
  <c r="W90" i="4"/>
  <c r="P112" i="4"/>
  <c r="S107" i="4"/>
  <c r="R250" i="4"/>
  <c r="V250" i="4" s="1"/>
  <c r="R245" i="4"/>
  <c r="V245" i="4" s="1"/>
  <c r="K238" i="4"/>
  <c r="S232" i="4"/>
  <c r="M221" i="4"/>
  <c r="P214" i="4"/>
  <c r="K207" i="4"/>
  <c r="P206" i="4"/>
  <c r="U199" i="4"/>
  <c r="X199" i="4" s="1"/>
  <c r="Y199" i="4" s="1"/>
  <c r="Z199" i="4" s="1"/>
  <c r="R191" i="4"/>
  <c r="V191" i="4" s="1"/>
  <c r="X191" i="4" s="1"/>
  <c r="Y191" i="4" s="1"/>
  <c r="Z191" i="4" s="1"/>
  <c r="P189" i="4"/>
  <c r="S184" i="4"/>
  <c r="R180" i="4"/>
  <c r="V180" i="4" s="1"/>
  <c r="X180" i="4" s="1"/>
  <c r="Y180" i="4" s="1"/>
  <c r="Z180" i="4" s="1"/>
  <c r="R179" i="4"/>
  <c r="V179" i="4" s="1"/>
  <c r="S177" i="4"/>
  <c r="R175" i="4"/>
  <c r="H174" i="4"/>
  <c r="W169" i="4"/>
  <c r="W165" i="4"/>
  <c r="R163" i="4"/>
  <c r="S161" i="4"/>
  <c r="M154" i="4"/>
  <c r="R152" i="4"/>
  <c r="V152" i="4" s="1"/>
  <c r="M151" i="4"/>
  <c r="P145" i="4"/>
  <c r="R144" i="4"/>
  <c r="V144" i="4" s="1"/>
  <c r="K137" i="4"/>
  <c r="H136" i="4"/>
  <c r="K135" i="4"/>
  <c r="M134" i="4"/>
  <c r="P132" i="4"/>
  <c r="W131" i="4"/>
  <c r="T130" i="4"/>
  <c r="K129" i="4"/>
  <c r="K123" i="4"/>
  <c r="R120" i="4"/>
  <c r="P114" i="4"/>
  <c r="P113" i="4"/>
  <c r="T104" i="4"/>
  <c r="H243" i="4"/>
  <c r="Y238" i="4"/>
  <c r="Z238" i="4" s="1"/>
  <c r="H227" i="4"/>
  <c r="R216" i="4"/>
  <c r="V216" i="4" s="1"/>
  <c r="S213" i="4"/>
  <c r="H208" i="4"/>
  <c r="R204" i="4"/>
  <c r="S185" i="4"/>
  <c r="H180" i="4"/>
  <c r="S178" i="4"/>
  <c r="R174" i="4"/>
  <c r="V174" i="4" s="1"/>
  <c r="X174" i="4" s="1"/>
  <c r="Y174" i="4" s="1"/>
  <c r="Z174" i="4" s="1"/>
  <c r="P170" i="4"/>
  <c r="R168" i="4"/>
  <c r="V168" i="4" s="1"/>
  <c r="X168" i="4" s="1"/>
  <c r="Y168" i="4" s="1"/>
  <c r="Z168" i="4" s="1"/>
  <c r="H167" i="4"/>
  <c r="P164" i="4"/>
  <c r="H160" i="4"/>
  <c r="L155" i="4"/>
  <c r="N155" i="4" s="1"/>
  <c r="P147" i="4"/>
  <c r="R133" i="4"/>
  <c r="W126" i="4"/>
  <c r="P108" i="4"/>
  <c r="M108" i="4"/>
  <c r="X123" i="4"/>
  <c r="Y123" i="4" s="1"/>
  <c r="Z123" i="4" s="1"/>
  <c r="H250" i="4"/>
  <c r="Y247" i="4"/>
  <c r="Z247" i="4" s="1"/>
  <c r="R246" i="4"/>
  <c r="S245" i="4"/>
  <c r="R235" i="4"/>
  <c r="V235" i="4" s="1"/>
  <c r="W231" i="4"/>
  <c r="L206" i="4"/>
  <c r="N206" i="4" s="1"/>
  <c r="H203" i="4"/>
  <c r="Y197" i="4"/>
  <c r="Z197" i="4" s="1"/>
  <c r="T196" i="4"/>
  <c r="K192" i="4"/>
  <c r="H190" i="4"/>
  <c r="M189" i="4"/>
  <c r="R187" i="4"/>
  <c r="S179" i="4"/>
  <c r="P171" i="4"/>
  <c r="M146" i="4"/>
  <c r="M145" i="4"/>
  <c r="W143" i="4"/>
  <c r="U140" i="4"/>
  <c r="W136" i="4"/>
  <c r="T135" i="4"/>
  <c r="T133" i="4"/>
  <c r="P130" i="4"/>
  <c r="R128" i="4"/>
  <c r="V128" i="4" s="1"/>
  <c r="R121" i="4"/>
  <c r="K119" i="4"/>
  <c r="S119" i="4"/>
  <c r="M114" i="4"/>
  <c r="H108" i="4"/>
  <c r="W105" i="4"/>
  <c r="R95" i="4"/>
  <c r="V95" i="4" s="1"/>
  <c r="U95" i="4"/>
  <c r="K95" i="4"/>
  <c r="P94" i="4"/>
  <c r="W88" i="4"/>
  <c r="T87" i="4"/>
  <c r="M86" i="4"/>
  <c r="M84" i="4"/>
  <c r="P80" i="4"/>
  <c r="H78" i="4"/>
  <c r="R75" i="4"/>
  <c r="H69" i="4"/>
  <c r="R68" i="4"/>
  <c r="S66" i="4"/>
  <c r="T61" i="4"/>
  <c r="H60" i="4"/>
  <c r="R55" i="4"/>
  <c r="V55" i="4" s="1"/>
  <c r="R52" i="4"/>
  <c r="R43" i="4"/>
  <c r="V43" i="4" s="1"/>
  <c r="R40" i="4"/>
  <c r="H36" i="4"/>
  <c r="K33" i="4"/>
  <c r="M32" i="4"/>
  <c r="O31" i="4"/>
  <c r="R30" i="4"/>
  <c r="R29" i="4"/>
  <c r="K26" i="4"/>
  <c r="H25" i="4"/>
  <c r="M23" i="4"/>
  <c r="O14" i="4"/>
  <c r="S11" i="4"/>
  <c r="L8" i="4"/>
  <c r="N8" i="4" s="1"/>
  <c r="K84" i="4"/>
  <c r="W83" i="4"/>
  <c r="U72" i="4"/>
  <c r="T49" i="4"/>
  <c r="P21" i="4"/>
  <c r="W19" i="4"/>
  <c r="O13" i="4"/>
  <c r="K92" i="4"/>
  <c r="R86" i="4"/>
  <c r="V86" i="4" s="1"/>
  <c r="K75" i="4"/>
  <c r="S60" i="4"/>
  <c r="W45" i="4"/>
  <c r="K32" i="4"/>
  <c r="H28" i="4"/>
  <c r="W25" i="4"/>
  <c r="O21" i="4"/>
  <c r="O17" i="4"/>
  <c r="O15" i="4"/>
  <c r="O12" i="4"/>
  <c r="R8" i="4"/>
  <c r="V8" i="4" s="1"/>
  <c r="K102" i="4"/>
  <c r="H95" i="4"/>
  <c r="S87" i="4"/>
  <c r="S79" i="4"/>
  <c r="R77" i="4"/>
  <c r="V77" i="4" s="1"/>
  <c r="P73" i="4"/>
  <c r="P72" i="4"/>
  <c r="T64" i="4"/>
  <c r="O61" i="4"/>
  <c r="R59" i="4"/>
  <c r="U52" i="4"/>
  <c r="P49" i="4"/>
  <c r="S48" i="4"/>
  <c r="U40" i="4"/>
  <c r="O37" i="4"/>
  <c r="R32" i="4"/>
  <c r="V32" i="4" s="1"/>
  <c r="R22" i="4"/>
  <c r="M21" i="4"/>
  <c r="O18" i="4"/>
  <c r="O16" i="4"/>
  <c r="K89" i="4"/>
  <c r="H90" i="4"/>
  <c r="H84" i="4"/>
  <c r="S83" i="4"/>
  <c r="K82" i="4"/>
  <c r="O73" i="4"/>
  <c r="O72" i="4"/>
  <c r="P71" i="4"/>
  <c r="H68" i="4"/>
  <c r="S64" i="4"/>
  <c r="O62" i="4"/>
  <c r="P60" i="4"/>
  <c r="T52" i="4"/>
  <c r="O49" i="4"/>
  <c r="T40" i="4"/>
  <c r="O38" i="4"/>
  <c r="P36" i="4"/>
  <c r="U26" i="4"/>
  <c r="T25" i="4"/>
  <c r="H24" i="4"/>
  <c r="T22" i="4"/>
  <c r="L21" i="4"/>
  <c r="N21" i="4" s="1"/>
  <c r="O20" i="4"/>
  <c r="O19" i="4"/>
  <c r="W15" i="4"/>
  <c r="M12" i="4"/>
  <c r="O11" i="4"/>
  <c r="P103" i="4"/>
  <c r="S93" i="4"/>
  <c r="H85" i="4"/>
  <c r="O77" i="4"/>
  <c r="O76" i="4"/>
  <c r="S74" i="4"/>
  <c r="L73" i="4"/>
  <c r="N73" i="4" s="1"/>
  <c r="M72" i="4"/>
  <c r="O71" i="4"/>
  <c r="O70" i="4"/>
  <c r="O65" i="4"/>
  <c r="O60" i="4"/>
  <c r="P59" i="4"/>
  <c r="H56" i="4"/>
  <c r="S52" i="4"/>
  <c r="O50" i="4"/>
  <c r="L49" i="4"/>
  <c r="N49" i="4" s="1"/>
  <c r="P48" i="4"/>
  <c r="H44" i="4"/>
  <c r="S40" i="4"/>
  <c r="O36" i="4"/>
  <c r="T33" i="4"/>
  <c r="L20" i="4"/>
  <c r="N20" i="4" s="1"/>
  <c r="M19" i="4"/>
  <c r="R18" i="4"/>
  <c r="V18" i="4" s="1"/>
  <c r="R17" i="4"/>
  <c r="V17" i="4" s="1"/>
  <c r="R16" i="4"/>
  <c r="K14" i="4"/>
  <c r="O10" i="4"/>
  <c r="W8" i="4"/>
  <c r="T120" i="4"/>
  <c r="K114" i="4"/>
  <c r="H113" i="4"/>
  <c r="R109" i="4"/>
  <c r="R107" i="4"/>
  <c r="R105" i="4"/>
  <c r="V105" i="4" s="1"/>
  <c r="R104" i="4"/>
  <c r="V104" i="4" s="1"/>
  <c r="P100" i="4"/>
  <c r="T95" i="4"/>
  <c r="K77" i="4"/>
  <c r="O75" i="4"/>
  <c r="O69" i="4"/>
  <c r="O66" i="4"/>
  <c r="R65" i="4"/>
  <c r="V65" i="4" s="1"/>
  <c r="O64" i="4"/>
  <c r="O63" i="4"/>
  <c r="W61" i="4"/>
  <c r="M60" i="4"/>
  <c r="O59" i="4"/>
  <c r="O58" i="4"/>
  <c r="O53" i="4"/>
  <c r="P51" i="4"/>
  <c r="O48" i="4"/>
  <c r="O47" i="4"/>
  <c r="O46" i="4"/>
  <c r="O41" i="4"/>
  <c r="O39" i="4"/>
  <c r="W37" i="4"/>
  <c r="M36" i="4"/>
  <c r="O35" i="4"/>
  <c r="O34" i="4"/>
  <c r="U29" i="4"/>
  <c r="S23" i="4"/>
  <c r="R21" i="4"/>
  <c r="V21" i="4" s="1"/>
  <c r="K20" i="4"/>
  <c r="K19" i="4"/>
  <c r="H13" i="4"/>
  <c r="M11" i="4"/>
  <c r="M10" i="4"/>
  <c r="O9" i="4"/>
  <c r="U8" i="4"/>
  <c r="O45" i="4"/>
  <c r="O42" i="4"/>
  <c r="O40" i="4"/>
  <c r="O26" i="4"/>
  <c r="O25" i="4"/>
  <c r="W13" i="4"/>
  <c r="R99" i="4"/>
  <c r="T84" i="4"/>
  <c r="R81" i="4"/>
  <c r="R78" i="4"/>
  <c r="R66" i="4"/>
  <c r="V66" i="4" s="1"/>
  <c r="W63" i="4"/>
  <c r="M54" i="4"/>
  <c r="R53" i="4"/>
  <c r="H49" i="4"/>
  <c r="K48" i="4"/>
  <c r="W39" i="4"/>
  <c r="P33" i="4"/>
  <c r="O24" i="4"/>
  <c r="H21" i="4"/>
  <c r="P90" i="4"/>
  <c r="U85" i="4"/>
  <c r="R84" i="4"/>
  <c r="V84" i="4" s="1"/>
  <c r="R76" i="4"/>
  <c r="M68" i="4"/>
  <c r="K67" i="4"/>
  <c r="O56" i="4"/>
  <c r="R54" i="4"/>
  <c r="O44" i="4"/>
  <c r="R42" i="4"/>
  <c r="O33" i="4"/>
  <c r="O29" i="4"/>
  <c r="O27" i="4"/>
  <c r="U14" i="4"/>
  <c r="O8" i="4"/>
  <c r="H73" i="4"/>
  <c r="H71" i="4"/>
  <c r="R69" i="4"/>
  <c r="V69" i="4" s="1"/>
  <c r="L68" i="4"/>
  <c r="N68" i="4" s="1"/>
  <c r="O55" i="4"/>
  <c r="R46" i="4"/>
  <c r="V46" i="4" s="1"/>
  <c r="M44" i="4"/>
  <c r="O43" i="4"/>
  <c r="K37" i="4"/>
  <c r="R36" i="4"/>
  <c r="M33" i="4"/>
  <c r="O30" i="4"/>
  <c r="L29" i="4"/>
  <c r="N29" i="4" s="1"/>
  <c r="O28" i="4"/>
  <c r="M24" i="4"/>
  <c r="O23" i="4"/>
  <c r="P22" i="4"/>
  <c r="S13" i="4"/>
  <c r="H12" i="4"/>
  <c r="R9" i="4"/>
  <c r="K103" i="4"/>
  <c r="L95" i="4"/>
  <c r="N95" i="4" s="1"/>
  <c r="R91" i="4"/>
  <c r="V91" i="4" s="1"/>
  <c r="M90" i="4"/>
  <c r="R87" i="4"/>
  <c r="L83" i="4"/>
  <c r="N83" i="4" s="1"/>
  <c r="K79" i="4"/>
  <c r="H72" i="4"/>
  <c r="R64" i="4"/>
  <c r="V64" i="4" s="1"/>
  <c r="X64" i="4" s="1"/>
  <c r="Y64" i="4" s="1"/>
  <c r="Z64" i="4" s="1"/>
  <c r="R57" i="4"/>
  <c r="V57" i="4" s="1"/>
  <c r="L56" i="4"/>
  <c r="N56" i="4" s="1"/>
  <c r="R48" i="4"/>
  <c r="W47" i="4"/>
  <c r="R45" i="4"/>
  <c r="L44" i="4"/>
  <c r="N44" i="4" s="1"/>
  <c r="K39" i="4"/>
  <c r="O32" i="4"/>
  <c r="M30" i="4"/>
  <c r="W27" i="4"/>
  <c r="U17" i="4"/>
  <c r="W16" i="4"/>
  <c r="W12" i="4"/>
  <c r="M8" i="4"/>
  <c r="V233" i="4"/>
  <c r="V240" i="4"/>
  <c r="V228" i="4"/>
  <c r="V225" i="4"/>
  <c r="V246" i="4"/>
  <c r="S250" i="4"/>
  <c r="R239" i="4"/>
  <c r="P233" i="4"/>
  <c r="T233" i="4"/>
  <c r="R210" i="4"/>
  <c r="U210" i="4"/>
  <c r="X210" i="4" s="1"/>
  <c r="Y210" i="4" s="1"/>
  <c r="Z210" i="4" s="1"/>
  <c r="K210" i="4"/>
  <c r="W192" i="4"/>
  <c r="L192" i="4"/>
  <c r="N192" i="4" s="1"/>
  <c r="M192" i="4"/>
  <c r="P192" i="4"/>
  <c r="H192" i="4"/>
  <c r="T192" i="4"/>
  <c r="W244" i="4"/>
  <c r="T243" i="4"/>
  <c r="K241" i="4"/>
  <c r="H240" i="4"/>
  <c r="T237" i="4"/>
  <c r="L237" i="4"/>
  <c r="N237" i="4" s="1"/>
  <c r="M235" i="4"/>
  <c r="K234" i="4"/>
  <c r="M231" i="4"/>
  <c r="W230" i="4"/>
  <c r="T227" i="4"/>
  <c r="V220" i="4"/>
  <c r="R217" i="4"/>
  <c r="V213" i="4"/>
  <c r="S212" i="4"/>
  <c r="H212" i="4"/>
  <c r="T212" i="4"/>
  <c r="K212" i="4"/>
  <c r="S211" i="4"/>
  <c r="H211" i="4"/>
  <c r="S205" i="4"/>
  <c r="H205" i="4"/>
  <c r="K205" i="4"/>
  <c r="V202" i="4"/>
  <c r="V199" i="4"/>
  <c r="R193" i="4"/>
  <c r="U193" i="4"/>
  <c r="V164" i="4"/>
  <c r="T240" i="4"/>
  <c r="S227" i="4"/>
  <c r="W223" i="4"/>
  <c r="L217" i="4"/>
  <c r="N217" i="4" s="1"/>
  <c r="M217" i="4"/>
  <c r="P217" i="4"/>
  <c r="T215" i="4"/>
  <c r="V209" i="4"/>
  <c r="R178" i="4"/>
  <c r="U178" i="4"/>
  <c r="R166" i="4"/>
  <c r="U166" i="4"/>
  <c r="K166" i="4"/>
  <c r="P97" i="4"/>
  <c r="T97" i="4"/>
  <c r="W97" i="4"/>
  <c r="L97" i="4"/>
  <c r="N97" i="4" s="1"/>
  <c r="M97" i="4"/>
  <c r="U248" i="4"/>
  <c r="X248" i="4" s="1"/>
  <c r="Y248" i="4" s="1"/>
  <c r="Z248" i="4" s="1"/>
  <c r="H244" i="4"/>
  <c r="L241" i="4"/>
  <c r="N241" i="4" s="1"/>
  <c r="P241" i="4"/>
  <c r="S240" i="4"/>
  <c r="U237" i="4"/>
  <c r="X237" i="4" s="1"/>
  <c r="Y237" i="4" s="1"/>
  <c r="Z237" i="4" s="1"/>
  <c r="H233" i="4"/>
  <c r="H230" i="4"/>
  <c r="S223" i="4"/>
  <c r="H223" i="4"/>
  <c r="S215" i="4"/>
  <c r="P209" i="4"/>
  <c r="T209" i="4"/>
  <c r="W209" i="4"/>
  <c r="L209" i="4"/>
  <c r="N209" i="4" s="1"/>
  <c r="M209" i="4"/>
  <c r="V198" i="4"/>
  <c r="K249" i="4"/>
  <c r="T244" i="4"/>
  <c r="P243" i="4"/>
  <c r="H241" i="4"/>
  <c r="M239" i="4"/>
  <c r="H237" i="4"/>
  <c r="T230" i="4"/>
  <c r="W228" i="4"/>
  <c r="M228" i="4"/>
  <c r="S225" i="4"/>
  <c r="P221" i="4"/>
  <c r="T221" i="4"/>
  <c r="R219" i="4"/>
  <c r="R218" i="4"/>
  <c r="S202" i="4"/>
  <c r="V187" i="4"/>
  <c r="X187" i="4" s="1"/>
  <c r="Y187" i="4" s="1"/>
  <c r="Z187" i="4" s="1"/>
  <c r="V176" i="4"/>
  <c r="H171" i="4"/>
  <c r="K171" i="4"/>
  <c r="R171" i="4"/>
  <c r="S248" i="4"/>
  <c r="K248" i="4"/>
  <c r="P245" i="4"/>
  <c r="T245" i="4"/>
  <c r="R244" i="4"/>
  <c r="K242" i="4"/>
  <c r="U241" i="4"/>
  <c r="X241" i="4" s="1"/>
  <c r="Y241" i="4" s="1"/>
  <c r="Z241" i="4" s="1"/>
  <c r="P223" i="4"/>
  <c r="P219" i="4"/>
  <c r="T219" i="4"/>
  <c r="W217" i="4"/>
  <c r="H217" i="4"/>
  <c r="S200" i="4"/>
  <c r="H200" i="4"/>
  <c r="T200" i="4"/>
  <c r="K200" i="4"/>
  <c r="R200" i="4"/>
  <c r="V197" i="4"/>
  <c r="V190" i="4"/>
  <c r="X190" i="4" s="1"/>
  <c r="Y190" i="4" s="1"/>
  <c r="Z190" i="4" s="1"/>
  <c r="S146" i="4"/>
  <c r="H146" i="4"/>
  <c r="T146" i="4"/>
  <c r="K146" i="4"/>
  <c r="R146" i="4"/>
  <c r="T249" i="4"/>
  <c r="L249" i="4"/>
  <c r="N249" i="4" s="1"/>
  <c r="P240" i="4"/>
  <c r="K239" i="4"/>
  <c r="W216" i="4"/>
  <c r="L216" i="4"/>
  <c r="N216" i="4" s="1"/>
  <c r="M216" i="4"/>
  <c r="V175" i="4"/>
  <c r="V115" i="4"/>
  <c r="X84" i="4" s="1"/>
  <c r="Y84" i="4" s="1"/>
  <c r="Z84" i="4" s="1"/>
  <c r="S236" i="4"/>
  <c r="K236" i="4"/>
  <c r="V189" i="4"/>
  <c r="X189" i="4" s="1"/>
  <c r="Y189" i="4" s="1"/>
  <c r="Z189" i="4" s="1"/>
  <c r="P248" i="4"/>
  <c r="U245" i="4"/>
  <c r="X245" i="4" s="1"/>
  <c r="Y245" i="4" s="1"/>
  <c r="Z245" i="4" s="1"/>
  <c r="P244" i="4"/>
  <c r="P237" i="4"/>
  <c r="T235" i="4"/>
  <c r="K232" i="4"/>
  <c r="U231" i="4"/>
  <c r="X231" i="4" s="1"/>
  <c r="Y231" i="4" s="1"/>
  <c r="Z231" i="4" s="1"/>
  <c r="K229" i="4"/>
  <c r="T228" i="4"/>
  <c r="M227" i="4"/>
  <c r="R222" i="4"/>
  <c r="U222" i="4"/>
  <c r="X222" i="4" s="1"/>
  <c r="Y222" i="4" s="1"/>
  <c r="Z222" i="4" s="1"/>
  <c r="H221" i="4"/>
  <c r="W219" i="4"/>
  <c r="U217" i="4"/>
  <c r="X217" i="4" s="1"/>
  <c r="Y217" i="4" s="1"/>
  <c r="Z217" i="4" s="1"/>
  <c r="H216" i="4"/>
  <c r="R207" i="4"/>
  <c r="V196" i="4"/>
  <c r="S190" i="4"/>
  <c r="V186" i="4"/>
  <c r="H181" i="4"/>
  <c r="K181" i="4"/>
  <c r="S181" i="4"/>
  <c r="H165" i="4"/>
  <c r="K165" i="4"/>
  <c r="S165" i="4"/>
  <c r="H117" i="4"/>
  <c r="K117" i="4"/>
  <c r="T117" i="4"/>
  <c r="S117" i="4"/>
  <c r="K250" i="4"/>
  <c r="U249" i="4"/>
  <c r="X249" i="4" s="1"/>
  <c r="Y249" i="4" s="1"/>
  <c r="Z249" i="4" s="1"/>
  <c r="K247" i="4"/>
  <c r="H245" i="4"/>
  <c r="K243" i="4"/>
  <c r="U242" i="4"/>
  <c r="X242" i="4" s="1"/>
  <c r="Y242" i="4" s="1"/>
  <c r="Z242" i="4" s="1"/>
  <c r="M233" i="4"/>
  <c r="T231" i="4"/>
  <c r="P230" i="4"/>
  <c r="K228" i="4"/>
  <c r="K227" i="4"/>
  <c r="M223" i="4"/>
  <c r="H219" i="4"/>
  <c r="T217" i="4"/>
  <c r="W215" i="4"/>
  <c r="L215" i="4"/>
  <c r="N215" i="4" s="1"/>
  <c r="P215" i="4"/>
  <c r="K211" i="4"/>
  <c r="V204" i="4"/>
  <c r="S188" i="4"/>
  <c r="H188" i="4"/>
  <c r="T188" i="4"/>
  <c r="K188" i="4"/>
  <c r="R188" i="4"/>
  <c r="S171" i="4"/>
  <c r="H249" i="4"/>
  <c r="R247" i="4"/>
  <c r="V247" i="4" s="1"/>
  <c r="R243" i="4"/>
  <c r="M240" i="4"/>
  <c r="H236" i="4"/>
  <c r="L233" i="4"/>
  <c r="N233" i="4" s="1"/>
  <c r="L229" i="4"/>
  <c r="N229" i="4" s="1"/>
  <c r="P229" i="4"/>
  <c r="S224" i="4"/>
  <c r="H224" i="4"/>
  <c r="T224" i="4"/>
  <c r="K224" i="4"/>
  <c r="L223" i="4"/>
  <c r="N223" i="4" s="1"/>
  <c r="K220" i="4"/>
  <c r="H215" i="4"/>
  <c r="R211" i="4"/>
  <c r="R205" i="4"/>
  <c r="U205" i="4"/>
  <c r="X205" i="4" s="1"/>
  <c r="Y205" i="4" s="1"/>
  <c r="Z205" i="4" s="1"/>
  <c r="W204" i="4"/>
  <c r="L204" i="4"/>
  <c r="N204" i="4" s="1"/>
  <c r="M204" i="4"/>
  <c r="H204" i="4"/>
  <c r="T204" i="4"/>
  <c r="V120" i="4"/>
  <c r="M244" i="4"/>
  <c r="L240" i="4"/>
  <c r="N240" i="4" s="1"/>
  <c r="M237" i="4"/>
  <c r="K233" i="4"/>
  <c r="H232" i="4"/>
  <c r="R226" i="4"/>
  <c r="K226" i="4"/>
  <c r="R224" i="4"/>
  <c r="K223" i="4"/>
  <c r="T216" i="4"/>
  <c r="K216" i="4"/>
  <c r="R215" i="4"/>
  <c r="T211" i="4"/>
  <c r="R183" i="4"/>
  <c r="U183" i="4"/>
  <c r="K183" i="4"/>
  <c r="T165" i="4"/>
  <c r="T250" i="4"/>
  <c r="L248" i="4"/>
  <c r="N248" i="4" s="1"/>
  <c r="K237" i="4"/>
  <c r="T236" i="4"/>
  <c r="L230" i="4"/>
  <c r="N230" i="4" s="1"/>
  <c r="P228" i="4"/>
  <c r="W227" i="4"/>
  <c r="K225" i="4"/>
  <c r="R223" i="4"/>
  <c r="V192" i="4"/>
  <c r="K193" i="4"/>
  <c r="K178" i="4"/>
  <c r="L163" i="4"/>
  <c r="N163" i="4" s="1"/>
  <c r="P163" i="4"/>
  <c r="V155" i="4"/>
  <c r="U122" i="4"/>
  <c r="R122" i="4"/>
  <c r="K122" i="4"/>
  <c r="R106" i="4"/>
  <c r="S106" i="4"/>
  <c r="W207" i="4"/>
  <c r="M197" i="4"/>
  <c r="V194" i="4"/>
  <c r="X194" i="4" s="1"/>
  <c r="Y194" i="4" s="1"/>
  <c r="Z194" i="4" s="1"/>
  <c r="M185" i="4"/>
  <c r="T174" i="4"/>
  <c r="V163" i="4"/>
  <c r="X163" i="4" s="1"/>
  <c r="Y163" i="4" s="1"/>
  <c r="Z163" i="4" s="1"/>
  <c r="V159" i="4"/>
  <c r="X159" i="4" s="1"/>
  <c r="Y159" i="4" s="1"/>
  <c r="Z159" i="4" s="1"/>
  <c r="R157" i="4"/>
  <c r="R154" i="4"/>
  <c r="U154" i="4"/>
  <c r="V150" i="4"/>
  <c r="R130" i="4"/>
  <c r="U130" i="4"/>
  <c r="K130" i="4"/>
  <c r="K208" i="4"/>
  <c r="T205" i="4"/>
  <c r="L197" i="4"/>
  <c r="N197" i="4" s="1"/>
  <c r="K196" i="4"/>
  <c r="T193" i="4"/>
  <c r="H193" i="4"/>
  <c r="L185" i="4"/>
  <c r="N185" i="4" s="1"/>
  <c r="K179" i="4"/>
  <c r="H178" i="4"/>
  <c r="L175" i="4"/>
  <c r="N175" i="4" s="1"/>
  <c r="P175" i="4"/>
  <c r="S174" i="4"/>
  <c r="H169" i="4"/>
  <c r="K167" i="4"/>
  <c r="H166" i="4"/>
  <c r="L164" i="4"/>
  <c r="N164" i="4" s="1"/>
  <c r="U160" i="4"/>
  <c r="R160" i="4"/>
  <c r="T157" i="4"/>
  <c r="P153" i="4"/>
  <c r="H153" i="4"/>
  <c r="T153" i="4"/>
  <c r="W153" i="4"/>
  <c r="M153" i="4"/>
  <c r="V141" i="4"/>
  <c r="X128" i="4" s="1"/>
  <c r="Y128" i="4" s="1"/>
  <c r="Z128" i="4" s="1"/>
  <c r="S134" i="4"/>
  <c r="H134" i="4"/>
  <c r="T134" i="4"/>
  <c r="K134" i="4"/>
  <c r="R134" i="4"/>
  <c r="V131" i="4"/>
  <c r="V121" i="4"/>
  <c r="X121" i="4" s="1"/>
  <c r="Y121" i="4" s="1"/>
  <c r="Z121" i="4" s="1"/>
  <c r="R112" i="4"/>
  <c r="U112" i="4"/>
  <c r="M211" i="4"/>
  <c r="M199" i="4"/>
  <c r="W197" i="4"/>
  <c r="M187" i="4"/>
  <c r="W185" i="4"/>
  <c r="T178" i="4"/>
  <c r="R167" i="4"/>
  <c r="T166" i="4"/>
  <c r="T163" i="4"/>
  <c r="S158" i="4"/>
  <c r="H158" i="4"/>
  <c r="T158" i="4"/>
  <c r="K158" i="4"/>
  <c r="V147" i="4"/>
  <c r="V143" i="4"/>
  <c r="V142" i="4"/>
  <c r="V114" i="4"/>
  <c r="V108" i="4"/>
  <c r="V102" i="4"/>
  <c r="R101" i="4"/>
  <c r="S101" i="4"/>
  <c r="L211" i="4"/>
  <c r="N211" i="4" s="1"/>
  <c r="U208" i="4"/>
  <c r="X208" i="4" s="1"/>
  <c r="Y208" i="4" s="1"/>
  <c r="Z208" i="4" s="1"/>
  <c r="T207" i="4"/>
  <c r="P203" i="4"/>
  <c r="L199" i="4"/>
  <c r="N199" i="4" s="1"/>
  <c r="K198" i="4"/>
  <c r="U196" i="4"/>
  <c r="X196" i="4" s="1"/>
  <c r="Y196" i="4" s="1"/>
  <c r="Z196" i="4" s="1"/>
  <c r="T195" i="4"/>
  <c r="P191" i="4"/>
  <c r="L187" i="4"/>
  <c r="N187" i="4" s="1"/>
  <c r="K186" i="4"/>
  <c r="T184" i="4"/>
  <c r="H183" i="4"/>
  <c r="L180" i="4"/>
  <c r="N180" i="4" s="1"/>
  <c r="P179" i="4"/>
  <c r="T179" i="4"/>
  <c r="K176" i="4"/>
  <c r="U175" i="4"/>
  <c r="H170" i="4"/>
  <c r="P169" i="4"/>
  <c r="P167" i="4"/>
  <c r="T167" i="4"/>
  <c r="W164" i="4"/>
  <c r="R158" i="4"/>
  <c r="R151" i="4"/>
  <c r="U151" i="4"/>
  <c r="K151" i="4"/>
  <c r="V135" i="4"/>
  <c r="P174" i="4"/>
  <c r="S157" i="4"/>
  <c r="H157" i="4"/>
  <c r="K157" i="4"/>
  <c r="W150" i="4"/>
  <c r="L150" i="4"/>
  <c r="N150" i="4" s="1"/>
  <c r="M150" i="4"/>
  <c r="P150" i="4"/>
  <c r="T150" i="4"/>
  <c r="R139" i="4"/>
  <c r="U139" i="4"/>
  <c r="K139" i="4"/>
  <c r="V90" i="4"/>
  <c r="L225" i="4"/>
  <c r="N225" i="4" s="1"/>
  <c r="L213" i="4"/>
  <c r="N213" i="4" s="1"/>
  <c r="P205" i="4"/>
  <c r="L201" i="4"/>
  <c r="N201" i="4" s="1"/>
  <c r="U198" i="4"/>
  <c r="X198" i="4" s="1"/>
  <c r="Y198" i="4" s="1"/>
  <c r="Z198" i="4" s="1"/>
  <c r="T197" i="4"/>
  <c r="P193" i="4"/>
  <c r="L189" i="4"/>
  <c r="N189" i="4" s="1"/>
  <c r="U186" i="4"/>
  <c r="T185" i="4"/>
  <c r="R184" i="4"/>
  <c r="P183" i="4"/>
  <c r="U179" i="4"/>
  <c r="P178" i="4"/>
  <c r="R172" i="4"/>
  <c r="K172" i="4"/>
  <c r="K168" i="4"/>
  <c r="P166" i="4"/>
  <c r="U164" i="4"/>
  <c r="H164" i="4"/>
  <c r="W162" i="4"/>
  <c r="M162" i="4"/>
  <c r="W138" i="4"/>
  <c r="L138" i="4"/>
  <c r="N138" i="4" s="1"/>
  <c r="M138" i="4"/>
  <c r="P138" i="4"/>
  <c r="T138" i="4"/>
  <c r="V127" i="4"/>
  <c r="S114" i="4"/>
  <c r="M203" i="4"/>
  <c r="M191" i="4"/>
  <c r="K189" i="4"/>
  <c r="R181" i="4"/>
  <c r="K177" i="4"/>
  <c r="U176" i="4"/>
  <c r="S170" i="4"/>
  <c r="K170" i="4"/>
  <c r="M169" i="4"/>
  <c r="R165" i="4"/>
  <c r="T164" i="4"/>
  <c r="K160" i="4"/>
  <c r="K149" i="4"/>
  <c r="R149" i="4"/>
  <c r="S149" i="4"/>
  <c r="R129" i="4"/>
  <c r="S129" i="4"/>
  <c r="V124" i="4"/>
  <c r="L203" i="4"/>
  <c r="N203" i="4" s="1"/>
  <c r="H199" i="4"/>
  <c r="L191" i="4"/>
  <c r="N191" i="4" s="1"/>
  <c r="H187" i="4"/>
  <c r="K182" i="4"/>
  <c r="T180" i="4"/>
  <c r="R177" i="4"/>
  <c r="M174" i="4"/>
  <c r="L169" i="4"/>
  <c r="N169" i="4" s="1"/>
  <c r="M163" i="4"/>
  <c r="K161" i="4"/>
  <c r="R125" i="4"/>
  <c r="S125" i="4"/>
  <c r="V116" i="4"/>
  <c r="P109" i="4"/>
  <c r="T109" i="4"/>
  <c r="L109" i="4"/>
  <c r="N109" i="4" s="1"/>
  <c r="M109" i="4"/>
  <c r="W109" i="4"/>
  <c r="M205" i="4"/>
  <c r="M193" i="4"/>
  <c r="M183" i="4"/>
  <c r="U181" i="4"/>
  <c r="M178" i="4"/>
  <c r="L174" i="4"/>
  <c r="N174" i="4" s="1"/>
  <c r="T171" i="4"/>
  <c r="L171" i="4"/>
  <c r="N171" i="4" s="1"/>
  <c r="K169" i="4"/>
  <c r="M166" i="4"/>
  <c r="K162" i="4"/>
  <c r="H162" i="4"/>
  <c r="U153" i="4"/>
  <c r="V133" i="4"/>
  <c r="L183" i="4"/>
  <c r="N183" i="4" s="1"/>
  <c r="W171" i="4"/>
  <c r="R169" i="4"/>
  <c r="M118" i="4"/>
  <c r="L118" i="4"/>
  <c r="N118" i="4" s="1"/>
  <c r="P118" i="4"/>
  <c r="T118" i="4"/>
  <c r="H118" i="4"/>
  <c r="W118" i="4"/>
  <c r="L152" i="4"/>
  <c r="N152" i="4" s="1"/>
  <c r="M141" i="4"/>
  <c r="L140" i="4"/>
  <c r="N140" i="4" s="1"/>
  <c r="V138" i="4"/>
  <c r="T125" i="4"/>
  <c r="L125" i="4"/>
  <c r="N125" i="4" s="1"/>
  <c r="M123" i="4"/>
  <c r="M119" i="4"/>
  <c r="S111" i="4"/>
  <c r="H111" i="4"/>
  <c r="M107" i="4"/>
  <c r="T101" i="4"/>
  <c r="P99" i="4"/>
  <c r="R97" i="4"/>
  <c r="K97" i="4"/>
  <c r="R93" i="4"/>
  <c r="U93" i="4"/>
  <c r="M155" i="4"/>
  <c r="L154" i="4"/>
  <c r="N154" i="4" s="1"/>
  <c r="K153" i="4"/>
  <c r="H150" i="4"/>
  <c r="R148" i="4"/>
  <c r="L142" i="4"/>
  <c r="N142" i="4" s="1"/>
  <c r="W141" i="4"/>
  <c r="K141" i="4"/>
  <c r="H138" i="4"/>
  <c r="S137" i="4"/>
  <c r="R136" i="4"/>
  <c r="L131" i="4"/>
  <c r="N131" i="4" s="1"/>
  <c r="P128" i="4"/>
  <c r="M127" i="4"/>
  <c r="K126" i="4"/>
  <c r="S121" i="4"/>
  <c r="U118" i="4"/>
  <c r="R117" i="4"/>
  <c r="K142" i="4"/>
  <c r="R137" i="4"/>
  <c r="K131" i="4"/>
  <c r="H125" i="4"/>
  <c r="V109" i="4"/>
  <c r="L105" i="4"/>
  <c r="N105" i="4" s="1"/>
  <c r="M105" i="4"/>
  <c r="P105" i="4"/>
  <c r="R110" i="4"/>
  <c r="U110" i="4"/>
  <c r="H109" i="4"/>
  <c r="V99" i="4"/>
  <c r="H97" i="4"/>
  <c r="V87" i="4"/>
  <c r="L157" i="4"/>
  <c r="N157" i="4" s="1"/>
  <c r="P149" i="4"/>
  <c r="L145" i="4"/>
  <c r="N145" i="4" s="1"/>
  <c r="U142" i="4"/>
  <c r="T141" i="4"/>
  <c r="H141" i="4"/>
  <c r="P137" i="4"/>
  <c r="L133" i="4"/>
  <c r="N133" i="4" s="1"/>
  <c r="M128" i="4"/>
  <c r="H123" i="4"/>
  <c r="H119" i="4"/>
  <c r="R118" i="4"/>
  <c r="S115" i="4"/>
  <c r="W107" i="4"/>
  <c r="H107" i="4"/>
  <c r="T99" i="4"/>
  <c r="M99" i="4"/>
  <c r="V81" i="4"/>
  <c r="M159" i="4"/>
  <c r="W157" i="4"/>
  <c r="U155" i="4"/>
  <c r="T154" i="4"/>
  <c r="H154" i="4"/>
  <c r="M147" i="4"/>
  <c r="W145" i="4"/>
  <c r="K145" i="4"/>
  <c r="U143" i="4"/>
  <c r="X131" i="4" s="1"/>
  <c r="Y131" i="4" s="1"/>
  <c r="Z131" i="4" s="1"/>
  <c r="T142" i="4"/>
  <c r="H142" i="4"/>
  <c r="M135" i="4"/>
  <c r="W133" i="4"/>
  <c r="K133" i="4"/>
  <c r="U131" i="4"/>
  <c r="H131" i="4"/>
  <c r="L128" i="4"/>
  <c r="N128" i="4" s="1"/>
  <c r="P125" i="4"/>
  <c r="T123" i="4"/>
  <c r="K120" i="4"/>
  <c r="U119" i="4"/>
  <c r="S112" i="4"/>
  <c r="K112" i="4"/>
  <c r="V107" i="4"/>
  <c r="S100" i="4"/>
  <c r="H100" i="4"/>
  <c r="T100" i="4"/>
  <c r="K100" i="4"/>
  <c r="S89" i="4"/>
  <c r="V22" i="4"/>
  <c r="L159" i="4"/>
  <c r="N159" i="4" s="1"/>
  <c r="T155" i="4"/>
  <c r="P151" i="4"/>
  <c r="L147" i="4"/>
  <c r="N147" i="4" s="1"/>
  <c r="T143" i="4"/>
  <c r="P139" i="4"/>
  <c r="L135" i="4"/>
  <c r="N135" i="4" s="1"/>
  <c r="T131" i="4"/>
  <c r="T127" i="4"/>
  <c r="R126" i="4"/>
  <c r="W120" i="4"/>
  <c r="T119" i="4"/>
  <c r="U116" i="4"/>
  <c r="T113" i="4"/>
  <c r="L113" i="4"/>
  <c r="N113" i="4" s="1"/>
  <c r="K111" i="4"/>
  <c r="K108" i="4"/>
  <c r="U107" i="4"/>
  <c r="U105" i="4"/>
  <c r="W104" i="4"/>
  <c r="L104" i="4"/>
  <c r="N104" i="4" s="1"/>
  <c r="M104" i="4"/>
  <c r="U97" i="4"/>
  <c r="U92" i="4"/>
  <c r="V76" i="4"/>
  <c r="W74" i="4"/>
  <c r="L74" i="4"/>
  <c r="N74" i="4" s="1"/>
  <c r="T74" i="4"/>
  <c r="M74" i="4"/>
  <c r="P74" i="4"/>
  <c r="R63" i="4"/>
  <c r="U63" i="4"/>
  <c r="P152" i="4"/>
  <c r="M149" i="4"/>
  <c r="P140" i="4"/>
  <c r="M137" i="4"/>
  <c r="P115" i="4"/>
  <c r="R111" i="4"/>
  <c r="T107" i="4"/>
  <c r="T105" i="4"/>
  <c r="R100" i="4"/>
  <c r="S99" i="4"/>
  <c r="H99" i="4"/>
  <c r="S88" i="4"/>
  <c r="H88" i="4"/>
  <c r="T88" i="4"/>
  <c r="K88" i="4"/>
  <c r="V85" i="4"/>
  <c r="V74" i="4"/>
  <c r="X147" i="4" s="1"/>
  <c r="Y147" i="4" s="1"/>
  <c r="Z147" i="4" s="1"/>
  <c r="L149" i="4"/>
  <c r="N149" i="4" s="1"/>
  <c r="H145" i="4"/>
  <c r="L137" i="4"/>
  <c r="N137" i="4" s="1"/>
  <c r="H133" i="4"/>
  <c r="H128" i="4"/>
  <c r="M125" i="4"/>
  <c r="U124" i="4"/>
  <c r="K121" i="4"/>
  <c r="U120" i="4"/>
  <c r="H120" i="4"/>
  <c r="L117" i="4"/>
  <c r="N117" i="4" s="1"/>
  <c r="P117" i="4"/>
  <c r="U113" i="4"/>
  <c r="T111" i="4"/>
  <c r="W99" i="4"/>
  <c r="R83" i="4"/>
  <c r="U83" i="4"/>
  <c r="M79" i="4"/>
  <c r="L79" i="4"/>
  <c r="N79" i="4" s="1"/>
  <c r="P79" i="4"/>
  <c r="T79" i="4"/>
  <c r="H79" i="4"/>
  <c r="T128" i="4"/>
  <c r="K125" i="4"/>
  <c r="K116" i="4"/>
  <c r="M115" i="4"/>
  <c r="W103" i="4"/>
  <c r="L103" i="4"/>
  <c r="N103" i="4" s="1"/>
  <c r="K101" i="4"/>
  <c r="R98" i="4"/>
  <c r="U98" i="4"/>
  <c r="W91" i="4"/>
  <c r="L91" i="4"/>
  <c r="N91" i="4" s="1"/>
  <c r="M91" i="4"/>
  <c r="P91" i="4"/>
  <c r="S90" i="4"/>
  <c r="R88" i="4"/>
  <c r="V75" i="4"/>
  <c r="L130" i="4"/>
  <c r="N130" i="4" s="1"/>
  <c r="S124" i="4"/>
  <c r="K124" i="4"/>
  <c r="P121" i="4"/>
  <c r="T121" i="4"/>
  <c r="W111" i="4"/>
  <c r="K109" i="4"/>
  <c r="U104" i="4"/>
  <c r="K104" i="4"/>
  <c r="H103" i="4"/>
  <c r="K93" i="4"/>
  <c r="W92" i="4"/>
  <c r="L92" i="4"/>
  <c r="N92" i="4" s="1"/>
  <c r="M92" i="4"/>
  <c r="P92" i="4"/>
  <c r="H92" i="4"/>
  <c r="T92" i="4"/>
  <c r="H91" i="4"/>
  <c r="V82" i="4"/>
  <c r="M77" i="4"/>
  <c r="W77" i="4"/>
  <c r="M65" i="4"/>
  <c r="P65" i="4"/>
  <c r="W65" i="4"/>
  <c r="W62" i="4"/>
  <c r="L62" i="4"/>
  <c r="N62" i="4" s="1"/>
  <c r="M62" i="4"/>
  <c r="P62" i="4"/>
  <c r="T62" i="4"/>
  <c r="V44" i="4"/>
  <c r="V24" i="4"/>
  <c r="L96" i="4"/>
  <c r="N96" i="4" s="1"/>
  <c r="V94" i="4"/>
  <c r="M85" i="4"/>
  <c r="L84" i="4"/>
  <c r="N84" i="4" s="1"/>
  <c r="M80" i="4"/>
  <c r="T70" i="4"/>
  <c r="W70" i="4"/>
  <c r="L70" i="4"/>
  <c r="N70" i="4" s="1"/>
  <c r="P70" i="4"/>
  <c r="V36" i="4"/>
  <c r="R34" i="4"/>
  <c r="V9" i="4"/>
  <c r="W96" i="4"/>
  <c r="T93" i="4"/>
  <c r="H93" i="4"/>
  <c r="S92" i="4"/>
  <c r="L85" i="4"/>
  <c r="N85" i="4" s="1"/>
  <c r="W84" i="4"/>
  <c r="H83" i="4"/>
  <c r="L80" i="4"/>
  <c r="N80" i="4" s="1"/>
  <c r="U79" i="4"/>
  <c r="L76" i="4"/>
  <c r="N76" i="4" s="1"/>
  <c r="M76" i="4"/>
  <c r="P76" i="4"/>
  <c r="T58" i="4"/>
  <c r="V40" i="4"/>
  <c r="T34" i="4"/>
  <c r="S24" i="4"/>
  <c r="S12" i="4"/>
  <c r="S10" i="4"/>
  <c r="H10" i="4"/>
  <c r="K10" i="4"/>
  <c r="T94" i="4"/>
  <c r="H94" i="4"/>
  <c r="M87" i="4"/>
  <c r="W85" i="4"/>
  <c r="K85" i="4"/>
  <c r="T83" i="4"/>
  <c r="K80" i="4"/>
  <c r="K78" i="4"/>
  <c r="T77" i="4"/>
  <c r="H76" i="4"/>
  <c r="K74" i="4"/>
  <c r="H74" i="4"/>
  <c r="K71" i="4"/>
  <c r="V60" i="4"/>
  <c r="K86" i="4"/>
  <c r="P82" i="4"/>
  <c r="R79" i="4"/>
  <c r="R71" i="4"/>
  <c r="R70" i="4"/>
  <c r="S70" i="4"/>
  <c r="H70" i="4"/>
  <c r="K70" i="4"/>
  <c r="K63" i="4"/>
  <c r="V33" i="4"/>
  <c r="V23" i="4"/>
  <c r="S22" i="4"/>
  <c r="H22" i="4"/>
  <c r="K22" i="4"/>
  <c r="W14" i="4"/>
  <c r="L14" i="4"/>
  <c r="N14" i="4" s="1"/>
  <c r="M14" i="4"/>
  <c r="P14" i="4"/>
  <c r="T14" i="4"/>
  <c r="V11" i="4"/>
  <c r="K87" i="4"/>
  <c r="K83" i="4"/>
  <c r="P78" i="4"/>
  <c r="L78" i="4"/>
  <c r="N78" i="4" s="1"/>
  <c r="K73" i="4"/>
  <c r="S73" i="4"/>
  <c r="V72" i="4"/>
  <c r="T65" i="4"/>
  <c r="R58" i="4"/>
  <c r="S58" i="4"/>
  <c r="H58" i="4"/>
  <c r="K58" i="4"/>
  <c r="V54" i="4"/>
  <c r="V53" i="4"/>
  <c r="W50" i="4"/>
  <c r="L50" i="4"/>
  <c r="N50" i="4" s="1"/>
  <c r="M50" i="4"/>
  <c r="P50" i="4"/>
  <c r="T50" i="4"/>
  <c r="S34" i="4"/>
  <c r="H34" i="4"/>
  <c r="K34" i="4"/>
  <c r="W26" i="4"/>
  <c r="L26" i="4"/>
  <c r="N26" i="4" s="1"/>
  <c r="M26" i="4"/>
  <c r="P26" i="4"/>
  <c r="T26" i="4"/>
  <c r="R15" i="4"/>
  <c r="U15" i="4"/>
  <c r="L101" i="4"/>
  <c r="N101" i="4" s="1"/>
  <c r="P93" i="4"/>
  <c r="L90" i="4"/>
  <c r="N90" i="4" s="1"/>
  <c r="U86" i="4"/>
  <c r="T85" i="4"/>
  <c r="T73" i="4"/>
  <c r="V56" i="4"/>
  <c r="R51" i="4"/>
  <c r="U51" i="4"/>
  <c r="V35" i="4"/>
  <c r="V30" i="4"/>
  <c r="R27" i="4"/>
  <c r="U27" i="4"/>
  <c r="V19" i="4"/>
  <c r="V16" i="4"/>
  <c r="K90" i="4"/>
  <c r="P83" i="4"/>
  <c r="M82" i="4"/>
  <c r="K81" i="4"/>
  <c r="U80" i="4"/>
  <c r="W78" i="4"/>
  <c r="P77" i="4"/>
  <c r="R73" i="4"/>
  <c r="V31" i="4"/>
  <c r="V29" i="4"/>
  <c r="H87" i="4"/>
  <c r="L82" i="4"/>
  <c r="N82" i="4" s="1"/>
  <c r="H80" i="4"/>
  <c r="V78" i="4"/>
  <c r="S76" i="4"/>
  <c r="V68" i="4"/>
  <c r="V59" i="4"/>
  <c r="M93" i="4"/>
  <c r="U78" i="4"/>
  <c r="L77" i="4"/>
  <c r="N77" i="4" s="1"/>
  <c r="R67" i="4"/>
  <c r="U67" i="4"/>
  <c r="L65" i="4"/>
  <c r="N65" i="4" s="1"/>
  <c r="V52" i="4"/>
  <c r="V48" i="4"/>
  <c r="V45" i="4"/>
  <c r="W38" i="4"/>
  <c r="L38" i="4"/>
  <c r="N38" i="4" s="1"/>
  <c r="M38" i="4"/>
  <c r="P38" i="4"/>
  <c r="T38" i="4"/>
  <c r="K15" i="4"/>
  <c r="M83" i="4"/>
  <c r="T81" i="4"/>
  <c r="T78" i="4"/>
  <c r="H75" i="4"/>
  <c r="P66" i="4"/>
  <c r="T66" i="4"/>
  <c r="W66" i="4"/>
  <c r="L66" i="4"/>
  <c r="N66" i="4" s="1"/>
  <c r="K51" i="4"/>
  <c r="S46" i="4"/>
  <c r="H46" i="4"/>
  <c r="K46" i="4"/>
  <c r="V42" i="4"/>
  <c r="R39" i="4"/>
  <c r="U39" i="4"/>
  <c r="V28" i="4"/>
  <c r="X28" i="4" s="1"/>
  <c r="Y28" i="4" s="1"/>
  <c r="Z28" i="4" s="1"/>
  <c r="K27" i="4"/>
  <c r="R10" i="4"/>
  <c r="M67" i="4"/>
  <c r="K65" i="4"/>
  <c r="H62" i="4"/>
  <c r="S61" i="4"/>
  <c r="P58" i="4"/>
  <c r="M55" i="4"/>
  <c r="L54" i="4"/>
  <c r="N54" i="4" s="1"/>
  <c r="W53" i="4"/>
  <c r="K53" i="4"/>
  <c r="H50" i="4"/>
  <c r="S49" i="4"/>
  <c r="P46" i="4"/>
  <c r="M43" i="4"/>
  <c r="L42" i="4"/>
  <c r="N42" i="4" s="1"/>
  <c r="W41" i="4"/>
  <c r="K41" i="4"/>
  <c r="H38" i="4"/>
  <c r="S37" i="4"/>
  <c r="P34" i="4"/>
  <c r="M31" i="4"/>
  <c r="L30" i="4"/>
  <c r="N30" i="4" s="1"/>
  <c r="W29" i="4"/>
  <c r="H26" i="4"/>
  <c r="S25" i="4"/>
  <c r="L18" i="4"/>
  <c r="N18" i="4" s="1"/>
  <c r="W17" i="4"/>
  <c r="H14" i="4"/>
  <c r="L67" i="4"/>
  <c r="N67" i="4" s="1"/>
  <c r="K66" i="4"/>
  <c r="T63" i="4"/>
  <c r="H63" i="4"/>
  <c r="S62" i="4"/>
  <c r="R61" i="4"/>
  <c r="L55" i="4"/>
  <c r="N55" i="4" s="1"/>
  <c r="W54" i="4"/>
  <c r="K54" i="4"/>
  <c r="T51" i="4"/>
  <c r="H51" i="4"/>
  <c r="S50" i="4"/>
  <c r="R49" i="4"/>
  <c r="L43" i="4"/>
  <c r="N43" i="4" s="1"/>
  <c r="W42" i="4"/>
  <c r="K42" i="4"/>
  <c r="T39" i="4"/>
  <c r="H39" i="4"/>
  <c r="S38" i="4"/>
  <c r="R37" i="4"/>
  <c r="L31" i="4"/>
  <c r="N31" i="4" s="1"/>
  <c r="W30" i="4"/>
  <c r="K30" i="4"/>
  <c r="T27" i="4"/>
  <c r="H27" i="4"/>
  <c r="S26" i="4"/>
  <c r="M20" i="4"/>
  <c r="L19" i="4"/>
  <c r="N19" i="4" s="1"/>
  <c r="W18" i="4"/>
  <c r="K18" i="4"/>
  <c r="U16" i="4"/>
  <c r="T15" i="4"/>
  <c r="H15" i="4"/>
  <c r="S14" i="4"/>
  <c r="U54" i="4"/>
  <c r="T53" i="4"/>
  <c r="H53" i="4"/>
  <c r="U42" i="4"/>
  <c r="T41" i="4"/>
  <c r="H41" i="4"/>
  <c r="U30" i="4"/>
  <c r="T29" i="4"/>
  <c r="H29" i="4"/>
  <c r="U18" i="4"/>
  <c r="X36" i="4" s="1"/>
  <c r="Y36" i="4" s="1"/>
  <c r="Z36" i="4" s="1"/>
  <c r="T17" i="4"/>
  <c r="H17" i="4"/>
  <c r="H66" i="4"/>
  <c r="L58" i="4"/>
  <c r="N58" i="4" s="1"/>
  <c r="U55" i="4"/>
  <c r="X103" i="4" s="1"/>
  <c r="Y103" i="4" s="1"/>
  <c r="Z103" i="4" s="1"/>
  <c r="T54" i="4"/>
  <c r="H54" i="4"/>
  <c r="L46" i="4"/>
  <c r="N46" i="4" s="1"/>
  <c r="U43" i="4"/>
  <c r="T42" i="4"/>
  <c r="H42" i="4"/>
  <c r="U31" i="4"/>
  <c r="T30" i="4"/>
  <c r="H30" i="4"/>
  <c r="U19" i="4"/>
  <c r="T18" i="4"/>
  <c r="H18" i="4"/>
  <c r="L10" i="4"/>
  <c r="N10" i="4" s="1"/>
  <c r="K9" i="4"/>
  <c r="U68" i="4"/>
  <c r="T67" i="4"/>
  <c r="H67" i="4"/>
  <c r="W58" i="4"/>
  <c r="U56" i="4"/>
  <c r="X107" i="4" s="1"/>
  <c r="Y107" i="4" s="1"/>
  <c r="Z107" i="4" s="1"/>
  <c r="T55" i="4"/>
  <c r="H55" i="4"/>
  <c r="W46" i="4"/>
  <c r="U44" i="4"/>
  <c r="X75" i="4" s="1"/>
  <c r="Y75" i="4" s="1"/>
  <c r="Z75" i="4" s="1"/>
  <c r="T43" i="4"/>
  <c r="H43" i="4"/>
  <c r="P39" i="4"/>
  <c r="W34" i="4"/>
  <c r="U32" i="4"/>
  <c r="T31" i="4"/>
  <c r="H31" i="4"/>
  <c r="P27" i="4"/>
  <c r="W22" i="4"/>
  <c r="U20" i="4"/>
  <c r="T19" i="4"/>
  <c r="H19" i="4"/>
  <c r="P15" i="4"/>
  <c r="W10" i="4"/>
  <c r="M73" i="4"/>
  <c r="L72" i="4"/>
  <c r="N72" i="4" s="1"/>
  <c r="W71" i="4"/>
  <c r="U69" i="4"/>
  <c r="T68" i="4"/>
  <c r="P64" i="4"/>
  <c r="M61" i="4"/>
  <c r="K59" i="4"/>
  <c r="U57" i="4"/>
  <c r="T56" i="4"/>
  <c r="P52" i="4"/>
  <c r="M49" i="4"/>
  <c r="K47" i="4"/>
  <c r="U45" i="4"/>
  <c r="T44" i="4"/>
  <c r="P40" i="4"/>
  <c r="M37" i="4"/>
  <c r="K35" i="4"/>
  <c r="U33" i="4"/>
  <c r="T32" i="4"/>
  <c r="H32" i="4"/>
  <c r="P28" i="4"/>
  <c r="K23" i="4"/>
  <c r="U21" i="4"/>
  <c r="X42" i="4" s="1"/>
  <c r="Y42" i="4" s="1"/>
  <c r="Z42" i="4" s="1"/>
  <c r="T20" i="4"/>
  <c r="H20" i="4"/>
  <c r="P16" i="4"/>
  <c r="K11" i="4"/>
  <c r="U9" i="4"/>
  <c r="X23" i="4" s="1"/>
  <c r="Y23" i="4" s="1"/>
  <c r="Z23" i="4" s="1"/>
  <c r="T8" i="4"/>
  <c r="H8" i="4"/>
  <c r="P53" i="4"/>
  <c r="P41" i="4"/>
  <c r="P29" i="4"/>
  <c r="K24" i="4"/>
  <c r="P17" i="4"/>
  <c r="K12" i="4"/>
  <c r="M63" i="4"/>
  <c r="M51" i="4"/>
  <c r="M39" i="4"/>
  <c r="M27" i="4"/>
  <c r="M15" i="4"/>
  <c r="M64" i="4"/>
  <c r="L63" i="4"/>
  <c r="N63" i="4" s="1"/>
  <c r="T59" i="4"/>
  <c r="M52" i="4"/>
  <c r="L51" i="4"/>
  <c r="N51" i="4" s="1"/>
  <c r="T47" i="4"/>
  <c r="H47" i="4"/>
  <c r="M40" i="4"/>
  <c r="L39" i="4"/>
  <c r="N39" i="4" s="1"/>
  <c r="T35" i="4"/>
  <c r="H35" i="4"/>
  <c r="M28" i="4"/>
  <c r="L27" i="4"/>
  <c r="N27" i="4" s="1"/>
  <c r="H23" i="4"/>
  <c r="M16" i="4"/>
  <c r="L15" i="4"/>
  <c r="N15" i="4" s="1"/>
  <c r="H11" i="4"/>
  <c r="T60" i="4"/>
  <c r="T48" i="4"/>
  <c r="T36" i="4"/>
  <c r="T24" i="4"/>
  <c r="T12" i="4"/>
  <c r="P7" i="4"/>
  <c r="V7" i="4"/>
  <c r="H7" i="4"/>
  <c r="T7" i="4"/>
  <c r="W7" i="4"/>
  <c r="L7" i="4"/>
  <c r="N7" i="4" s="1"/>
  <c r="O65" i="7"/>
  <c r="R65" i="7" s="1"/>
  <c r="AA65" i="7"/>
  <c r="X65" i="7"/>
  <c r="M65" i="7"/>
  <c r="T65" i="7"/>
  <c r="S65" i="7"/>
  <c r="K141" i="12"/>
  <c r="H141" i="12"/>
  <c r="T141" i="12"/>
  <c r="X141" i="12"/>
  <c r="U141" i="12"/>
  <c r="Q141" i="12"/>
  <c r="P141" i="12"/>
  <c r="N141" i="12"/>
  <c r="M141" i="12"/>
  <c r="O141" i="12" s="1"/>
  <c r="L141" i="12"/>
  <c r="V141" i="12"/>
  <c r="S141" i="12"/>
  <c r="W141" i="12" s="1"/>
  <c r="K142" i="12"/>
  <c r="H142" i="12"/>
  <c r="T142" i="12"/>
  <c r="X142" i="12"/>
  <c r="U142" i="12"/>
  <c r="Q142" i="12"/>
  <c r="P142" i="12"/>
  <c r="N142" i="12"/>
  <c r="M142" i="12"/>
  <c r="O142" i="12" s="1"/>
  <c r="L142" i="12"/>
  <c r="V142" i="12"/>
  <c r="S142" i="12"/>
  <c r="W142" i="12" s="1"/>
  <c r="K144" i="12"/>
  <c r="H144" i="12"/>
  <c r="T144" i="12"/>
  <c r="X144" i="12"/>
  <c r="U144" i="12"/>
  <c r="Q144" i="12"/>
  <c r="P144" i="12"/>
  <c r="N144" i="12"/>
  <c r="M144" i="12"/>
  <c r="O144" i="12" s="1"/>
  <c r="L144" i="12"/>
  <c r="V144" i="12"/>
  <c r="S144" i="12"/>
  <c r="W144" i="12" s="1"/>
  <c r="K148" i="12"/>
  <c r="H148" i="12"/>
  <c r="T148" i="12"/>
  <c r="X148" i="12"/>
  <c r="U148" i="12"/>
  <c r="Q148" i="12"/>
  <c r="P148" i="12"/>
  <c r="N148" i="12"/>
  <c r="M148" i="12"/>
  <c r="O148" i="12" s="1"/>
  <c r="L148" i="12"/>
  <c r="V148" i="12"/>
  <c r="S148" i="12"/>
  <c r="W148" i="12" s="1"/>
  <c r="K6" i="12"/>
  <c r="H6" i="12"/>
  <c r="T6" i="12"/>
  <c r="X6" i="12"/>
  <c r="U6" i="12"/>
  <c r="Q6" i="12"/>
  <c r="P6" i="12"/>
  <c r="N6" i="12"/>
  <c r="M6" i="12"/>
  <c r="O6" i="12" s="1"/>
  <c r="L6" i="12"/>
  <c r="V6" i="12"/>
  <c r="S6" i="12"/>
  <c r="W6" i="12" s="1"/>
  <c r="K11" i="12"/>
  <c r="H11" i="12"/>
  <c r="T11" i="12"/>
  <c r="X11" i="12"/>
  <c r="U11" i="12"/>
  <c r="Q11" i="12"/>
  <c r="P11" i="12"/>
  <c r="N11" i="12"/>
  <c r="M11" i="12"/>
  <c r="O11" i="12" s="1"/>
  <c r="L11" i="12"/>
  <c r="V11" i="12"/>
  <c r="S11" i="12"/>
  <c r="W11" i="12" s="1"/>
  <c r="K19" i="12"/>
  <c r="H19" i="12"/>
  <c r="T19" i="12"/>
  <c r="X19" i="12"/>
  <c r="U19" i="12"/>
  <c r="Q19" i="12"/>
  <c r="P19" i="12"/>
  <c r="N19" i="12"/>
  <c r="M19" i="12"/>
  <c r="O19" i="12" s="1"/>
  <c r="L19" i="12"/>
  <c r="V19" i="12"/>
  <c r="S19" i="12"/>
  <c r="W19" i="12" s="1"/>
  <c r="K146" i="12"/>
  <c r="H146" i="12"/>
  <c r="T146" i="12"/>
  <c r="X146" i="12"/>
  <c r="U146" i="12"/>
  <c r="Q146" i="12"/>
  <c r="P146" i="12"/>
  <c r="N146" i="12"/>
  <c r="M146" i="12"/>
  <c r="O146" i="12" s="1"/>
  <c r="L146" i="12"/>
  <c r="V146" i="12"/>
  <c r="S146" i="12"/>
  <c r="W146" i="12" s="1"/>
  <c r="K150" i="12"/>
  <c r="H150" i="12"/>
  <c r="T150" i="12"/>
  <c r="X150" i="12"/>
  <c r="U150" i="12"/>
  <c r="Q150" i="12"/>
  <c r="P150" i="12"/>
  <c r="N150" i="12"/>
  <c r="M150" i="12"/>
  <c r="O150" i="12" s="1"/>
  <c r="L150" i="12"/>
  <c r="V150" i="12"/>
  <c r="S150" i="12"/>
  <c r="W150" i="12" s="1"/>
  <c r="K153" i="12"/>
  <c r="H153" i="12"/>
  <c r="T153" i="12"/>
  <c r="X153" i="12"/>
  <c r="U153" i="12"/>
  <c r="Q153" i="12"/>
  <c r="P153" i="12"/>
  <c r="N153" i="12"/>
  <c r="M153" i="12"/>
  <c r="O153" i="12" s="1"/>
  <c r="L153" i="12"/>
  <c r="V153" i="12"/>
  <c r="S153" i="12"/>
  <c r="W153" i="12" s="1"/>
  <c r="K156" i="12"/>
  <c r="H156" i="12"/>
  <c r="T156" i="12"/>
  <c r="X156" i="12"/>
  <c r="U156" i="12"/>
  <c r="Q156" i="12"/>
  <c r="P156" i="12"/>
  <c r="N156" i="12"/>
  <c r="M156" i="12"/>
  <c r="O156" i="12" s="1"/>
  <c r="L156" i="12"/>
  <c r="V156" i="12"/>
  <c r="S156" i="12"/>
  <c r="W156" i="12" s="1"/>
  <c r="K17" i="12"/>
  <c r="H17" i="12"/>
  <c r="T17" i="12"/>
  <c r="X17" i="12"/>
  <c r="U17" i="12"/>
  <c r="Q17" i="12"/>
  <c r="P17" i="12"/>
  <c r="N17" i="12"/>
  <c r="M17" i="12"/>
  <c r="O17" i="12" s="1"/>
  <c r="L17" i="12"/>
  <c r="V17" i="12"/>
  <c r="S17" i="12"/>
  <c r="W17" i="12" s="1"/>
  <c r="K28" i="12"/>
  <c r="H28" i="12"/>
  <c r="T28" i="12"/>
  <c r="X28" i="12"/>
  <c r="U28" i="12"/>
  <c r="Q28" i="12"/>
  <c r="P28" i="12"/>
  <c r="N28" i="12"/>
  <c r="M28" i="12"/>
  <c r="O28" i="12" s="1"/>
  <c r="L28" i="12"/>
  <c r="V28" i="12"/>
  <c r="S28" i="12"/>
  <c r="W28" i="12" s="1"/>
  <c r="K39" i="12"/>
  <c r="H39" i="12"/>
  <c r="T39" i="12"/>
  <c r="X39" i="12"/>
  <c r="U39" i="12"/>
  <c r="Q39" i="12"/>
  <c r="P39" i="12"/>
  <c r="N39" i="12"/>
  <c r="M39" i="12"/>
  <c r="O39" i="12" s="1"/>
  <c r="L39" i="12"/>
  <c r="V39" i="12"/>
  <c r="S39" i="12"/>
  <c r="W39" i="12" s="1"/>
  <c r="K158" i="12"/>
  <c r="H158" i="12"/>
  <c r="T158" i="12"/>
  <c r="X158" i="12"/>
  <c r="U158" i="12"/>
  <c r="Q158" i="12"/>
  <c r="P158" i="12"/>
  <c r="N158" i="12"/>
  <c r="M158" i="12"/>
  <c r="O158" i="12" s="1"/>
  <c r="L158" i="12"/>
  <c r="V158" i="12"/>
  <c r="S158" i="12"/>
  <c r="W158" i="12" s="1"/>
  <c r="K160" i="12"/>
  <c r="H160" i="12"/>
  <c r="T160" i="12"/>
  <c r="X160" i="12"/>
  <c r="U160" i="12"/>
  <c r="Q160" i="12"/>
  <c r="P160" i="12"/>
  <c r="N160" i="12"/>
  <c r="M160" i="12"/>
  <c r="O160" i="12" s="1"/>
  <c r="L160" i="12"/>
  <c r="V160" i="12"/>
  <c r="S160" i="12"/>
  <c r="W160" i="12" s="1"/>
  <c r="K162" i="12"/>
  <c r="H162" i="12"/>
  <c r="T162" i="12"/>
  <c r="X162" i="12"/>
  <c r="U162" i="12"/>
  <c r="Q162" i="12"/>
  <c r="P162" i="12"/>
  <c r="N162" i="12"/>
  <c r="M162" i="12"/>
  <c r="O162" i="12" s="1"/>
  <c r="L162" i="12"/>
  <c r="V162" i="12"/>
  <c r="S162" i="12"/>
  <c r="W162" i="12" s="1"/>
  <c r="K165" i="12"/>
  <c r="H165" i="12"/>
  <c r="T165" i="12"/>
  <c r="X165" i="12"/>
  <c r="U165" i="12"/>
  <c r="Q165" i="12"/>
  <c r="P165" i="12"/>
  <c r="N165" i="12"/>
  <c r="M165" i="12"/>
  <c r="O165" i="12" s="1"/>
  <c r="L165" i="12"/>
  <c r="V165" i="12"/>
  <c r="S165" i="12"/>
  <c r="W165" i="12" s="1"/>
  <c r="K46" i="12"/>
  <c r="H46" i="12"/>
  <c r="T46" i="12"/>
  <c r="X46" i="12"/>
  <c r="U46" i="12"/>
  <c r="Q46" i="12"/>
  <c r="P46" i="12"/>
  <c r="N46" i="12"/>
  <c r="M46" i="12"/>
  <c r="O46" i="12" s="1"/>
  <c r="L46" i="12"/>
  <c r="V46" i="12"/>
  <c r="S46" i="12"/>
  <c r="W46" i="12" s="1"/>
  <c r="K58" i="12"/>
  <c r="H58" i="12"/>
  <c r="T58" i="12"/>
  <c r="X58" i="12"/>
  <c r="U58" i="12"/>
  <c r="Q58" i="12"/>
  <c r="P58" i="12"/>
  <c r="N58" i="12"/>
  <c r="M58" i="12"/>
  <c r="O58" i="12" s="1"/>
  <c r="L58" i="12"/>
  <c r="V58" i="12"/>
  <c r="S58" i="12"/>
  <c r="W58" i="12" s="1"/>
  <c r="K71" i="12"/>
  <c r="H71" i="12"/>
  <c r="T71" i="12"/>
  <c r="X71" i="12"/>
  <c r="U71" i="12"/>
  <c r="Q71" i="12"/>
  <c r="P71" i="12"/>
  <c r="N71" i="12"/>
  <c r="M71" i="12"/>
  <c r="O71" i="12" s="1"/>
  <c r="L71" i="12"/>
  <c r="V71" i="12"/>
  <c r="S71" i="12"/>
  <c r="W71" i="12" s="1"/>
  <c r="K168" i="12"/>
  <c r="H168" i="12"/>
  <c r="T168" i="12"/>
  <c r="X168" i="12"/>
  <c r="U168" i="12"/>
  <c r="Q168" i="12"/>
  <c r="P168" i="12"/>
  <c r="N168" i="12"/>
  <c r="M168" i="12"/>
  <c r="O168" i="12" s="1"/>
  <c r="L168" i="12"/>
  <c r="V168" i="12"/>
  <c r="S168" i="12"/>
  <c r="W168" i="12" s="1"/>
  <c r="K170" i="12"/>
  <c r="H170" i="12"/>
  <c r="T170" i="12"/>
  <c r="X170" i="12"/>
  <c r="U170" i="12"/>
  <c r="Q170" i="12"/>
  <c r="P170" i="12"/>
  <c r="N170" i="12"/>
  <c r="M170" i="12"/>
  <c r="O170" i="12" s="1"/>
  <c r="L170" i="12"/>
  <c r="V170" i="12"/>
  <c r="S170" i="12"/>
  <c r="W170" i="12" s="1"/>
  <c r="K175" i="12"/>
  <c r="H175" i="12"/>
  <c r="T175" i="12"/>
  <c r="X175" i="12"/>
  <c r="U175" i="12"/>
  <c r="Q175" i="12"/>
  <c r="P175" i="12"/>
  <c r="N175" i="12"/>
  <c r="M175" i="12"/>
  <c r="O175" i="12" s="1"/>
  <c r="L175" i="12"/>
  <c r="V175" i="12"/>
  <c r="S175" i="12"/>
  <c r="W175" i="12" s="1"/>
  <c r="K181" i="12"/>
  <c r="H181" i="12"/>
  <c r="T181" i="12"/>
  <c r="X181" i="12"/>
  <c r="U181" i="12"/>
  <c r="Q181" i="12"/>
  <c r="P181" i="12"/>
  <c r="N181" i="12"/>
  <c r="M181" i="12"/>
  <c r="O181" i="12" s="1"/>
  <c r="L181" i="12"/>
  <c r="V181" i="12"/>
  <c r="S181" i="12"/>
  <c r="W181" i="12" s="1"/>
  <c r="K80" i="12"/>
  <c r="H80" i="12"/>
  <c r="T80" i="12"/>
  <c r="X80" i="12"/>
  <c r="U80" i="12"/>
  <c r="Q80" i="12"/>
  <c r="P80" i="12"/>
  <c r="N80" i="12"/>
  <c r="M80" i="12"/>
  <c r="O80" i="12" s="1"/>
  <c r="L80" i="12"/>
  <c r="V80" i="12"/>
  <c r="S80" i="12"/>
  <c r="W80" i="12" s="1"/>
  <c r="K88" i="12"/>
  <c r="H88" i="12"/>
  <c r="T88" i="12"/>
  <c r="X88" i="12"/>
  <c r="U88" i="12"/>
  <c r="Q88" i="12"/>
  <c r="P88" i="12"/>
  <c r="N88" i="12"/>
  <c r="M88" i="12"/>
  <c r="O88" i="12" s="1"/>
  <c r="L88" i="12"/>
  <c r="V88" i="12"/>
  <c r="S88" i="12"/>
  <c r="W88" i="12" s="1"/>
  <c r="K98" i="12"/>
  <c r="H98" i="12"/>
  <c r="T98" i="12"/>
  <c r="X98" i="12"/>
  <c r="U98" i="12"/>
  <c r="Q98" i="12"/>
  <c r="P98" i="12"/>
  <c r="N98" i="12"/>
  <c r="M98" i="12"/>
  <c r="O98" i="12" s="1"/>
  <c r="L98" i="12"/>
  <c r="V98" i="12"/>
  <c r="S98" i="12"/>
  <c r="W98" i="12" s="1"/>
  <c r="K198" i="12"/>
  <c r="H198" i="12"/>
  <c r="T198" i="12"/>
  <c r="X198" i="12"/>
  <c r="U198" i="12"/>
  <c r="Q198" i="12"/>
  <c r="P198" i="12"/>
  <c r="N198" i="12"/>
  <c r="M198" i="12"/>
  <c r="O198" i="12" s="1"/>
  <c r="L198" i="12"/>
  <c r="V198" i="12"/>
  <c r="S198" i="12"/>
  <c r="W198" i="12" s="1"/>
  <c r="K201" i="12"/>
  <c r="H201" i="12"/>
  <c r="T201" i="12"/>
  <c r="X201" i="12"/>
  <c r="U201" i="12"/>
  <c r="Q201" i="12"/>
  <c r="P201" i="12"/>
  <c r="N201" i="12"/>
  <c r="M201" i="12"/>
  <c r="O201" i="12" s="1"/>
  <c r="L201" i="12"/>
  <c r="V201" i="12"/>
  <c r="S201" i="12"/>
  <c r="W201" i="12" s="1"/>
  <c r="K208" i="12"/>
  <c r="H208" i="12"/>
  <c r="T208" i="12"/>
  <c r="X208" i="12"/>
  <c r="U208" i="12"/>
  <c r="Q208" i="12"/>
  <c r="P208" i="12"/>
  <c r="N208" i="12"/>
  <c r="M208" i="12"/>
  <c r="O208" i="12" s="1"/>
  <c r="L208" i="12"/>
  <c r="V208" i="12"/>
  <c r="S208" i="12"/>
  <c r="W208" i="12" s="1"/>
  <c r="K215" i="12"/>
  <c r="H215" i="12"/>
  <c r="T215" i="12"/>
  <c r="X215" i="12"/>
  <c r="U215" i="12"/>
  <c r="Q215" i="12"/>
  <c r="P215" i="12"/>
  <c r="N215" i="12"/>
  <c r="M215" i="12"/>
  <c r="O215" i="12" s="1"/>
  <c r="L215" i="12"/>
  <c r="V215" i="12"/>
  <c r="S215" i="12"/>
  <c r="W215" i="12" s="1"/>
  <c r="K112" i="12"/>
  <c r="H112" i="12"/>
  <c r="T112" i="12"/>
  <c r="X112" i="12"/>
  <c r="U112" i="12"/>
  <c r="Q112" i="12"/>
  <c r="P112" i="12"/>
  <c r="N112" i="12"/>
  <c r="M112" i="12"/>
  <c r="O112" i="12" s="1"/>
  <c r="L112" i="12"/>
  <c r="V112" i="12"/>
  <c r="S112" i="12"/>
  <c r="W112" i="12" s="1"/>
  <c r="K119" i="12"/>
  <c r="H119" i="12"/>
  <c r="T119" i="12"/>
  <c r="X119" i="12"/>
  <c r="U119" i="12"/>
  <c r="Q119" i="12"/>
  <c r="P119" i="12"/>
  <c r="N119" i="12"/>
  <c r="M119" i="12"/>
  <c r="O119" i="12" s="1"/>
  <c r="L119" i="12"/>
  <c r="V119" i="12"/>
  <c r="S119" i="12"/>
  <c r="W119" i="12" s="1"/>
  <c r="K125" i="12"/>
  <c r="H125" i="12"/>
  <c r="T125" i="12"/>
  <c r="X125" i="12"/>
  <c r="U125" i="12"/>
  <c r="Q125" i="12"/>
  <c r="P125" i="12"/>
  <c r="N125" i="12"/>
  <c r="M125" i="12"/>
  <c r="O125" i="12" s="1"/>
  <c r="L125" i="12"/>
  <c r="V125" i="12"/>
  <c r="S125" i="12"/>
  <c r="W125" i="12" s="1"/>
  <c r="K143" i="12"/>
  <c r="H143" i="12"/>
  <c r="T143" i="12"/>
  <c r="X143" i="12"/>
  <c r="U143" i="12"/>
  <c r="Q143" i="12"/>
  <c r="P143" i="12"/>
  <c r="N143" i="12"/>
  <c r="M143" i="12"/>
  <c r="O143" i="12" s="1"/>
  <c r="L143" i="12"/>
  <c r="V143" i="12"/>
  <c r="S143" i="12"/>
  <c r="W143" i="12" s="1"/>
  <c r="K145" i="12"/>
  <c r="H145" i="12"/>
  <c r="T145" i="12"/>
  <c r="X145" i="12"/>
  <c r="U145" i="12"/>
  <c r="Q145" i="12"/>
  <c r="P145" i="12"/>
  <c r="N145" i="12"/>
  <c r="M145" i="12"/>
  <c r="O145" i="12" s="1"/>
  <c r="L145" i="12"/>
  <c r="V145" i="12"/>
  <c r="S145" i="12"/>
  <c r="W145" i="12" s="1"/>
  <c r="K149" i="12"/>
  <c r="H149" i="12"/>
  <c r="T149" i="12"/>
  <c r="X149" i="12"/>
  <c r="U149" i="12"/>
  <c r="Q149" i="12"/>
  <c r="P149" i="12"/>
  <c r="N149" i="12"/>
  <c r="M149" i="12"/>
  <c r="O149" i="12" s="1"/>
  <c r="L149" i="12"/>
  <c r="V149" i="12"/>
  <c r="S149" i="12"/>
  <c r="W149" i="12" s="1"/>
  <c r="K8" i="12"/>
  <c r="H8" i="12"/>
  <c r="T8" i="12"/>
  <c r="X8" i="12"/>
  <c r="U8" i="12"/>
  <c r="Q8" i="12"/>
  <c r="P8" i="12"/>
  <c r="N8" i="12"/>
  <c r="M8" i="12"/>
  <c r="O8" i="12" s="1"/>
  <c r="L8" i="12"/>
  <c r="V8" i="12"/>
  <c r="S8" i="12"/>
  <c r="W8" i="12" s="1"/>
  <c r="K12" i="12"/>
  <c r="H12" i="12"/>
  <c r="T12" i="12"/>
  <c r="X12" i="12"/>
  <c r="U12" i="12"/>
  <c r="Q12" i="12"/>
  <c r="P12" i="12"/>
  <c r="N12" i="12"/>
  <c r="M12" i="12"/>
  <c r="O12" i="12" s="1"/>
  <c r="L12" i="12"/>
  <c r="V12" i="12"/>
  <c r="S12" i="12"/>
  <c r="W12" i="12" s="1"/>
  <c r="K16" i="12"/>
  <c r="H16" i="12"/>
  <c r="T16" i="12"/>
  <c r="X16" i="12"/>
  <c r="U16" i="12"/>
  <c r="Q16" i="12"/>
  <c r="P16" i="12"/>
  <c r="N16" i="12"/>
  <c r="M16" i="12"/>
  <c r="O16" i="12" s="1"/>
  <c r="L16" i="12"/>
  <c r="V16" i="12"/>
  <c r="S16" i="12"/>
  <c r="W16" i="12" s="1"/>
  <c r="K29" i="12"/>
  <c r="H29" i="12"/>
  <c r="T29" i="12"/>
  <c r="X29" i="12"/>
  <c r="U29" i="12"/>
  <c r="Q29" i="12"/>
  <c r="P29" i="12"/>
  <c r="N29" i="12"/>
  <c r="M29" i="12"/>
  <c r="O29" i="12" s="1"/>
  <c r="L29" i="12"/>
  <c r="V29" i="12"/>
  <c r="S29" i="12"/>
  <c r="W29" i="12" s="1"/>
  <c r="K152" i="12"/>
  <c r="H152" i="12"/>
  <c r="T152" i="12"/>
  <c r="X152" i="12"/>
  <c r="U152" i="12"/>
  <c r="Q152" i="12"/>
  <c r="P152" i="12"/>
  <c r="N152" i="12"/>
  <c r="M152" i="12"/>
  <c r="O152" i="12" s="1"/>
  <c r="L152" i="12"/>
  <c r="V152" i="12"/>
  <c r="S152" i="12"/>
  <c r="W152" i="12" s="1"/>
  <c r="K154" i="12"/>
  <c r="H154" i="12"/>
  <c r="T154" i="12"/>
  <c r="X154" i="12"/>
  <c r="U154" i="12"/>
  <c r="Q154" i="12"/>
  <c r="P154" i="12"/>
  <c r="N154" i="12"/>
  <c r="M154" i="12"/>
  <c r="O154" i="12" s="1"/>
  <c r="L154" i="12"/>
  <c r="V154" i="12"/>
  <c r="S154" i="12"/>
  <c r="W154" i="12" s="1"/>
  <c r="K157" i="12"/>
  <c r="H157" i="12"/>
  <c r="T157" i="12"/>
  <c r="X157" i="12"/>
  <c r="U157" i="12"/>
  <c r="Q157" i="12"/>
  <c r="P157" i="12"/>
  <c r="N157" i="12"/>
  <c r="M157" i="12"/>
  <c r="O157" i="12" s="1"/>
  <c r="L157" i="12"/>
  <c r="V157" i="12"/>
  <c r="S157" i="12"/>
  <c r="W157" i="12" s="1"/>
  <c r="K22" i="12"/>
  <c r="H22" i="12"/>
  <c r="T22" i="12"/>
  <c r="X22" i="12"/>
  <c r="U22" i="12"/>
  <c r="Q22" i="12"/>
  <c r="P22" i="12"/>
  <c r="N22" i="12"/>
  <c r="M22" i="12"/>
  <c r="O22" i="12" s="1"/>
  <c r="L22" i="12"/>
  <c r="V22" i="12"/>
  <c r="S22" i="12"/>
  <c r="W22" i="12" s="1"/>
  <c r="K30" i="12"/>
  <c r="H30" i="12"/>
  <c r="T30" i="12"/>
  <c r="X30" i="12"/>
  <c r="U30" i="12"/>
  <c r="Q30" i="12"/>
  <c r="P30" i="12"/>
  <c r="N30" i="12"/>
  <c r="M30" i="12"/>
  <c r="O30" i="12" s="1"/>
  <c r="L30" i="12"/>
  <c r="V30" i="12"/>
  <c r="S30" i="12"/>
  <c r="W30" i="12" s="1"/>
  <c r="K38" i="12"/>
  <c r="H38" i="12"/>
  <c r="T38" i="12"/>
  <c r="X38" i="12"/>
  <c r="U38" i="12"/>
  <c r="Q38" i="12"/>
  <c r="P38" i="12"/>
  <c r="N38" i="12"/>
  <c r="M38" i="12"/>
  <c r="O38" i="12" s="1"/>
  <c r="L38" i="12"/>
  <c r="V38" i="12"/>
  <c r="S38" i="12"/>
  <c r="W38" i="12" s="1"/>
  <c r="K54" i="12"/>
  <c r="H54" i="12"/>
  <c r="T54" i="12"/>
  <c r="X54" i="12"/>
  <c r="U54" i="12"/>
  <c r="Q54" i="12"/>
  <c r="P54" i="12"/>
  <c r="N54" i="12"/>
  <c r="M54" i="12"/>
  <c r="O54" i="12" s="1"/>
  <c r="L54" i="12"/>
  <c r="V54" i="12"/>
  <c r="S54" i="12"/>
  <c r="W54" i="12" s="1"/>
  <c r="K161" i="12"/>
  <c r="H161" i="12"/>
  <c r="T161" i="12"/>
  <c r="X161" i="12"/>
  <c r="U161" i="12"/>
  <c r="Q161" i="12"/>
  <c r="P161" i="12"/>
  <c r="N161" i="12"/>
  <c r="M161" i="12"/>
  <c r="O161" i="12" s="1"/>
  <c r="L161" i="12"/>
  <c r="V161" i="12"/>
  <c r="S161" i="12"/>
  <c r="W161" i="12" s="1"/>
  <c r="K163" i="12"/>
  <c r="H163" i="12"/>
  <c r="T163" i="12"/>
  <c r="X163" i="12"/>
  <c r="U163" i="12"/>
  <c r="Q163" i="12"/>
  <c r="P163" i="12"/>
  <c r="N163" i="12"/>
  <c r="M163" i="12"/>
  <c r="O163" i="12" s="1"/>
  <c r="L163" i="12"/>
  <c r="V163" i="12"/>
  <c r="S163" i="12"/>
  <c r="W163" i="12" s="1"/>
  <c r="K166" i="12"/>
  <c r="H166" i="12"/>
  <c r="T166" i="12"/>
  <c r="X166" i="12"/>
  <c r="U166" i="12"/>
  <c r="Q166" i="12"/>
  <c r="P166" i="12"/>
  <c r="N166" i="12"/>
  <c r="M166" i="12"/>
  <c r="O166" i="12" s="1"/>
  <c r="L166" i="12"/>
  <c r="V166" i="12"/>
  <c r="S166" i="12"/>
  <c r="W166" i="12" s="1"/>
  <c r="K50" i="12"/>
  <c r="H50" i="12"/>
  <c r="T50" i="12"/>
  <c r="X50" i="12"/>
  <c r="U50" i="12"/>
  <c r="Q50" i="12"/>
  <c r="P50" i="12"/>
  <c r="N50" i="12"/>
  <c r="M50" i="12"/>
  <c r="O50" i="12" s="1"/>
  <c r="L50" i="12"/>
  <c r="V50" i="12"/>
  <c r="S50" i="12"/>
  <c r="W50" i="12" s="1"/>
  <c r="K59" i="12"/>
  <c r="H59" i="12"/>
  <c r="T59" i="12"/>
  <c r="X59" i="12"/>
  <c r="U59" i="12"/>
  <c r="Q59" i="12"/>
  <c r="P59" i="12"/>
  <c r="N59" i="12"/>
  <c r="M59" i="12"/>
  <c r="O59" i="12" s="1"/>
  <c r="L59" i="12"/>
  <c r="V59" i="12"/>
  <c r="S59" i="12"/>
  <c r="W59" i="12" s="1"/>
  <c r="K68" i="12"/>
  <c r="H68" i="12"/>
  <c r="T68" i="12"/>
  <c r="X68" i="12"/>
  <c r="U68" i="12"/>
  <c r="Q68" i="12"/>
  <c r="P68" i="12"/>
  <c r="N68" i="12"/>
  <c r="M68" i="12"/>
  <c r="O68" i="12" s="1"/>
  <c r="L68" i="12"/>
  <c r="V68" i="12"/>
  <c r="S68" i="12"/>
  <c r="W68" i="12" s="1"/>
  <c r="K77" i="12"/>
  <c r="H77" i="12"/>
  <c r="T77" i="12"/>
  <c r="X77" i="12"/>
  <c r="U77" i="12"/>
  <c r="Q77" i="12"/>
  <c r="P77" i="12"/>
  <c r="N77" i="12"/>
  <c r="M77" i="12"/>
  <c r="O77" i="12" s="1"/>
  <c r="L77" i="12"/>
  <c r="V77" i="12"/>
  <c r="S77" i="12"/>
  <c r="W77" i="12" s="1"/>
  <c r="K173" i="12"/>
  <c r="H173" i="12"/>
  <c r="T173" i="12"/>
  <c r="X173" i="12"/>
  <c r="U173" i="12"/>
  <c r="Q173" i="12"/>
  <c r="P173" i="12"/>
  <c r="N173" i="12"/>
  <c r="M173" i="12"/>
  <c r="O173" i="12" s="1"/>
  <c r="L173" i="12"/>
  <c r="V173" i="12"/>
  <c r="S173" i="12"/>
  <c r="W173" i="12" s="1"/>
  <c r="K178" i="12"/>
  <c r="H178" i="12"/>
  <c r="T178" i="12"/>
  <c r="X178" i="12"/>
  <c r="U178" i="12"/>
  <c r="Q178" i="12"/>
  <c r="P178" i="12"/>
  <c r="N178" i="12"/>
  <c r="M178" i="12"/>
  <c r="O178" i="12" s="1"/>
  <c r="L178" i="12"/>
  <c r="V178" i="12"/>
  <c r="S178" i="12"/>
  <c r="W178" i="12" s="1"/>
  <c r="K183" i="12"/>
  <c r="H183" i="12"/>
  <c r="T183" i="12"/>
  <c r="X183" i="12"/>
  <c r="U183" i="12"/>
  <c r="Q183" i="12"/>
  <c r="P183" i="12"/>
  <c r="N183" i="12"/>
  <c r="M183" i="12"/>
  <c r="O183" i="12" s="1"/>
  <c r="L183" i="12"/>
  <c r="V183" i="12"/>
  <c r="S183" i="12"/>
  <c r="W183" i="12" s="1"/>
  <c r="K82" i="12"/>
  <c r="H82" i="12"/>
  <c r="T82" i="12"/>
  <c r="X82" i="12"/>
  <c r="U82" i="12"/>
  <c r="Q82" i="12"/>
  <c r="P82" i="12"/>
  <c r="N82" i="12"/>
  <c r="M82" i="12"/>
  <c r="O82" i="12" s="1"/>
  <c r="L82" i="12"/>
  <c r="V82" i="12"/>
  <c r="S82" i="12"/>
  <c r="W82" i="12" s="1"/>
  <c r="K89" i="12"/>
  <c r="H89" i="12"/>
  <c r="T89" i="12"/>
  <c r="X89" i="12"/>
  <c r="U89" i="12"/>
  <c r="Q89" i="12"/>
  <c r="P89" i="12"/>
  <c r="N89" i="12"/>
  <c r="M89" i="12"/>
  <c r="O89" i="12" s="1"/>
  <c r="L89" i="12"/>
  <c r="V89" i="12"/>
  <c r="S89" i="12"/>
  <c r="W89" i="12" s="1"/>
  <c r="K97" i="12"/>
  <c r="H97" i="12"/>
  <c r="T97" i="12"/>
  <c r="X97" i="12"/>
  <c r="U97" i="12"/>
  <c r="Q97" i="12"/>
  <c r="P97" i="12"/>
  <c r="N97" i="12"/>
  <c r="M97" i="12"/>
  <c r="O97" i="12" s="1"/>
  <c r="L97" i="12"/>
  <c r="V97" i="12"/>
  <c r="S97" i="12"/>
  <c r="W97" i="12" s="1"/>
  <c r="K104" i="12"/>
  <c r="H104" i="12"/>
  <c r="T104" i="12"/>
  <c r="X104" i="12"/>
  <c r="U104" i="12"/>
  <c r="Q104" i="12"/>
  <c r="P104" i="12"/>
  <c r="N104" i="12"/>
  <c r="M104" i="12"/>
  <c r="O104" i="12" s="1"/>
  <c r="L104" i="12"/>
  <c r="V104" i="12"/>
  <c r="S104" i="12"/>
  <c r="W104" i="12" s="1"/>
  <c r="K205" i="12"/>
  <c r="H205" i="12"/>
  <c r="T205" i="12"/>
  <c r="X205" i="12"/>
  <c r="U205" i="12"/>
  <c r="Q205" i="12"/>
  <c r="P205" i="12"/>
  <c r="N205" i="12"/>
  <c r="M205" i="12"/>
  <c r="O205" i="12" s="1"/>
  <c r="L205" i="12"/>
  <c r="V205" i="12"/>
  <c r="S205" i="12"/>
  <c r="W205" i="12" s="1"/>
  <c r="K211" i="12"/>
  <c r="H211" i="12"/>
  <c r="T211" i="12"/>
  <c r="X211" i="12"/>
  <c r="U211" i="12"/>
  <c r="Q211" i="12"/>
  <c r="P211" i="12"/>
  <c r="N211" i="12"/>
  <c r="M211" i="12"/>
  <c r="O211" i="12" s="1"/>
  <c r="L211" i="12"/>
  <c r="V211" i="12"/>
  <c r="S211" i="12"/>
  <c r="W211" i="12" s="1"/>
  <c r="K217" i="12"/>
  <c r="H217" i="12"/>
  <c r="T217" i="12"/>
  <c r="X217" i="12"/>
  <c r="U217" i="12"/>
  <c r="Q217" i="12"/>
  <c r="P217" i="12"/>
  <c r="N217" i="12"/>
  <c r="M217" i="12"/>
  <c r="O217" i="12" s="1"/>
  <c r="L217" i="12"/>
  <c r="V217" i="12"/>
  <c r="S217" i="12"/>
  <c r="W217" i="12" s="1"/>
  <c r="K116" i="12"/>
  <c r="H116" i="12"/>
  <c r="T116" i="12"/>
  <c r="X116" i="12"/>
  <c r="U116" i="12"/>
  <c r="Q116" i="12"/>
  <c r="P116" i="12"/>
  <c r="N116" i="12"/>
  <c r="M116" i="12"/>
  <c r="O116" i="12" s="1"/>
  <c r="L116" i="12"/>
  <c r="V116" i="12"/>
  <c r="S116" i="12"/>
  <c r="W116" i="12" s="1"/>
  <c r="K120" i="12"/>
  <c r="H120" i="12"/>
  <c r="T120" i="12"/>
  <c r="X120" i="12"/>
  <c r="U120" i="12"/>
  <c r="Q120" i="12"/>
  <c r="P120" i="12"/>
  <c r="N120" i="12"/>
  <c r="M120" i="12"/>
  <c r="O120" i="12" s="1"/>
  <c r="L120" i="12"/>
  <c r="V120" i="12"/>
  <c r="S120" i="12"/>
  <c r="W120" i="12" s="1"/>
  <c r="K124" i="12"/>
  <c r="H124" i="12"/>
  <c r="T124" i="12"/>
  <c r="X124" i="12"/>
  <c r="U124" i="12"/>
  <c r="Q124" i="12"/>
  <c r="P124" i="12"/>
  <c r="N124" i="12"/>
  <c r="M124" i="12"/>
  <c r="O124" i="12" s="1"/>
  <c r="L124" i="12"/>
  <c r="V124" i="12"/>
  <c r="S124" i="12"/>
  <c r="W124" i="12" s="1"/>
  <c r="K131" i="12"/>
  <c r="H131" i="12"/>
  <c r="T131" i="12"/>
  <c r="X131" i="12"/>
  <c r="U131" i="12"/>
  <c r="Q131" i="12"/>
  <c r="P131" i="12"/>
  <c r="N131" i="12"/>
  <c r="M131" i="12"/>
  <c r="O131" i="12" s="1"/>
  <c r="L131" i="12"/>
  <c r="V131" i="12"/>
  <c r="S131" i="12"/>
  <c r="W131" i="12" s="1"/>
  <c r="K147" i="12"/>
  <c r="H147" i="12"/>
  <c r="T147" i="12"/>
  <c r="X147" i="12"/>
  <c r="U147" i="12"/>
  <c r="Q147" i="12"/>
  <c r="P147" i="12"/>
  <c r="N147" i="12"/>
  <c r="M147" i="12"/>
  <c r="O147" i="12" s="1"/>
  <c r="L147" i="12"/>
  <c r="V147" i="12"/>
  <c r="S147" i="12"/>
  <c r="W147" i="12" s="1"/>
  <c r="K151" i="12"/>
  <c r="H151" i="12"/>
  <c r="T151" i="12"/>
  <c r="X151" i="12"/>
  <c r="U151" i="12"/>
  <c r="Q151" i="12"/>
  <c r="P151" i="12"/>
  <c r="N151" i="12"/>
  <c r="M151" i="12"/>
  <c r="O151" i="12" s="1"/>
  <c r="L151" i="12"/>
  <c r="V151" i="12"/>
  <c r="S151" i="12"/>
  <c r="W151" i="12" s="1"/>
  <c r="K9" i="12"/>
  <c r="H9" i="12"/>
  <c r="T9" i="12"/>
  <c r="X9" i="12"/>
  <c r="U9" i="12"/>
  <c r="Q9" i="12"/>
  <c r="P9" i="12"/>
  <c r="N9" i="12"/>
  <c r="M9" i="12"/>
  <c r="O9" i="12" s="1"/>
  <c r="L9" i="12"/>
  <c r="V9" i="12"/>
  <c r="S9" i="12"/>
  <c r="W9" i="12" s="1"/>
  <c r="K13" i="12"/>
  <c r="H13" i="12"/>
  <c r="T13" i="12"/>
  <c r="X13" i="12"/>
  <c r="U13" i="12"/>
  <c r="Q13" i="12"/>
  <c r="P13" i="12"/>
  <c r="N13" i="12"/>
  <c r="M13" i="12"/>
  <c r="O13" i="12" s="1"/>
  <c r="L13" i="12"/>
  <c r="V13" i="12"/>
  <c r="S13" i="12"/>
  <c r="W13" i="12" s="1"/>
  <c r="K20" i="12"/>
  <c r="H20" i="12"/>
  <c r="T20" i="12"/>
  <c r="X20" i="12"/>
  <c r="U20" i="12"/>
  <c r="Q20" i="12"/>
  <c r="P20" i="12"/>
  <c r="N20" i="12"/>
  <c r="M20" i="12"/>
  <c r="O20" i="12" s="1"/>
  <c r="L20" i="12"/>
  <c r="V20" i="12"/>
  <c r="S20" i="12"/>
  <c r="W20" i="12" s="1"/>
  <c r="K31" i="12"/>
  <c r="H31" i="12"/>
  <c r="T31" i="12"/>
  <c r="X31" i="12"/>
  <c r="U31" i="12"/>
  <c r="Q31" i="12"/>
  <c r="P31" i="12"/>
  <c r="N31" i="12"/>
  <c r="M31" i="12"/>
  <c r="O31" i="12" s="1"/>
  <c r="L31" i="12"/>
  <c r="V31" i="12"/>
  <c r="S31" i="12"/>
  <c r="W31" i="12" s="1"/>
  <c r="K40" i="12"/>
  <c r="H40" i="12"/>
  <c r="T40" i="12"/>
  <c r="X40" i="12"/>
  <c r="U40" i="12"/>
  <c r="Q40" i="12"/>
  <c r="P40" i="12"/>
  <c r="N40" i="12"/>
  <c r="M40" i="12"/>
  <c r="O40" i="12" s="1"/>
  <c r="L40" i="12"/>
  <c r="V40" i="12"/>
  <c r="S40" i="12"/>
  <c r="W40" i="12" s="1"/>
  <c r="K155" i="12"/>
  <c r="H155" i="12"/>
  <c r="T155" i="12"/>
  <c r="X155" i="12"/>
  <c r="U155" i="12"/>
  <c r="Q155" i="12"/>
  <c r="P155" i="12"/>
  <c r="N155" i="12"/>
  <c r="M155" i="12"/>
  <c r="O155" i="12" s="1"/>
  <c r="L155" i="12"/>
  <c r="V155" i="12"/>
  <c r="S155" i="12"/>
  <c r="W155" i="12" s="1"/>
  <c r="K159" i="12"/>
  <c r="H159" i="12"/>
  <c r="T159" i="12"/>
  <c r="X159" i="12"/>
  <c r="U159" i="12"/>
  <c r="Q159" i="12"/>
  <c r="P159" i="12"/>
  <c r="N159" i="12"/>
  <c r="M159" i="12"/>
  <c r="O159" i="12" s="1"/>
  <c r="L159" i="12"/>
  <c r="V159" i="12"/>
  <c r="S159" i="12"/>
  <c r="W159" i="12" s="1"/>
  <c r="K24" i="12"/>
  <c r="H24" i="12"/>
  <c r="T24" i="12"/>
  <c r="X24" i="12"/>
  <c r="U24" i="12"/>
  <c r="Q24" i="12"/>
  <c r="P24" i="12"/>
  <c r="N24" i="12"/>
  <c r="M24" i="12"/>
  <c r="O24" i="12" s="1"/>
  <c r="L24" i="12"/>
  <c r="V24" i="12"/>
  <c r="S24" i="12"/>
  <c r="W24" i="12" s="1"/>
  <c r="K32" i="12"/>
  <c r="H32" i="12"/>
  <c r="T32" i="12"/>
  <c r="X32" i="12"/>
  <c r="U32" i="12"/>
  <c r="Q32" i="12"/>
  <c r="P32" i="12"/>
  <c r="N32" i="12"/>
  <c r="M32" i="12"/>
  <c r="O32" i="12" s="1"/>
  <c r="L32" i="12"/>
  <c r="V32" i="12"/>
  <c r="S32" i="12"/>
  <c r="W32" i="12" s="1"/>
  <c r="K41" i="12"/>
  <c r="H41" i="12"/>
  <c r="T41" i="12"/>
  <c r="X41" i="12"/>
  <c r="U41" i="12"/>
  <c r="Q41" i="12"/>
  <c r="P41" i="12"/>
  <c r="N41" i="12"/>
  <c r="M41" i="12"/>
  <c r="O41" i="12" s="1"/>
  <c r="L41" i="12"/>
  <c r="V41" i="12"/>
  <c r="S41" i="12"/>
  <c r="W41" i="12" s="1"/>
  <c r="K55" i="12"/>
  <c r="H55" i="12"/>
  <c r="T55" i="12"/>
  <c r="X55" i="12"/>
  <c r="U55" i="12"/>
  <c r="Q55" i="12"/>
  <c r="P55" i="12"/>
  <c r="N55" i="12"/>
  <c r="M55" i="12"/>
  <c r="O55" i="12" s="1"/>
  <c r="L55" i="12"/>
  <c r="V55" i="12"/>
  <c r="S55" i="12"/>
  <c r="W55" i="12" s="1"/>
  <c r="K65" i="12"/>
  <c r="H65" i="12"/>
  <c r="T65" i="12"/>
  <c r="X65" i="12"/>
  <c r="U65" i="12"/>
  <c r="Q65" i="12"/>
  <c r="P65" i="12"/>
  <c r="N65" i="12"/>
  <c r="M65" i="12"/>
  <c r="O65" i="12" s="1"/>
  <c r="L65" i="12"/>
  <c r="V65" i="12"/>
  <c r="S65" i="12"/>
  <c r="W65" i="12" s="1"/>
  <c r="K164" i="12"/>
  <c r="H164" i="12"/>
  <c r="T164" i="12"/>
  <c r="X164" i="12"/>
  <c r="U164" i="12"/>
  <c r="Q164" i="12"/>
  <c r="P164" i="12"/>
  <c r="N164" i="12"/>
  <c r="M164" i="12"/>
  <c r="O164" i="12" s="1"/>
  <c r="L164" i="12"/>
  <c r="V164" i="12"/>
  <c r="S164" i="12"/>
  <c r="W164" i="12" s="1"/>
  <c r="K167" i="12"/>
  <c r="H167" i="12"/>
  <c r="T167" i="12"/>
  <c r="X167" i="12"/>
  <c r="U167" i="12"/>
  <c r="Q167" i="12"/>
  <c r="P167" i="12"/>
  <c r="N167" i="12"/>
  <c r="M167" i="12"/>
  <c r="O167" i="12" s="1"/>
  <c r="L167" i="12"/>
  <c r="V167" i="12"/>
  <c r="S167" i="12"/>
  <c r="W167" i="12" s="1"/>
  <c r="K53" i="12"/>
  <c r="H53" i="12"/>
  <c r="T53" i="12"/>
  <c r="X53" i="12"/>
  <c r="U53" i="12"/>
  <c r="Q53" i="12"/>
  <c r="P53" i="12"/>
  <c r="N53" i="12"/>
  <c r="M53" i="12"/>
  <c r="O53" i="12" s="1"/>
  <c r="L53" i="12"/>
  <c r="V53" i="12"/>
  <c r="S53" i="12"/>
  <c r="W53" i="12" s="1"/>
  <c r="K61" i="12"/>
  <c r="H61" i="12"/>
  <c r="T61" i="12"/>
  <c r="X61" i="12"/>
  <c r="U61" i="12"/>
  <c r="Q61" i="12"/>
  <c r="P61" i="12"/>
  <c r="N61" i="12"/>
  <c r="M61" i="12"/>
  <c r="O61" i="12" s="1"/>
  <c r="L61" i="12"/>
  <c r="V61" i="12"/>
  <c r="S61" i="12"/>
  <c r="W61" i="12" s="1"/>
  <c r="K72" i="12"/>
  <c r="H72" i="12"/>
  <c r="T72" i="12"/>
  <c r="X72" i="12"/>
  <c r="U72" i="12"/>
  <c r="Q72" i="12"/>
  <c r="P72" i="12"/>
  <c r="N72" i="12"/>
  <c r="M72" i="12"/>
  <c r="O72" i="12" s="1"/>
  <c r="L72" i="12"/>
  <c r="V72" i="12"/>
  <c r="S72" i="12"/>
  <c r="W72" i="12" s="1"/>
  <c r="K78" i="12"/>
  <c r="H78" i="12"/>
  <c r="T78" i="12"/>
  <c r="X78" i="12"/>
  <c r="U78" i="12"/>
  <c r="Q78" i="12"/>
  <c r="P78" i="12"/>
  <c r="N78" i="12"/>
  <c r="M78" i="12"/>
  <c r="O78" i="12" s="1"/>
  <c r="L78" i="12"/>
  <c r="V78" i="12"/>
  <c r="S78" i="12"/>
  <c r="W78" i="12" s="1"/>
  <c r="K87" i="12"/>
  <c r="H87" i="12"/>
  <c r="T87" i="12"/>
  <c r="X87" i="12"/>
  <c r="U87" i="12"/>
  <c r="Q87" i="12"/>
  <c r="P87" i="12"/>
  <c r="N87" i="12"/>
  <c r="M87" i="12"/>
  <c r="O87" i="12" s="1"/>
  <c r="L87" i="12"/>
  <c r="V87" i="12"/>
  <c r="S87" i="12"/>
  <c r="W87" i="12" s="1"/>
  <c r="K179" i="12"/>
  <c r="H179" i="12"/>
  <c r="T179" i="12"/>
  <c r="X179" i="12"/>
  <c r="U179" i="12"/>
  <c r="Q179" i="12"/>
  <c r="P179" i="12"/>
  <c r="N179" i="12"/>
  <c r="M179" i="12"/>
  <c r="O179" i="12" s="1"/>
  <c r="L179" i="12"/>
  <c r="V179" i="12"/>
  <c r="S179" i="12"/>
  <c r="W179" i="12" s="1"/>
  <c r="K186" i="12"/>
  <c r="H186" i="12"/>
  <c r="T186" i="12"/>
  <c r="X186" i="12"/>
  <c r="U186" i="12"/>
  <c r="Q186" i="12"/>
  <c r="P186" i="12"/>
  <c r="N186" i="12"/>
  <c r="M186" i="12"/>
  <c r="O186" i="12" s="1"/>
  <c r="L186" i="12"/>
  <c r="V186" i="12"/>
  <c r="S186" i="12"/>
  <c r="W186" i="12" s="1"/>
  <c r="K83" i="12"/>
  <c r="H83" i="12"/>
  <c r="T83" i="12"/>
  <c r="X83" i="12"/>
  <c r="U83" i="12"/>
  <c r="Q83" i="12"/>
  <c r="P83" i="12"/>
  <c r="N83" i="12"/>
  <c r="M83" i="12"/>
  <c r="O83" i="12" s="1"/>
  <c r="L83" i="12"/>
  <c r="V83" i="12"/>
  <c r="S83" i="12"/>
  <c r="W83" i="12" s="1"/>
  <c r="K92" i="12"/>
  <c r="H92" i="12"/>
  <c r="T92" i="12"/>
  <c r="X92" i="12"/>
  <c r="U92" i="12"/>
  <c r="Q92" i="12"/>
  <c r="P92" i="12"/>
  <c r="N92" i="12"/>
  <c r="M92" i="12"/>
  <c r="O92" i="12" s="1"/>
  <c r="L92" i="12"/>
  <c r="V92" i="12"/>
  <c r="S92" i="12"/>
  <c r="W92" i="12" s="1"/>
  <c r="K99" i="12"/>
  <c r="H99" i="12"/>
  <c r="T99" i="12"/>
  <c r="X99" i="12"/>
  <c r="U99" i="12"/>
  <c r="Q99" i="12"/>
  <c r="P99" i="12"/>
  <c r="N99" i="12"/>
  <c r="M99" i="12"/>
  <c r="O99" i="12" s="1"/>
  <c r="L99" i="12"/>
  <c r="V99" i="12"/>
  <c r="S99" i="12"/>
  <c r="W99" i="12" s="1"/>
  <c r="K105" i="12"/>
  <c r="H105" i="12"/>
  <c r="T105" i="12"/>
  <c r="X105" i="12"/>
  <c r="U105" i="12"/>
  <c r="Q105" i="12"/>
  <c r="P105" i="12"/>
  <c r="N105" i="12"/>
  <c r="M105" i="12"/>
  <c r="O105" i="12" s="1"/>
  <c r="L105" i="12"/>
  <c r="V105" i="12"/>
  <c r="S105" i="12"/>
  <c r="W105" i="12" s="1"/>
  <c r="K109" i="12"/>
  <c r="H109" i="12"/>
  <c r="T109" i="12"/>
  <c r="X109" i="12"/>
  <c r="U109" i="12"/>
  <c r="Q109" i="12"/>
  <c r="P109" i="12"/>
  <c r="N109" i="12"/>
  <c r="M109" i="12"/>
  <c r="O109" i="12" s="1"/>
  <c r="L109" i="12"/>
  <c r="V109" i="12"/>
  <c r="S109" i="12"/>
  <c r="W109" i="12" s="1"/>
  <c r="K213" i="12"/>
  <c r="H213" i="12"/>
  <c r="T213" i="12"/>
  <c r="X213" i="12"/>
  <c r="U213" i="12"/>
  <c r="Q213" i="12"/>
  <c r="P213" i="12"/>
  <c r="N213" i="12"/>
  <c r="M213" i="12"/>
  <c r="O213" i="12" s="1"/>
  <c r="L213" i="12"/>
  <c r="V213" i="12"/>
  <c r="S213" i="12"/>
  <c r="W213" i="12" s="1"/>
  <c r="K219" i="12"/>
  <c r="H219" i="12"/>
  <c r="T219" i="12"/>
  <c r="X219" i="12"/>
  <c r="U219" i="12"/>
  <c r="Q219" i="12"/>
  <c r="P219" i="12"/>
  <c r="N219" i="12"/>
  <c r="M219" i="12"/>
  <c r="O219" i="12" s="1"/>
  <c r="L219" i="12"/>
  <c r="V219" i="12"/>
  <c r="S219" i="12"/>
  <c r="W219" i="12" s="1"/>
  <c r="K117" i="12"/>
  <c r="H117" i="12"/>
  <c r="T117" i="12"/>
  <c r="X117" i="12"/>
  <c r="U117" i="12"/>
  <c r="Q117" i="12"/>
  <c r="P117" i="12"/>
  <c r="N117" i="12"/>
  <c r="M117" i="12"/>
  <c r="O117" i="12" s="1"/>
  <c r="L117" i="12"/>
  <c r="V117" i="12"/>
  <c r="S117" i="12"/>
  <c r="W117" i="12" s="1"/>
  <c r="K121" i="12"/>
  <c r="H121" i="12"/>
  <c r="T121" i="12"/>
  <c r="X121" i="12"/>
  <c r="U121" i="12"/>
  <c r="Q121" i="12"/>
  <c r="P121" i="12"/>
  <c r="N121" i="12"/>
  <c r="M121" i="12"/>
  <c r="O121" i="12" s="1"/>
  <c r="L121" i="12"/>
  <c r="V121" i="12"/>
  <c r="S121" i="12"/>
  <c r="W121" i="12" s="1"/>
  <c r="K126" i="12"/>
  <c r="H126" i="12"/>
  <c r="T126" i="12"/>
  <c r="X126" i="12"/>
  <c r="U126" i="12"/>
  <c r="Q126" i="12"/>
  <c r="P126" i="12"/>
  <c r="N126" i="12"/>
  <c r="M126" i="12"/>
  <c r="O126" i="12" s="1"/>
  <c r="L126" i="12"/>
  <c r="V126" i="12"/>
  <c r="S126" i="12"/>
  <c r="W126" i="12" s="1"/>
  <c r="K132" i="12"/>
  <c r="H132" i="12"/>
  <c r="T132" i="12"/>
  <c r="X132" i="12"/>
  <c r="U132" i="12"/>
  <c r="Q132" i="12"/>
  <c r="P132" i="12"/>
  <c r="N132" i="12"/>
  <c r="M132" i="12"/>
  <c r="O132" i="12" s="1"/>
  <c r="L132" i="12"/>
  <c r="V132" i="12"/>
  <c r="S132" i="12"/>
  <c r="W132" i="12" s="1"/>
  <c r="K136" i="12"/>
  <c r="H136" i="12"/>
  <c r="T136" i="12"/>
  <c r="X136" i="12"/>
  <c r="U136" i="12"/>
  <c r="Q136" i="12"/>
  <c r="P136" i="12"/>
  <c r="N136" i="12"/>
  <c r="M136" i="12"/>
  <c r="O136" i="12" s="1"/>
  <c r="L136" i="12"/>
  <c r="V136" i="12"/>
  <c r="S136" i="12"/>
  <c r="W136" i="12" s="1"/>
  <c r="K7" i="12"/>
  <c r="H7" i="12"/>
  <c r="T7" i="12"/>
  <c r="X7" i="12"/>
  <c r="U7" i="12"/>
  <c r="Q7" i="12"/>
  <c r="P7" i="12"/>
  <c r="N7" i="12"/>
  <c r="M7" i="12"/>
  <c r="O7" i="12" s="1"/>
  <c r="L7" i="12"/>
  <c r="V7" i="12"/>
  <c r="S7" i="12"/>
  <c r="W7" i="12" s="1"/>
  <c r="K10" i="12"/>
  <c r="H10" i="12"/>
  <c r="T10" i="12"/>
  <c r="X10" i="12"/>
  <c r="U10" i="12"/>
  <c r="Q10" i="12"/>
  <c r="P10" i="12"/>
  <c r="N10" i="12"/>
  <c r="M10" i="12"/>
  <c r="O10" i="12" s="1"/>
  <c r="L10" i="12"/>
  <c r="V10" i="12"/>
  <c r="S10" i="12"/>
  <c r="W10" i="12" s="1"/>
  <c r="K15" i="12"/>
  <c r="H15" i="12"/>
  <c r="T15" i="12"/>
  <c r="X15" i="12"/>
  <c r="U15" i="12"/>
  <c r="Q15" i="12"/>
  <c r="P15" i="12"/>
  <c r="N15" i="12"/>
  <c r="M15" i="12"/>
  <c r="O15" i="12" s="1"/>
  <c r="L15" i="12"/>
  <c r="V15" i="12"/>
  <c r="S15" i="12"/>
  <c r="W15" i="12" s="1"/>
  <c r="K23" i="12"/>
  <c r="H23" i="12"/>
  <c r="T23" i="12"/>
  <c r="X23" i="12"/>
  <c r="U23" i="12"/>
  <c r="Q23" i="12"/>
  <c r="P23" i="12"/>
  <c r="N23" i="12"/>
  <c r="M23" i="12"/>
  <c r="O23" i="12" s="1"/>
  <c r="L23" i="12"/>
  <c r="V23" i="12"/>
  <c r="S23" i="12"/>
  <c r="W23" i="12" s="1"/>
  <c r="K33" i="12"/>
  <c r="H33" i="12"/>
  <c r="T33" i="12"/>
  <c r="X33" i="12"/>
  <c r="U33" i="12"/>
  <c r="Q33" i="12"/>
  <c r="P33" i="12"/>
  <c r="N33" i="12"/>
  <c r="M33" i="12"/>
  <c r="O33" i="12" s="1"/>
  <c r="L33" i="12"/>
  <c r="V33" i="12"/>
  <c r="S33" i="12"/>
  <c r="W33" i="12" s="1"/>
  <c r="K43" i="12"/>
  <c r="H43" i="12"/>
  <c r="T43" i="12"/>
  <c r="X43" i="12"/>
  <c r="U43" i="12"/>
  <c r="Q43" i="12"/>
  <c r="P43" i="12"/>
  <c r="N43" i="12"/>
  <c r="M43" i="12"/>
  <c r="O43" i="12" s="1"/>
  <c r="L43" i="12"/>
  <c r="V43" i="12"/>
  <c r="S43" i="12"/>
  <c r="W43" i="12" s="1"/>
  <c r="K171" i="12"/>
  <c r="H171" i="12"/>
  <c r="T171" i="12"/>
  <c r="X171" i="12"/>
  <c r="U171" i="12"/>
  <c r="Q171" i="12"/>
  <c r="P171" i="12"/>
  <c r="N171" i="12"/>
  <c r="M171" i="12"/>
  <c r="O171" i="12" s="1"/>
  <c r="L171" i="12"/>
  <c r="V171" i="12"/>
  <c r="S171" i="12"/>
  <c r="W171" i="12" s="1"/>
  <c r="K18" i="12"/>
  <c r="H18" i="12"/>
  <c r="T18" i="12"/>
  <c r="X18" i="12"/>
  <c r="U18" i="12"/>
  <c r="Q18" i="12"/>
  <c r="P18" i="12"/>
  <c r="N18" i="12"/>
  <c r="M18" i="12"/>
  <c r="O18" i="12" s="1"/>
  <c r="L18" i="12"/>
  <c r="V18" i="12"/>
  <c r="S18" i="12"/>
  <c r="W18" i="12" s="1"/>
  <c r="K25" i="12"/>
  <c r="H25" i="12"/>
  <c r="T25" i="12"/>
  <c r="X25" i="12"/>
  <c r="U25" i="12"/>
  <c r="Q25" i="12"/>
  <c r="P25" i="12"/>
  <c r="N25" i="12"/>
  <c r="M25" i="12"/>
  <c r="O25" i="12" s="1"/>
  <c r="L25" i="12"/>
  <c r="V25" i="12"/>
  <c r="S25" i="12"/>
  <c r="W25" i="12" s="1"/>
  <c r="K35" i="12"/>
  <c r="H35" i="12"/>
  <c r="T35" i="12"/>
  <c r="X35" i="12"/>
  <c r="U35" i="12"/>
  <c r="Q35" i="12"/>
  <c r="P35" i="12"/>
  <c r="N35" i="12"/>
  <c r="M35" i="12"/>
  <c r="O35" i="12" s="1"/>
  <c r="L35" i="12"/>
  <c r="V35" i="12"/>
  <c r="S35" i="12"/>
  <c r="W35" i="12" s="1"/>
  <c r="K45" i="12"/>
  <c r="H45" i="12"/>
  <c r="T45" i="12"/>
  <c r="X45" i="12"/>
  <c r="U45" i="12"/>
  <c r="Q45" i="12"/>
  <c r="P45" i="12"/>
  <c r="N45" i="12"/>
  <c r="M45" i="12"/>
  <c r="O45" i="12" s="1"/>
  <c r="L45" i="12"/>
  <c r="V45" i="12"/>
  <c r="S45" i="12"/>
  <c r="W45" i="12" s="1"/>
  <c r="K56" i="12"/>
  <c r="H56" i="12"/>
  <c r="T56" i="12"/>
  <c r="X56" i="12"/>
  <c r="U56" i="12"/>
  <c r="Q56" i="12"/>
  <c r="P56" i="12"/>
  <c r="N56" i="12"/>
  <c r="M56" i="12"/>
  <c r="O56" i="12" s="1"/>
  <c r="L56" i="12"/>
  <c r="V56" i="12"/>
  <c r="S56" i="12"/>
  <c r="W56" i="12" s="1"/>
  <c r="K66" i="12"/>
  <c r="H66" i="12"/>
  <c r="T66" i="12"/>
  <c r="X66" i="12"/>
  <c r="U66" i="12"/>
  <c r="Q66" i="12"/>
  <c r="P66" i="12"/>
  <c r="N66" i="12"/>
  <c r="M66" i="12"/>
  <c r="O66" i="12" s="1"/>
  <c r="L66" i="12"/>
  <c r="V66" i="12"/>
  <c r="S66" i="12"/>
  <c r="W66" i="12" s="1"/>
  <c r="K187" i="12"/>
  <c r="H187" i="12"/>
  <c r="T187" i="12"/>
  <c r="X187" i="12"/>
  <c r="U187" i="12"/>
  <c r="Q187" i="12"/>
  <c r="P187" i="12"/>
  <c r="N187" i="12"/>
  <c r="M187" i="12"/>
  <c r="O187" i="12" s="1"/>
  <c r="L187" i="12"/>
  <c r="V187" i="12"/>
  <c r="S187" i="12"/>
  <c r="W187" i="12" s="1"/>
  <c r="K47" i="12"/>
  <c r="H47" i="12"/>
  <c r="T47" i="12"/>
  <c r="X47" i="12"/>
  <c r="U47" i="12"/>
  <c r="Q47" i="12"/>
  <c r="P47" i="12"/>
  <c r="N47" i="12"/>
  <c r="M47" i="12"/>
  <c r="O47" i="12" s="1"/>
  <c r="L47" i="12"/>
  <c r="V47" i="12"/>
  <c r="S47" i="12"/>
  <c r="W47" i="12" s="1"/>
  <c r="K57" i="12"/>
  <c r="H57" i="12"/>
  <c r="T57" i="12"/>
  <c r="X57" i="12"/>
  <c r="U57" i="12"/>
  <c r="Q57" i="12"/>
  <c r="P57" i="12"/>
  <c r="N57" i="12"/>
  <c r="M57" i="12"/>
  <c r="O57" i="12" s="1"/>
  <c r="L57" i="12"/>
  <c r="V57" i="12"/>
  <c r="S57" i="12"/>
  <c r="W57" i="12" s="1"/>
  <c r="K64" i="12"/>
  <c r="H64" i="12"/>
  <c r="T64" i="12"/>
  <c r="X64" i="12"/>
  <c r="U64" i="12"/>
  <c r="Q64" i="12"/>
  <c r="P64" i="12"/>
  <c r="N64" i="12"/>
  <c r="M64" i="12"/>
  <c r="O64" i="12" s="1"/>
  <c r="L64" i="12"/>
  <c r="V64" i="12"/>
  <c r="S64" i="12"/>
  <c r="W64" i="12" s="1"/>
  <c r="K74" i="12"/>
  <c r="H74" i="12"/>
  <c r="T74" i="12"/>
  <c r="X74" i="12"/>
  <c r="U74" i="12"/>
  <c r="Q74" i="12"/>
  <c r="P74" i="12"/>
  <c r="N74" i="12"/>
  <c r="M74" i="12"/>
  <c r="O74" i="12" s="1"/>
  <c r="L74" i="12"/>
  <c r="V74" i="12"/>
  <c r="S74" i="12"/>
  <c r="W74" i="12" s="1"/>
  <c r="K79" i="12"/>
  <c r="H79" i="12"/>
  <c r="T79" i="12"/>
  <c r="X79" i="12"/>
  <c r="U79" i="12"/>
  <c r="Q79" i="12"/>
  <c r="P79" i="12"/>
  <c r="N79" i="12"/>
  <c r="M79" i="12"/>
  <c r="O79" i="12" s="1"/>
  <c r="L79" i="12"/>
  <c r="V79" i="12"/>
  <c r="S79" i="12"/>
  <c r="W79" i="12" s="1"/>
  <c r="K90" i="12"/>
  <c r="H90" i="12"/>
  <c r="T90" i="12"/>
  <c r="X90" i="12"/>
  <c r="U90" i="12"/>
  <c r="Q90" i="12"/>
  <c r="P90" i="12"/>
  <c r="N90" i="12"/>
  <c r="M90" i="12"/>
  <c r="O90" i="12" s="1"/>
  <c r="L90" i="12"/>
  <c r="V90" i="12"/>
  <c r="S90" i="12"/>
  <c r="W90" i="12" s="1"/>
  <c r="K202" i="12"/>
  <c r="H202" i="12"/>
  <c r="T202" i="12"/>
  <c r="X202" i="12"/>
  <c r="U202" i="12"/>
  <c r="Q202" i="12"/>
  <c r="P202" i="12"/>
  <c r="N202" i="12"/>
  <c r="M202" i="12"/>
  <c r="O202" i="12" s="1"/>
  <c r="L202" i="12"/>
  <c r="V202" i="12"/>
  <c r="S202" i="12"/>
  <c r="W202" i="12" s="1"/>
  <c r="K81" i="12"/>
  <c r="H81" i="12"/>
  <c r="T81" i="12"/>
  <c r="X81" i="12"/>
  <c r="U81" i="12"/>
  <c r="Q81" i="12"/>
  <c r="P81" i="12"/>
  <c r="N81" i="12"/>
  <c r="M81" i="12"/>
  <c r="O81" i="12" s="1"/>
  <c r="L81" i="12"/>
  <c r="V81" i="12"/>
  <c r="S81" i="12"/>
  <c r="W81" i="12" s="1"/>
  <c r="K86" i="12"/>
  <c r="H86" i="12"/>
  <c r="T86" i="12"/>
  <c r="X86" i="12"/>
  <c r="U86" i="12"/>
  <c r="Q86" i="12"/>
  <c r="P86" i="12"/>
  <c r="N86" i="12"/>
  <c r="M86" i="12"/>
  <c r="O86" i="12" s="1"/>
  <c r="L86" i="12"/>
  <c r="V86" i="12"/>
  <c r="S86" i="12"/>
  <c r="W86" i="12" s="1"/>
  <c r="K96" i="12"/>
  <c r="H96" i="12"/>
  <c r="T96" i="12"/>
  <c r="X96" i="12"/>
  <c r="U96" i="12"/>
  <c r="Q96" i="12"/>
  <c r="P96" i="12"/>
  <c r="N96" i="12"/>
  <c r="M96" i="12"/>
  <c r="O96" i="12" s="1"/>
  <c r="L96" i="12"/>
  <c r="V96" i="12"/>
  <c r="S96" i="12"/>
  <c r="W96" i="12" s="1"/>
  <c r="K101" i="12"/>
  <c r="H101" i="12"/>
  <c r="T101" i="12"/>
  <c r="X101" i="12"/>
  <c r="U101" i="12"/>
  <c r="Q101" i="12"/>
  <c r="P101" i="12"/>
  <c r="N101" i="12"/>
  <c r="M101" i="12"/>
  <c r="O101" i="12" s="1"/>
  <c r="L101" i="12"/>
  <c r="V101" i="12"/>
  <c r="S101" i="12"/>
  <c r="W101" i="12" s="1"/>
  <c r="K106" i="12"/>
  <c r="H106" i="12"/>
  <c r="T106" i="12"/>
  <c r="X106" i="12"/>
  <c r="U106" i="12"/>
  <c r="Q106" i="12"/>
  <c r="P106" i="12"/>
  <c r="N106" i="12"/>
  <c r="M106" i="12"/>
  <c r="O106" i="12" s="1"/>
  <c r="L106" i="12"/>
  <c r="V106" i="12"/>
  <c r="S106" i="12"/>
  <c r="W106" i="12" s="1"/>
  <c r="K110" i="12"/>
  <c r="H110" i="12"/>
  <c r="T110" i="12"/>
  <c r="X110" i="12"/>
  <c r="U110" i="12"/>
  <c r="Q110" i="12"/>
  <c r="P110" i="12"/>
  <c r="N110" i="12"/>
  <c r="M110" i="12"/>
  <c r="O110" i="12" s="1"/>
  <c r="L110" i="12"/>
  <c r="V110" i="12"/>
  <c r="S110" i="12"/>
  <c r="W110" i="12" s="1"/>
  <c r="K224" i="12"/>
  <c r="H224" i="12"/>
  <c r="T224" i="12"/>
  <c r="X224" i="12"/>
  <c r="U224" i="12"/>
  <c r="Q224" i="12"/>
  <c r="P224" i="12"/>
  <c r="N224" i="12"/>
  <c r="M224" i="12"/>
  <c r="O224" i="12" s="1"/>
  <c r="L224" i="12"/>
  <c r="V224" i="12"/>
  <c r="S224" i="12"/>
  <c r="W224" i="12" s="1"/>
  <c r="K113" i="12"/>
  <c r="H113" i="12"/>
  <c r="T113" i="12"/>
  <c r="X113" i="12"/>
  <c r="U113" i="12"/>
  <c r="Q113" i="12"/>
  <c r="P113" i="12"/>
  <c r="N113" i="12"/>
  <c r="M113" i="12"/>
  <c r="O113" i="12" s="1"/>
  <c r="L113" i="12"/>
  <c r="V113" i="12"/>
  <c r="S113" i="12"/>
  <c r="W113" i="12" s="1"/>
  <c r="K118" i="12"/>
  <c r="H118" i="12"/>
  <c r="T118" i="12"/>
  <c r="X118" i="12"/>
  <c r="U118" i="12"/>
  <c r="Q118" i="12"/>
  <c r="P118" i="12"/>
  <c r="N118" i="12"/>
  <c r="M118" i="12"/>
  <c r="O118" i="12" s="1"/>
  <c r="L118" i="12"/>
  <c r="V118" i="12"/>
  <c r="S118" i="12"/>
  <c r="W118" i="12" s="1"/>
  <c r="K123" i="12"/>
  <c r="H123" i="12"/>
  <c r="T123" i="12"/>
  <c r="X123" i="12"/>
  <c r="U123" i="12"/>
  <c r="Q123" i="12"/>
  <c r="P123" i="12"/>
  <c r="N123" i="12"/>
  <c r="M123" i="12"/>
  <c r="O123" i="12" s="1"/>
  <c r="L123" i="12"/>
  <c r="V123" i="12"/>
  <c r="S123" i="12"/>
  <c r="W123" i="12" s="1"/>
  <c r="K128" i="12"/>
  <c r="H128" i="12"/>
  <c r="T128" i="12"/>
  <c r="X128" i="12"/>
  <c r="U128" i="12"/>
  <c r="Q128" i="12"/>
  <c r="P128" i="12"/>
  <c r="N128" i="12"/>
  <c r="M128" i="12"/>
  <c r="O128" i="12" s="1"/>
  <c r="L128" i="12"/>
  <c r="V128" i="12"/>
  <c r="S128" i="12"/>
  <c r="W128" i="12" s="1"/>
  <c r="K133" i="12"/>
  <c r="H133" i="12"/>
  <c r="T133" i="12"/>
  <c r="X133" i="12"/>
  <c r="U133" i="12"/>
  <c r="Q133" i="12"/>
  <c r="P133" i="12"/>
  <c r="N133" i="12"/>
  <c r="M133" i="12"/>
  <c r="O133" i="12" s="1"/>
  <c r="L133" i="12"/>
  <c r="V133" i="12"/>
  <c r="S133" i="12"/>
  <c r="W133" i="12" s="1"/>
  <c r="K137" i="12"/>
  <c r="H137" i="12"/>
  <c r="T137" i="12"/>
  <c r="X137" i="12"/>
  <c r="U137" i="12"/>
  <c r="Q137" i="12"/>
  <c r="P137" i="12"/>
  <c r="N137" i="12"/>
  <c r="M137" i="12"/>
  <c r="O137" i="12" s="1"/>
  <c r="L137" i="12"/>
  <c r="V137" i="12"/>
  <c r="S137" i="12"/>
  <c r="W137" i="12" s="1"/>
  <c r="K238" i="12"/>
  <c r="H238" i="12"/>
  <c r="T238" i="12"/>
  <c r="X238" i="12"/>
  <c r="U238" i="12"/>
  <c r="Q238" i="12"/>
  <c r="P238" i="12"/>
  <c r="N238" i="12"/>
  <c r="M238" i="12"/>
  <c r="O238" i="12" s="1"/>
  <c r="L238" i="12"/>
  <c r="V238" i="12"/>
  <c r="S238" i="12"/>
  <c r="W238" i="12" s="1"/>
  <c r="K14" i="12"/>
  <c r="H14" i="12"/>
  <c r="T14" i="12"/>
  <c r="X14" i="12"/>
  <c r="U14" i="12"/>
  <c r="Q14" i="12"/>
  <c r="P14" i="12"/>
  <c r="N14" i="12"/>
  <c r="M14" i="12"/>
  <c r="O14" i="12" s="1"/>
  <c r="L14" i="12"/>
  <c r="V14" i="12"/>
  <c r="S14" i="12"/>
  <c r="W14" i="12" s="1"/>
  <c r="K21" i="12"/>
  <c r="H21" i="12"/>
  <c r="T21" i="12"/>
  <c r="X21" i="12"/>
  <c r="U21" i="12"/>
  <c r="Q21" i="12"/>
  <c r="P21" i="12"/>
  <c r="N21" i="12"/>
  <c r="M21" i="12"/>
  <c r="O21" i="12" s="1"/>
  <c r="L21" i="12"/>
  <c r="V21" i="12"/>
  <c r="S21" i="12"/>
  <c r="W21" i="12" s="1"/>
  <c r="K26" i="12"/>
  <c r="H26" i="12"/>
  <c r="T26" i="12"/>
  <c r="X26" i="12"/>
  <c r="U26" i="12"/>
  <c r="Q26" i="12"/>
  <c r="P26" i="12"/>
  <c r="N26" i="12"/>
  <c r="M26" i="12"/>
  <c r="O26" i="12" s="1"/>
  <c r="L26" i="12"/>
  <c r="V26" i="12"/>
  <c r="S26" i="12"/>
  <c r="W26" i="12" s="1"/>
  <c r="K37" i="12"/>
  <c r="H37" i="12"/>
  <c r="T37" i="12"/>
  <c r="X37" i="12"/>
  <c r="U37" i="12"/>
  <c r="Q37" i="12"/>
  <c r="P37" i="12"/>
  <c r="N37" i="12"/>
  <c r="M37" i="12"/>
  <c r="O37" i="12" s="1"/>
  <c r="L37" i="12"/>
  <c r="V37" i="12"/>
  <c r="S37" i="12"/>
  <c r="W37" i="12" s="1"/>
  <c r="K48" i="12"/>
  <c r="H48" i="12"/>
  <c r="T48" i="12"/>
  <c r="X48" i="12"/>
  <c r="U48" i="12"/>
  <c r="Q48" i="12"/>
  <c r="P48" i="12"/>
  <c r="N48" i="12"/>
  <c r="M48" i="12"/>
  <c r="O48" i="12" s="1"/>
  <c r="L48" i="12"/>
  <c r="V48" i="12"/>
  <c r="S48" i="12"/>
  <c r="W48" i="12" s="1"/>
  <c r="K174" i="12"/>
  <c r="H174" i="12"/>
  <c r="T174" i="12"/>
  <c r="X174" i="12"/>
  <c r="U174" i="12"/>
  <c r="Q174" i="12"/>
  <c r="P174" i="12"/>
  <c r="N174" i="12"/>
  <c r="M174" i="12"/>
  <c r="O174" i="12" s="1"/>
  <c r="L174" i="12"/>
  <c r="V174" i="12"/>
  <c r="S174" i="12"/>
  <c r="W174" i="12" s="1"/>
  <c r="K180" i="12"/>
  <c r="H180" i="12"/>
  <c r="T180" i="12"/>
  <c r="X180" i="12"/>
  <c r="U180" i="12"/>
  <c r="Q180" i="12"/>
  <c r="P180" i="12"/>
  <c r="N180" i="12"/>
  <c r="M180" i="12"/>
  <c r="O180" i="12" s="1"/>
  <c r="L180" i="12"/>
  <c r="V180" i="12"/>
  <c r="S180" i="12"/>
  <c r="W180" i="12" s="1"/>
  <c r="K34" i="12"/>
  <c r="H34" i="12"/>
  <c r="T34" i="12"/>
  <c r="X34" i="12"/>
  <c r="U34" i="12"/>
  <c r="Q34" i="12"/>
  <c r="P34" i="12"/>
  <c r="N34" i="12"/>
  <c r="M34" i="12"/>
  <c r="O34" i="12" s="1"/>
  <c r="L34" i="12"/>
  <c r="V34" i="12"/>
  <c r="S34" i="12"/>
  <c r="W34" i="12" s="1"/>
  <c r="K42" i="12"/>
  <c r="H42" i="12"/>
  <c r="T42" i="12"/>
  <c r="X42" i="12"/>
  <c r="U42" i="12"/>
  <c r="Q42" i="12"/>
  <c r="P42" i="12"/>
  <c r="N42" i="12"/>
  <c r="M42" i="12"/>
  <c r="O42" i="12" s="1"/>
  <c r="L42" i="12"/>
  <c r="V42" i="12"/>
  <c r="S42" i="12"/>
  <c r="W42" i="12" s="1"/>
  <c r="K51" i="12"/>
  <c r="H51" i="12"/>
  <c r="T51" i="12"/>
  <c r="X51" i="12"/>
  <c r="U51" i="12"/>
  <c r="Q51" i="12"/>
  <c r="P51" i="12"/>
  <c r="N51" i="12"/>
  <c r="M51" i="12"/>
  <c r="O51" i="12" s="1"/>
  <c r="L51" i="12"/>
  <c r="V51" i="12"/>
  <c r="S51" i="12"/>
  <c r="W51" i="12" s="1"/>
  <c r="K62" i="12"/>
  <c r="H62" i="12"/>
  <c r="T62" i="12"/>
  <c r="X62" i="12"/>
  <c r="U62" i="12"/>
  <c r="Q62" i="12"/>
  <c r="P62" i="12"/>
  <c r="N62" i="12"/>
  <c r="M62" i="12"/>
  <c r="O62" i="12" s="1"/>
  <c r="L62" i="12"/>
  <c r="V62" i="12"/>
  <c r="S62" i="12"/>
  <c r="W62" i="12" s="1"/>
  <c r="K69" i="12"/>
  <c r="H69" i="12"/>
  <c r="T69" i="12"/>
  <c r="X69" i="12"/>
  <c r="U69" i="12"/>
  <c r="Q69" i="12"/>
  <c r="P69" i="12"/>
  <c r="N69" i="12"/>
  <c r="M69" i="12"/>
  <c r="O69" i="12" s="1"/>
  <c r="L69" i="12"/>
  <c r="V69" i="12"/>
  <c r="S69" i="12"/>
  <c r="W69" i="12" s="1"/>
  <c r="K189" i="12"/>
  <c r="H189" i="12"/>
  <c r="T189" i="12"/>
  <c r="X189" i="12"/>
  <c r="U189" i="12"/>
  <c r="Q189" i="12"/>
  <c r="P189" i="12"/>
  <c r="N189" i="12"/>
  <c r="M189" i="12"/>
  <c r="O189" i="12" s="1"/>
  <c r="L189" i="12"/>
  <c r="V189" i="12"/>
  <c r="S189" i="12"/>
  <c r="W189" i="12" s="1"/>
  <c r="K194" i="12"/>
  <c r="H194" i="12"/>
  <c r="T194" i="12"/>
  <c r="X194" i="12"/>
  <c r="U194" i="12"/>
  <c r="Q194" i="12"/>
  <c r="P194" i="12"/>
  <c r="N194" i="12"/>
  <c r="M194" i="12"/>
  <c r="O194" i="12" s="1"/>
  <c r="L194" i="12"/>
  <c r="V194" i="12"/>
  <c r="S194" i="12"/>
  <c r="W194" i="12" s="1"/>
  <c r="K63" i="12"/>
  <c r="H63" i="12"/>
  <c r="T63" i="12"/>
  <c r="X63" i="12"/>
  <c r="U63" i="12"/>
  <c r="Q63" i="12"/>
  <c r="P63" i="12"/>
  <c r="N63" i="12"/>
  <c r="M63" i="12"/>
  <c r="O63" i="12" s="1"/>
  <c r="L63" i="12"/>
  <c r="V63" i="12"/>
  <c r="S63" i="12"/>
  <c r="W63" i="12" s="1"/>
  <c r="K73" i="12"/>
  <c r="H73" i="12"/>
  <c r="T73" i="12"/>
  <c r="X73" i="12"/>
  <c r="U73" i="12"/>
  <c r="Q73" i="12"/>
  <c r="P73" i="12"/>
  <c r="N73" i="12"/>
  <c r="M73" i="12"/>
  <c r="O73" i="12" s="1"/>
  <c r="L73" i="12"/>
  <c r="V73" i="12"/>
  <c r="S73" i="12"/>
  <c r="W73" i="12" s="1"/>
  <c r="K75" i="12"/>
  <c r="H75" i="12"/>
  <c r="T75" i="12"/>
  <c r="X75" i="12"/>
  <c r="U75" i="12"/>
  <c r="Q75" i="12"/>
  <c r="P75" i="12"/>
  <c r="N75" i="12"/>
  <c r="M75" i="12"/>
  <c r="O75" i="12" s="1"/>
  <c r="L75" i="12"/>
  <c r="V75" i="12"/>
  <c r="S75" i="12"/>
  <c r="W75" i="12" s="1"/>
  <c r="K85" i="12"/>
  <c r="H85" i="12"/>
  <c r="T85" i="12"/>
  <c r="X85" i="12"/>
  <c r="U85" i="12"/>
  <c r="Q85" i="12"/>
  <c r="P85" i="12"/>
  <c r="N85" i="12"/>
  <c r="M85" i="12"/>
  <c r="O85" i="12" s="1"/>
  <c r="L85" i="12"/>
  <c r="V85" i="12"/>
  <c r="S85" i="12"/>
  <c r="W85" i="12" s="1"/>
  <c r="K93" i="12"/>
  <c r="H93" i="12"/>
  <c r="T93" i="12"/>
  <c r="X93" i="12"/>
  <c r="U93" i="12"/>
  <c r="Q93" i="12"/>
  <c r="N93" i="12"/>
  <c r="M93" i="12"/>
  <c r="L93" i="12"/>
  <c r="V93" i="12"/>
  <c r="S93" i="12"/>
  <c r="W93" i="12" s="1"/>
  <c r="K206" i="12"/>
  <c r="H206" i="12"/>
  <c r="T206" i="12"/>
  <c r="X206" i="12"/>
  <c r="U206" i="12"/>
  <c r="Q206" i="12"/>
  <c r="N206" i="12"/>
  <c r="L206" i="12"/>
  <c r="V206" i="12"/>
  <c r="S206" i="12"/>
  <c r="W206" i="12" s="1"/>
  <c r="K214" i="12"/>
  <c r="H214" i="12"/>
  <c r="T214" i="12"/>
  <c r="X214" i="12"/>
  <c r="U214" i="12"/>
  <c r="Q214" i="12"/>
  <c r="P214" i="12"/>
  <c r="N214" i="12"/>
  <c r="M214" i="12"/>
  <c r="O214" i="12" s="1"/>
  <c r="L214" i="12"/>
  <c r="V214" i="12"/>
  <c r="S214" i="12"/>
  <c r="W214" i="12" s="1"/>
  <c r="K94" i="12"/>
  <c r="H94" i="12"/>
  <c r="T94" i="12"/>
  <c r="X94" i="12"/>
  <c r="U94" i="12"/>
  <c r="Q94" i="12"/>
  <c r="P94" i="12"/>
  <c r="N94" i="12"/>
  <c r="M94" i="12"/>
  <c r="O94" i="12" s="1"/>
  <c r="L94" i="12"/>
  <c r="V94" i="12"/>
  <c r="S94" i="12"/>
  <c r="W94" i="12" s="1"/>
  <c r="K100" i="12"/>
  <c r="H100" i="12"/>
  <c r="T100" i="12"/>
  <c r="X100" i="12"/>
  <c r="U100" i="12"/>
  <c r="Q100" i="12"/>
  <c r="P100" i="12"/>
  <c r="N100" i="12"/>
  <c r="M100" i="12"/>
  <c r="O100" i="12" s="1"/>
  <c r="L100" i="12"/>
  <c r="V100" i="12"/>
  <c r="S100" i="12"/>
  <c r="W100" i="12" s="1"/>
  <c r="K102" i="12"/>
  <c r="H102" i="12"/>
  <c r="T102" i="12"/>
  <c r="X102" i="12"/>
  <c r="U102" i="12"/>
  <c r="Q102" i="12"/>
  <c r="P102" i="12"/>
  <c r="N102" i="12"/>
  <c r="M102" i="12"/>
  <c r="O102" i="12" s="1"/>
  <c r="L102" i="12"/>
  <c r="V102" i="12"/>
  <c r="S102" i="12"/>
  <c r="W102" i="12" s="1"/>
  <c r="K108" i="12"/>
  <c r="H108" i="12"/>
  <c r="T108" i="12"/>
  <c r="X108" i="12"/>
  <c r="U108" i="12"/>
  <c r="Q108" i="12"/>
  <c r="P108" i="12"/>
  <c r="N108" i="12"/>
  <c r="M108" i="12"/>
  <c r="O108" i="12" s="1"/>
  <c r="L108" i="12"/>
  <c r="V108" i="12"/>
  <c r="S108" i="12"/>
  <c r="W108" i="12" s="1"/>
  <c r="K114" i="12"/>
  <c r="H114" i="12"/>
  <c r="T114" i="12"/>
  <c r="X114" i="12"/>
  <c r="U114" i="12"/>
  <c r="Q114" i="12"/>
  <c r="P114" i="12"/>
  <c r="N114" i="12"/>
  <c r="M114" i="12"/>
  <c r="O114" i="12" s="1"/>
  <c r="L114" i="12"/>
  <c r="V114" i="12"/>
  <c r="S114" i="12"/>
  <c r="W114" i="12" s="1"/>
  <c r="K226" i="12"/>
  <c r="H226" i="12"/>
  <c r="T226" i="12"/>
  <c r="X226" i="12"/>
  <c r="U226" i="12"/>
  <c r="Q226" i="12"/>
  <c r="P226" i="12"/>
  <c r="N226" i="12"/>
  <c r="M226" i="12"/>
  <c r="O226" i="12" s="1"/>
  <c r="L226" i="12"/>
  <c r="V226" i="12"/>
  <c r="S226" i="12"/>
  <c r="W226" i="12" s="1"/>
  <c r="K230" i="12"/>
  <c r="H230" i="12"/>
  <c r="T230" i="12"/>
  <c r="X230" i="12"/>
  <c r="U230" i="12"/>
  <c r="Q230" i="12"/>
  <c r="P230" i="12"/>
  <c r="N230" i="12"/>
  <c r="M230" i="12"/>
  <c r="O230" i="12" s="1"/>
  <c r="L230" i="12"/>
  <c r="V230" i="12"/>
  <c r="S230" i="12"/>
  <c r="W230" i="12" s="1"/>
  <c r="K122" i="12"/>
  <c r="H122" i="12"/>
  <c r="T122" i="12"/>
  <c r="X122" i="12"/>
  <c r="U122" i="12"/>
  <c r="Q122" i="12"/>
  <c r="P122" i="12"/>
  <c r="N122" i="12"/>
  <c r="M122" i="12"/>
  <c r="O122" i="12" s="1"/>
  <c r="L122" i="12"/>
  <c r="V122" i="12"/>
  <c r="S122" i="12"/>
  <c r="W122" i="12" s="1"/>
  <c r="K127" i="12"/>
  <c r="H127" i="12"/>
  <c r="T127" i="12"/>
  <c r="X127" i="12"/>
  <c r="U127" i="12"/>
  <c r="Q127" i="12"/>
  <c r="P127" i="12"/>
  <c r="N127" i="12"/>
  <c r="M127" i="12"/>
  <c r="O127" i="12" s="1"/>
  <c r="L127" i="12"/>
  <c r="V127" i="12"/>
  <c r="S127" i="12"/>
  <c r="W127" i="12" s="1"/>
  <c r="K129" i="12"/>
  <c r="H129" i="12"/>
  <c r="T129" i="12"/>
  <c r="X129" i="12"/>
  <c r="U129" i="12"/>
  <c r="Q129" i="12"/>
  <c r="P129" i="12"/>
  <c r="N129" i="12"/>
  <c r="M129" i="12"/>
  <c r="O129" i="12" s="1"/>
  <c r="L129" i="12"/>
  <c r="V129" i="12"/>
  <c r="S129" i="12"/>
  <c r="W129" i="12" s="1"/>
  <c r="K135" i="12"/>
  <c r="H135" i="12"/>
  <c r="T135" i="12"/>
  <c r="X135" i="12"/>
  <c r="U135" i="12"/>
  <c r="Q135" i="12"/>
  <c r="P135" i="12"/>
  <c r="N135" i="12"/>
  <c r="M135" i="12"/>
  <c r="O135" i="12" s="1"/>
  <c r="L135" i="12"/>
  <c r="V135" i="12"/>
  <c r="S135" i="12"/>
  <c r="W135" i="12" s="1"/>
  <c r="K139" i="12"/>
  <c r="H139" i="12"/>
  <c r="T139" i="12"/>
  <c r="X139" i="12"/>
  <c r="U139" i="12"/>
  <c r="Q139" i="12"/>
  <c r="P139" i="12"/>
  <c r="N139" i="12"/>
  <c r="M139" i="12"/>
  <c r="O139" i="12" s="1"/>
  <c r="L139" i="12"/>
  <c r="V139" i="12"/>
  <c r="S139" i="12"/>
  <c r="W139" i="12" s="1"/>
  <c r="K241" i="12"/>
  <c r="H241" i="12"/>
  <c r="T241" i="12"/>
  <c r="X241" i="12"/>
  <c r="U241" i="12"/>
  <c r="Q241" i="12"/>
  <c r="P241" i="12"/>
  <c r="N241" i="12"/>
  <c r="M241" i="12"/>
  <c r="O241" i="12" s="1"/>
  <c r="L241" i="12"/>
  <c r="V241" i="12"/>
  <c r="S241" i="12"/>
  <c r="W241" i="12" s="1"/>
  <c r="K244" i="12"/>
  <c r="H244" i="12"/>
  <c r="T244" i="12"/>
  <c r="X244" i="12"/>
  <c r="U244" i="12"/>
  <c r="Q244" i="12"/>
  <c r="P244" i="12"/>
  <c r="N244" i="12"/>
  <c r="M244" i="12"/>
  <c r="O244" i="12" s="1"/>
  <c r="L244" i="12"/>
  <c r="V244" i="12"/>
  <c r="S244" i="12"/>
  <c r="W244" i="12" s="1"/>
  <c r="K27" i="12"/>
  <c r="H27" i="12"/>
  <c r="T27" i="12"/>
  <c r="X27" i="12"/>
  <c r="U27" i="12"/>
  <c r="Q27" i="12"/>
  <c r="P27" i="12"/>
  <c r="N27" i="12"/>
  <c r="M27" i="12"/>
  <c r="O27" i="12" s="1"/>
  <c r="L27" i="12"/>
  <c r="V27" i="12"/>
  <c r="S27" i="12"/>
  <c r="W27" i="12" s="1"/>
  <c r="K36" i="12"/>
  <c r="H36" i="12"/>
  <c r="T36" i="12"/>
  <c r="X36" i="12"/>
  <c r="U36" i="12"/>
  <c r="Q36" i="12"/>
  <c r="P36" i="12"/>
  <c r="N36" i="12"/>
  <c r="M36" i="12"/>
  <c r="O36" i="12" s="1"/>
  <c r="L36" i="12"/>
  <c r="V36" i="12"/>
  <c r="S36" i="12"/>
  <c r="W36" i="12" s="1"/>
  <c r="K44" i="12"/>
  <c r="H44" i="12"/>
  <c r="T44" i="12"/>
  <c r="X44" i="12"/>
  <c r="U44" i="12"/>
  <c r="Q44" i="12"/>
  <c r="P44" i="12"/>
  <c r="N44" i="12"/>
  <c r="M44" i="12"/>
  <c r="O44" i="12" s="1"/>
  <c r="L44" i="12"/>
  <c r="V44" i="12"/>
  <c r="S44" i="12"/>
  <c r="W44" i="12" s="1"/>
  <c r="K169" i="12"/>
  <c r="H169" i="12"/>
  <c r="T169" i="12"/>
  <c r="X169" i="12"/>
  <c r="U169" i="12"/>
  <c r="Q169" i="12"/>
  <c r="P169" i="12"/>
  <c r="N169" i="12"/>
  <c r="M169" i="12"/>
  <c r="O169" i="12" s="1"/>
  <c r="L169" i="12"/>
  <c r="V169" i="12"/>
  <c r="S169" i="12"/>
  <c r="W169" i="12" s="1"/>
  <c r="K176" i="12"/>
  <c r="H176" i="12"/>
  <c r="T176" i="12"/>
  <c r="X176" i="12"/>
  <c r="U176" i="12"/>
  <c r="Q176" i="12"/>
  <c r="P176" i="12"/>
  <c r="N176" i="12"/>
  <c r="M176" i="12"/>
  <c r="O176" i="12" s="1"/>
  <c r="L176" i="12"/>
  <c r="V176" i="12"/>
  <c r="S176" i="12"/>
  <c r="W176" i="12" s="1"/>
  <c r="K184" i="12"/>
  <c r="H184" i="12"/>
  <c r="T184" i="12"/>
  <c r="X184" i="12"/>
  <c r="U184" i="12"/>
  <c r="Q184" i="12"/>
  <c r="P184" i="12"/>
  <c r="N184" i="12"/>
  <c r="M184" i="12"/>
  <c r="O184" i="12" s="1"/>
  <c r="L184" i="12"/>
  <c r="V184" i="12"/>
  <c r="S184" i="12"/>
  <c r="W184" i="12" s="1"/>
  <c r="K191" i="12"/>
  <c r="H191" i="12"/>
  <c r="T191" i="12"/>
  <c r="X191" i="12"/>
  <c r="U191" i="12"/>
  <c r="Q191" i="12"/>
  <c r="P191" i="12"/>
  <c r="N191" i="12"/>
  <c r="M191" i="12"/>
  <c r="O191" i="12" s="1"/>
  <c r="L191" i="12"/>
  <c r="V191" i="12"/>
  <c r="S191" i="12"/>
  <c r="W191" i="12" s="1"/>
  <c r="K52" i="12"/>
  <c r="H52" i="12"/>
  <c r="T52" i="12"/>
  <c r="X52" i="12"/>
  <c r="U52" i="12"/>
  <c r="Q52" i="12"/>
  <c r="P52" i="12"/>
  <c r="N52" i="12"/>
  <c r="M52" i="12"/>
  <c r="O52" i="12" s="1"/>
  <c r="L52" i="12"/>
  <c r="V52" i="12"/>
  <c r="S52" i="12"/>
  <c r="W52" i="12" s="1"/>
  <c r="K60" i="12"/>
  <c r="H60" i="12"/>
  <c r="T60" i="12"/>
  <c r="X60" i="12"/>
  <c r="U60" i="12"/>
  <c r="Q60" i="12"/>
  <c r="P60" i="12"/>
  <c r="N60" i="12"/>
  <c r="M60" i="12"/>
  <c r="O60" i="12" s="1"/>
  <c r="L60" i="12"/>
  <c r="V60" i="12"/>
  <c r="S60" i="12"/>
  <c r="W60" i="12" s="1"/>
  <c r="K67" i="12"/>
  <c r="H67" i="12"/>
  <c r="T67" i="12"/>
  <c r="X67" i="12"/>
  <c r="U67" i="12"/>
  <c r="Q67" i="12"/>
  <c r="P67" i="12"/>
  <c r="N67" i="12"/>
  <c r="M67" i="12"/>
  <c r="O67" i="12" s="1"/>
  <c r="L67" i="12"/>
  <c r="V67" i="12"/>
  <c r="S67" i="12"/>
  <c r="W67" i="12" s="1"/>
  <c r="K185" i="12"/>
  <c r="H185" i="12"/>
  <c r="T185" i="12"/>
  <c r="X185" i="12"/>
  <c r="U185" i="12"/>
  <c r="Q185" i="12"/>
  <c r="P185" i="12"/>
  <c r="N185" i="12"/>
  <c r="M185" i="12"/>
  <c r="O185" i="12" s="1"/>
  <c r="L185" i="12"/>
  <c r="V185" i="12"/>
  <c r="S185" i="12"/>
  <c r="W185" i="12" s="1"/>
  <c r="K192" i="12"/>
  <c r="H192" i="12"/>
  <c r="T192" i="12"/>
  <c r="X192" i="12"/>
  <c r="U192" i="12"/>
  <c r="Q192" i="12"/>
  <c r="P192" i="12"/>
  <c r="N192" i="12"/>
  <c r="M192" i="12"/>
  <c r="O192" i="12" s="1"/>
  <c r="L192" i="12"/>
  <c r="V192" i="12"/>
  <c r="S192" i="12"/>
  <c r="W192" i="12" s="1"/>
  <c r="K197" i="12"/>
  <c r="H197" i="12"/>
  <c r="T197" i="12"/>
  <c r="X197" i="12"/>
  <c r="U197" i="12"/>
  <c r="Q197" i="12"/>
  <c r="P197" i="12"/>
  <c r="N197" i="12"/>
  <c r="M197" i="12"/>
  <c r="O197" i="12" s="1"/>
  <c r="L197" i="12"/>
  <c r="V197" i="12"/>
  <c r="S197" i="12"/>
  <c r="W197" i="12" s="1"/>
  <c r="K207" i="12"/>
  <c r="H207" i="12"/>
  <c r="T207" i="12"/>
  <c r="X207" i="12"/>
  <c r="U207" i="12"/>
  <c r="Q207" i="12"/>
  <c r="P207" i="12"/>
  <c r="N207" i="12"/>
  <c r="M207" i="12"/>
  <c r="O207" i="12" s="1"/>
  <c r="L207" i="12"/>
  <c r="V207" i="12"/>
  <c r="S207" i="12"/>
  <c r="W207" i="12" s="1"/>
  <c r="K76" i="12"/>
  <c r="H76" i="12"/>
  <c r="T76" i="12"/>
  <c r="X76" i="12"/>
  <c r="U76" i="12"/>
  <c r="Q76" i="12"/>
  <c r="P76" i="12"/>
  <c r="N76" i="12"/>
  <c r="M76" i="12"/>
  <c r="O76" i="12" s="1"/>
  <c r="L76" i="12"/>
  <c r="V76" i="12"/>
  <c r="S76" i="12"/>
  <c r="W76" i="12" s="1"/>
  <c r="K84" i="12"/>
  <c r="H84" i="12"/>
  <c r="T84" i="12"/>
  <c r="X84" i="12"/>
  <c r="U84" i="12"/>
  <c r="Q84" i="12"/>
  <c r="P84" i="12"/>
  <c r="N84" i="12"/>
  <c r="M84" i="12"/>
  <c r="O84" i="12" s="1"/>
  <c r="L84" i="12"/>
  <c r="V84" i="12"/>
  <c r="S84" i="12"/>
  <c r="W84" i="12" s="1"/>
  <c r="K91" i="12"/>
  <c r="H91" i="12"/>
  <c r="T91" i="12"/>
  <c r="X91" i="12"/>
  <c r="U91" i="12"/>
  <c r="Q91" i="12"/>
  <c r="P91" i="12"/>
  <c r="N91" i="12"/>
  <c r="M91" i="12"/>
  <c r="O91" i="12" s="1"/>
  <c r="L91" i="12"/>
  <c r="V91" i="12"/>
  <c r="S91" i="12"/>
  <c r="W91" i="12" s="1"/>
  <c r="K199" i="12"/>
  <c r="H199" i="12"/>
  <c r="T199" i="12"/>
  <c r="X199" i="12"/>
  <c r="U199" i="12"/>
  <c r="Q199" i="12"/>
  <c r="P199" i="12"/>
  <c r="N199" i="12"/>
  <c r="M199" i="12"/>
  <c r="O199" i="12" s="1"/>
  <c r="L199" i="12"/>
  <c r="V199" i="12"/>
  <c r="S199" i="12"/>
  <c r="W199" i="12" s="1"/>
  <c r="K209" i="12"/>
  <c r="H209" i="12"/>
  <c r="T209" i="12"/>
  <c r="X209" i="12"/>
  <c r="U209" i="12"/>
  <c r="Q209" i="12"/>
  <c r="P209" i="12"/>
  <c r="N209" i="12"/>
  <c r="M209" i="12"/>
  <c r="O209" i="12" s="1"/>
  <c r="L209" i="12"/>
  <c r="V209" i="12"/>
  <c r="S209" i="12"/>
  <c r="W209" i="12" s="1"/>
  <c r="K218" i="12"/>
  <c r="H218" i="12"/>
  <c r="T218" i="12"/>
  <c r="X218" i="12"/>
  <c r="U218" i="12"/>
  <c r="Q218" i="12"/>
  <c r="P218" i="12"/>
  <c r="N218" i="12"/>
  <c r="M218" i="12"/>
  <c r="O218" i="12" s="1"/>
  <c r="L218" i="12"/>
  <c r="V218" i="12"/>
  <c r="S218" i="12"/>
  <c r="W218" i="12" s="1"/>
  <c r="K222" i="12"/>
  <c r="H222" i="12"/>
  <c r="T222" i="12"/>
  <c r="X222" i="12"/>
  <c r="U222" i="12"/>
  <c r="Q222" i="12"/>
  <c r="P222" i="12"/>
  <c r="N222" i="12"/>
  <c r="M222" i="12"/>
  <c r="O222" i="12" s="1"/>
  <c r="L222" i="12"/>
  <c r="V222" i="12"/>
  <c r="S222" i="12"/>
  <c r="W222" i="12" s="1"/>
  <c r="K103" i="12"/>
  <c r="H103" i="12"/>
  <c r="T103" i="12"/>
  <c r="X103" i="12"/>
  <c r="U103" i="12"/>
  <c r="Q103" i="12"/>
  <c r="P103" i="12"/>
  <c r="N103" i="12"/>
  <c r="M103" i="12"/>
  <c r="O103" i="12" s="1"/>
  <c r="L103" i="12"/>
  <c r="V103" i="12"/>
  <c r="S103" i="12"/>
  <c r="W103" i="12" s="1"/>
  <c r="K107" i="12"/>
  <c r="H107" i="12"/>
  <c r="T107" i="12"/>
  <c r="X107" i="12"/>
  <c r="U107" i="12"/>
  <c r="Q107" i="12"/>
  <c r="P107" i="12"/>
  <c r="N107" i="12"/>
  <c r="M107" i="12"/>
  <c r="O107" i="12" s="1"/>
  <c r="L107" i="12"/>
  <c r="V107" i="12"/>
  <c r="S107" i="12"/>
  <c r="W107" i="12" s="1"/>
  <c r="K111" i="12"/>
  <c r="H111" i="12"/>
  <c r="T111" i="12"/>
  <c r="X111" i="12"/>
  <c r="U111" i="12"/>
  <c r="Q111" i="12"/>
  <c r="P111" i="12"/>
  <c r="N111" i="12"/>
  <c r="M111" i="12"/>
  <c r="O111" i="12" s="1"/>
  <c r="L111" i="12"/>
  <c r="V111" i="12"/>
  <c r="S111" i="12"/>
  <c r="W111" i="12" s="1"/>
  <c r="K223" i="12"/>
  <c r="H223" i="12"/>
  <c r="T223" i="12"/>
  <c r="X223" i="12"/>
  <c r="U223" i="12"/>
  <c r="Q223" i="12"/>
  <c r="P223" i="12"/>
  <c r="N223" i="12"/>
  <c r="M223" i="12"/>
  <c r="O223" i="12" s="1"/>
  <c r="L223" i="12"/>
  <c r="V223" i="12"/>
  <c r="S223" i="12"/>
  <c r="W223" i="12" s="1"/>
  <c r="K228" i="12"/>
  <c r="H228" i="12"/>
  <c r="T228" i="12"/>
  <c r="X228" i="12"/>
  <c r="U228" i="12"/>
  <c r="Q228" i="12"/>
  <c r="P228" i="12"/>
  <c r="N228" i="12"/>
  <c r="M228" i="12"/>
  <c r="O228" i="12" s="1"/>
  <c r="L228" i="12"/>
  <c r="V228" i="12"/>
  <c r="S228" i="12"/>
  <c r="W228" i="12" s="1"/>
  <c r="K233" i="12"/>
  <c r="H233" i="12"/>
  <c r="T233" i="12"/>
  <c r="X233" i="12"/>
  <c r="U233" i="12"/>
  <c r="Q233" i="12"/>
  <c r="P233" i="12"/>
  <c r="N233" i="12"/>
  <c r="M233" i="12"/>
  <c r="O233" i="12" s="1"/>
  <c r="L233" i="12"/>
  <c r="V233" i="12"/>
  <c r="S233" i="12"/>
  <c r="W233" i="12" s="1"/>
  <c r="K235" i="12"/>
  <c r="H235" i="12"/>
  <c r="T235" i="12"/>
  <c r="X235" i="12"/>
  <c r="U235" i="12"/>
  <c r="Q235" i="12"/>
  <c r="P235" i="12"/>
  <c r="N235" i="12"/>
  <c r="M235" i="12"/>
  <c r="O235" i="12" s="1"/>
  <c r="L235" i="12"/>
  <c r="V235" i="12"/>
  <c r="S235" i="12"/>
  <c r="W235" i="12" s="1"/>
  <c r="K130" i="12"/>
  <c r="H130" i="12"/>
  <c r="T130" i="12"/>
  <c r="X130" i="12"/>
  <c r="U130" i="12"/>
  <c r="Q130" i="12"/>
  <c r="P130" i="12"/>
  <c r="N130" i="12"/>
  <c r="M130" i="12"/>
  <c r="O130" i="12" s="1"/>
  <c r="L130" i="12"/>
  <c r="V130" i="12"/>
  <c r="S130" i="12"/>
  <c r="W130" i="12" s="1"/>
  <c r="K134" i="12"/>
  <c r="H134" i="12"/>
  <c r="T134" i="12"/>
  <c r="X134" i="12"/>
  <c r="U134" i="12"/>
  <c r="Q134" i="12"/>
  <c r="P134" i="12"/>
  <c r="N134" i="12"/>
  <c r="M134" i="12"/>
  <c r="O134" i="12" s="1"/>
  <c r="L134" i="12"/>
  <c r="V134" i="12"/>
  <c r="S134" i="12"/>
  <c r="W134" i="12" s="1"/>
  <c r="K138" i="12"/>
  <c r="H138" i="12"/>
  <c r="T138" i="12"/>
  <c r="X138" i="12"/>
  <c r="U138" i="12"/>
  <c r="Q138" i="12"/>
  <c r="P138" i="12"/>
  <c r="N138" i="12"/>
  <c r="M138" i="12"/>
  <c r="O138" i="12" s="1"/>
  <c r="L138" i="12"/>
  <c r="V138" i="12"/>
  <c r="S138" i="12"/>
  <c r="W138" i="12" s="1"/>
  <c r="K237" i="12"/>
  <c r="H237" i="12"/>
  <c r="T237" i="12"/>
  <c r="X237" i="12"/>
  <c r="U237" i="12"/>
  <c r="Q237" i="12"/>
  <c r="P237" i="12"/>
  <c r="N237" i="12"/>
  <c r="M237" i="12"/>
  <c r="O237" i="12" s="1"/>
  <c r="L237" i="12"/>
  <c r="V237" i="12"/>
  <c r="S237" i="12"/>
  <c r="W237" i="12" s="1"/>
  <c r="K242" i="12"/>
  <c r="H242" i="12"/>
  <c r="T242" i="12"/>
  <c r="X242" i="12"/>
  <c r="U242" i="12"/>
  <c r="Q242" i="12"/>
  <c r="P242" i="12"/>
  <c r="N242" i="12"/>
  <c r="M242" i="12"/>
  <c r="O242" i="12" s="1"/>
  <c r="L242" i="12"/>
  <c r="V242" i="12"/>
  <c r="S242" i="12"/>
  <c r="W242" i="12" s="1"/>
  <c r="K246" i="12"/>
  <c r="H246" i="12"/>
  <c r="T246" i="12"/>
  <c r="X246" i="12"/>
  <c r="U246" i="12"/>
  <c r="Q246" i="12"/>
  <c r="P246" i="12"/>
  <c r="N246" i="12"/>
  <c r="M246" i="12"/>
  <c r="O246" i="12" s="1"/>
  <c r="L246" i="12"/>
  <c r="V246" i="12"/>
  <c r="S246" i="12"/>
  <c r="W246" i="12" s="1"/>
  <c r="K248" i="12"/>
  <c r="H248" i="12"/>
  <c r="T248" i="12"/>
  <c r="X248" i="12"/>
  <c r="U248" i="12"/>
  <c r="Q248" i="12"/>
  <c r="P248" i="12"/>
  <c r="N248" i="12"/>
  <c r="M248" i="12"/>
  <c r="O248" i="12" s="1"/>
  <c r="L248" i="12"/>
  <c r="V248" i="12"/>
  <c r="S248" i="12"/>
  <c r="W248" i="12" s="1"/>
  <c r="K49" i="12"/>
  <c r="H49" i="12"/>
  <c r="T49" i="12"/>
  <c r="X49" i="12"/>
  <c r="U49" i="12"/>
  <c r="Q49" i="12"/>
  <c r="P49" i="12"/>
  <c r="N49" i="12"/>
  <c r="M49" i="12"/>
  <c r="O49" i="12" s="1"/>
  <c r="L49" i="12"/>
  <c r="V49" i="12"/>
  <c r="S49" i="12"/>
  <c r="W49" i="12" s="1"/>
  <c r="K172" i="12"/>
  <c r="H172" i="12"/>
  <c r="T172" i="12"/>
  <c r="X172" i="12"/>
  <c r="U172" i="12"/>
  <c r="Q172" i="12"/>
  <c r="P172" i="12"/>
  <c r="N172" i="12"/>
  <c r="M172" i="12"/>
  <c r="O172" i="12" s="1"/>
  <c r="L172" i="12"/>
  <c r="V172" i="12"/>
  <c r="S172" i="12"/>
  <c r="W172" i="12" s="1"/>
  <c r="K177" i="12"/>
  <c r="H177" i="12"/>
  <c r="T177" i="12"/>
  <c r="X177" i="12"/>
  <c r="U177" i="12"/>
  <c r="Q177" i="12"/>
  <c r="P177" i="12"/>
  <c r="N177" i="12"/>
  <c r="M177" i="12"/>
  <c r="O177" i="12" s="1"/>
  <c r="L177" i="12"/>
  <c r="V177" i="12"/>
  <c r="S177" i="12"/>
  <c r="W177" i="12" s="1"/>
  <c r="K182" i="12"/>
  <c r="H182" i="12"/>
  <c r="T182" i="12"/>
  <c r="X182" i="12"/>
  <c r="U182" i="12"/>
  <c r="Q182" i="12"/>
  <c r="P182" i="12"/>
  <c r="N182" i="12"/>
  <c r="M182" i="12"/>
  <c r="O182" i="12" s="1"/>
  <c r="L182" i="12"/>
  <c r="V182" i="12"/>
  <c r="S182" i="12"/>
  <c r="W182" i="12" s="1"/>
  <c r="K190" i="12"/>
  <c r="H190" i="12"/>
  <c r="T190" i="12"/>
  <c r="X190" i="12"/>
  <c r="U190" i="12"/>
  <c r="Q190" i="12"/>
  <c r="P190" i="12"/>
  <c r="N190" i="12"/>
  <c r="M190" i="12"/>
  <c r="O190" i="12" s="1"/>
  <c r="L190" i="12"/>
  <c r="V190" i="12"/>
  <c r="S190" i="12"/>
  <c r="W190" i="12" s="1"/>
  <c r="K195" i="12"/>
  <c r="H195" i="12"/>
  <c r="T195" i="12"/>
  <c r="X195" i="12"/>
  <c r="U195" i="12"/>
  <c r="Q195" i="12"/>
  <c r="P195" i="12"/>
  <c r="N195" i="12"/>
  <c r="M195" i="12"/>
  <c r="O195" i="12" s="1"/>
  <c r="L195" i="12"/>
  <c r="V195" i="12"/>
  <c r="S195" i="12"/>
  <c r="W195" i="12" s="1"/>
  <c r="K204" i="12"/>
  <c r="H204" i="12"/>
  <c r="T204" i="12"/>
  <c r="X204" i="12"/>
  <c r="U204" i="12"/>
  <c r="Q204" i="12"/>
  <c r="P204" i="12"/>
  <c r="N204" i="12"/>
  <c r="M204" i="12"/>
  <c r="O204" i="12" s="1"/>
  <c r="L204" i="12"/>
  <c r="V204" i="12"/>
  <c r="S204" i="12"/>
  <c r="W204" i="12" s="1"/>
  <c r="K70" i="12"/>
  <c r="H70" i="12"/>
  <c r="T70" i="12"/>
  <c r="X70" i="12"/>
  <c r="U70" i="12"/>
  <c r="Q70" i="12"/>
  <c r="P70" i="12"/>
  <c r="N70" i="12"/>
  <c r="M70" i="12"/>
  <c r="O70" i="12" s="1"/>
  <c r="L70" i="12"/>
  <c r="V70" i="12"/>
  <c r="S70" i="12"/>
  <c r="W70" i="12" s="1"/>
  <c r="K188" i="12"/>
  <c r="H188" i="12"/>
  <c r="T188" i="12"/>
  <c r="X188" i="12"/>
  <c r="U188" i="12"/>
  <c r="Q188" i="12"/>
  <c r="P188" i="12"/>
  <c r="N188" i="12"/>
  <c r="M188" i="12"/>
  <c r="O188" i="12" s="1"/>
  <c r="L188" i="12"/>
  <c r="V188" i="12"/>
  <c r="S188" i="12"/>
  <c r="W188" i="12" s="1"/>
  <c r="K193" i="12"/>
  <c r="H193" i="12"/>
  <c r="T193" i="12"/>
  <c r="X193" i="12"/>
  <c r="U193" i="12"/>
  <c r="Q193" i="12"/>
  <c r="P193" i="12"/>
  <c r="N193" i="12"/>
  <c r="M193" i="12"/>
  <c r="O193" i="12" s="1"/>
  <c r="L193" i="12"/>
  <c r="V193" i="12"/>
  <c r="S193" i="12"/>
  <c r="W193" i="12" s="1"/>
  <c r="K196" i="12"/>
  <c r="H196" i="12"/>
  <c r="T196" i="12"/>
  <c r="X196" i="12"/>
  <c r="U196" i="12"/>
  <c r="Q196" i="12"/>
  <c r="P196" i="12"/>
  <c r="N196" i="12"/>
  <c r="M196" i="12"/>
  <c r="O196" i="12" s="1"/>
  <c r="L196" i="12"/>
  <c r="V196" i="12"/>
  <c r="S196" i="12"/>
  <c r="W196" i="12" s="1"/>
  <c r="K200" i="12"/>
  <c r="H200" i="12"/>
  <c r="T200" i="12"/>
  <c r="X200" i="12"/>
  <c r="U200" i="12"/>
  <c r="Q200" i="12"/>
  <c r="P200" i="12"/>
  <c r="N200" i="12"/>
  <c r="M200" i="12"/>
  <c r="O200" i="12" s="1"/>
  <c r="L200" i="12"/>
  <c r="V200" i="12"/>
  <c r="S200" i="12"/>
  <c r="W200" i="12" s="1"/>
  <c r="K212" i="12"/>
  <c r="H212" i="12"/>
  <c r="T212" i="12"/>
  <c r="X212" i="12"/>
  <c r="U212" i="12"/>
  <c r="Q212" i="12"/>
  <c r="P212" i="12"/>
  <c r="N212" i="12"/>
  <c r="M212" i="12"/>
  <c r="O212" i="12" s="1"/>
  <c r="L212" i="12"/>
  <c r="V212" i="12"/>
  <c r="S212" i="12"/>
  <c r="W212" i="12" s="1"/>
  <c r="K220" i="12"/>
  <c r="H220" i="12"/>
  <c r="T220" i="12"/>
  <c r="X220" i="12"/>
  <c r="U220" i="12"/>
  <c r="Q220" i="12"/>
  <c r="P220" i="12"/>
  <c r="N220" i="12"/>
  <c r="M220" i="12"/>
  <c r="O220" i="12" s="1"/>
  <c r="L220" i="12"/>
  <c r="V220" i="12"/>
  <c r="S220" i="12"/>
  <c r="W220" i="12" s="1"/>
  <c r="K95" i="12"/>
  <c r="H95" i="12"/>
  <c r="T95" i="12"/>
  <c r="X95" i="12"/>
  <c r="U95" i="12"/>
  <c r="Q95" i="12"/>
  <c r="P95" i="12"/>
  <c r="N95" i="12"/>
  <c r="M95" i="12"/>
  <c r="O95" i="12" s="1"/>
  <c r="L95" i="12"/>
  <c r="V95" i="12"/>
  <c r="S95" i="12"/>
  <c r="W95" i="12" s="1"/>
  <c r="K203" i="12"/>
  <c r="H203" i="12"/>
  <c r="T203" i="12"/>
  <c r="X203" i="12"/>
  <c r="U203" i="12"/>
  <c r="Q203" i="12"/>
  <c r="P203" i="12"/>
  <c r="N203" i="12"/>
  <c r="M203" i="12"/>
  <c r="O203" i="12" s="1"/>
  <c r="L203" i="12"/>
  <c r="V203" i="12"/>
  <c r="S203" i="12"/>
  <c r="W203" i="12" s="1"/>
  <c r="K210" i="12"/>
  <c r="H210" i="12"/>
  <c r="T210" i="12"/>
  <c r="X210" i="12"/>
  <c r="U210" i="12"/>
  <c r="Q210" i="12"/>
  <c r="P210" i="12"/>
  <c r="N210" i="12"/>
  <c r="M210" i="12"/>
  <c r="O210" i="12" s="1"/>
  <c r="L210" i="12"/>
  <c r="V210" i="12"/>
  <c r="S210" i="12"/>
  <c r="W210" i="12" s="1"/>
  <c r="K216" i="12"/>
  <c r="H216" i="12"/>
  <c r="T216" i="12"/>
  <c r="X216" i="12"/>
  <c r="U216" i="12"/>
  <c r="Q216" i="12"/>
  <c r="P216" i="12"/>
  <c r="N216" i="12"/>
  <c r="M216" i="12"/>
  <c r="O216" i="12" s="1"/>
  <c r="L216" i="12"/>
  <c r="V216" i="12"/>
  <c r="S216" i="12"/>
  <c r="W216" i="12" s="1"/>
  <c r="K221" i="12"/>
  <c r="H221" i="12"/>
  <c r="T221" i="12"/>
  <c r="X221" i="12"/>
  <c r="U221" i="12"/>
  <c r="Q221" i="12"/>
  <c r="P221" i="12"/>
  <c r="N221" i="12"/>
  <c r="M221" i="12"/>
  <c r="O221" i="12" s="1"/>
  <c r="L221" i="12"/>
  <c r="V221" i="12"/>
  <c r="S221" i="12"/>
  <c r="W221" i="12" s="1"/>
  <c r="K227" i="12"/>
  <c r="H227" i="12"/>
  <c r="T227" i="12"/>
  <c r="X227" i="12"/>
  <c r="U227" i="12"/>
  <c r="Q227" i="12"/>
  <c r="P227" i="12"/>
  <c r="N227" i="12"/>
  <c r="M227" i="12"/>
  <c r="O227" i="12" s="1"/>
  <c r="L227" i="12"/>
  <c r="V227" i="12"/>
  <c r="S227" i="12"/>
  <c r="W227" i="12" s="1"/>
  <c r="K231" i="12"/>
  <c r="H231" i="12"/>
  <c r="T231" i="12"/>
  <c r="X231" i="12"/>
  <c r="U231" i="12"/>
  <c r="Q231" i="12"/>
  <c r="P231" i="12"/>
  <c r="N231" i="12"/>
  <c r="M231" i="12"/>
  <c r="O231" i="12" s="1"/>
  <c r="L231" i="12"/>
  <c r="V231" i="12"/>
  <c r="S231" i="12"/>
  <c r="W231" i="12" s="1"/>
  <c r="K115" i="12"/>
  <c r="H115" i="12"/>
  <c r="T115" i="12"/>
  <c r="X115" i="12"/>
  <c r="U115" i="12"/>
  <c r="Q115" i="12"/>
  <c r="P115" i="12"/>
  <c r="N115" i="12"/>
  <c r="M115" i="12"/>
  <c r="O115" i="12" s="1"/>
  <c r="L115" i="12"/>
  <c r="V115" i="12"/>
  <c r="S115" i="12"/>
  <c r="W115" i="12" s="1"/>
  <c r="K225" i="12"/>
  <c r="H225" i="12"/>
  <c r="T225" i="12"/>
  <c r="X225" i="12"/>
  <c r="U225" i="12"/>
  <c r="Q225" i="12"/>
  <c r="P225" i="12"/>
  <c r="N225" i="12"/>
  <c r="M225" i="12"/>
  <c r="O225" i="12" s="1"/>
  <c r="L225" i="12"/>
  <c r="V225" i="12"/>
  <c r="S225" i="12"/>
  <c r="W225" i="12" s="1"/>
  <c r="K229" i="12"/>
  <c r="H229" i="12"/>
  <c r="T229" i="12"/>
  <c r="X229" i="12"/>
  <c r="U229" i="12"/>
  <c r="Q229" i="12"/>
  <c r="P229" i="12"/>
  <c r="N229" i="12"/>
  <c r="M229" i="12"/>
  <c r="O229" i="12" s="1"/>
  <c r="L229" i="12"/>
  <c r="V229" i="12"/>
  <c r="S229" i="12"/>
  <c r="W229" i="12" s="1"/>
  <c r="K232" i="12"/>
  <c r="H232" i="12"/>
  <c r="T232" i="12"/>
  <c r="X232" i="12"/>
  <c r="U232" i="12"/>
  <c r="Q232" i="12"/>
  <c r="P232" i="12"/>
  <c r="N232" i="12"/>
  <c r="M232" i="12"/>
  <c r="O232" i="12" s="1"/>
  <c r="L232" i="12"/>
  <c r="V232" i="12"/>
  <c r="S232" i="12"/>
  <c r="W232" i="12" s="1"/>
  <c r="K234" i="12"/>
  <c r="H234" i="12"/>
  <c r="T234" i="12"/>
  <c r="X234" i="12"/>
  <c r="U234" i="12"/>
  <c r="Q234" i="12"/>
  <c r="P234" i="12"/>
  <c r="N234" i="12"/>
  <c r="M234" i="12"/>
  <c r="O234" i="12" s="1"/>
  <c r="L234" i="12"/>
  <c r="V234" i="12"/>
  <c r="S234" i="12"/>
  <c r="W234" i="12" s="1"/>
  <c r="K236" i="12"/>
  <c r="H236" i="12"/>
  <c r="T236" i="12"/>
  <c r="X236" i="12"/>
  <c r="U236" i="12"/>
  <c r="Q236" i="12"/>
  <c r="P236" i="12"/>
  <c r="N236" i="12"/>
  <c r="M236" i="12"/>
  <c r="O236" i="12" s="1"/>
  <c r="L236" i="12"/>
  <c r="V236" i="12"/>
  <c r="S236" i="12"/>
  <c r="W236" i="12" s="1"/>
  <c r="K240" i="12"/>
  <c r="H240" i="12"/>
  <c r="T240" i="12"/>
  <c r="X240" i="12"/>
  <c r="U240" i="12"/>
  <c r="Q240" i="12"/>
  <c r="P240" i="12"/>
  <c r="N240" i="12"/>
  <c r="M240" i="12"/>
  <c r="O240" i="12" s="1"/>
  <c r="L240" i="12"/>
  <c r="V240" i="12"/>
  <c r="S240" i="12"/>
  <c r="W240" i="12" s="1"/>
  <c r="K140" i="12"/>
  <c r="H140" i="12"/>
  <c r="T140" i="12"/>
  <c r="X140" i="12"/>
  <c r="U140" i="12"/>
  <c r="Q140" i="12"/>
  <c r="P140" i="12"/>
  <c r="N140" i="12"/>
  <c r="M140" i="12"/>
  <c r="O140" i="12" s="1"/>
  <c r="L140" i="12"/>
  <c r="V140" i="12"/>
  <c r="S140" i="12"/>
  <c r="W140" i="12" s="1"/>
  <c r="K239" i="12"/>
  <c r="H239" i="12"/>
  <c r="T239" i="12"/>
  <c r="X239" i="12"/>
  <c r="U239" i="12"/>
  <c r="Q239" i="12"/>
  <c r="P239" i="12"/>
  <c r="N239" i="12"/>
  <c r="M239" i="12"/>
  <c r="O239" i="12" s="1"/>
  <c r="L239" i="12"/>
  <c r="V239" i="12"/>
  <c r="S239" i="12"/>
  <c r="W239" i="12" s="1"/>
  <c r="K243" i="12"/>
  <c r="H243" i="12"/>
  <c r="T243" i="12"/>
  <c r="X243" i="12"/>
  <c r="U243" i="12"/>
  <c r="Q243" i="12"/>
  <c r="P243" i="12"/>
  <c r="N243" i="12"/>
  <c r="M243" i="12"/>
  <c r="O243" i="12" s="1"/>
  <c r="L243" i="12"/>
  <c r="V243" i="12"/>
  <c r="S243" i="12"/>
  <c r="W243" i="12" s="1"/>
  <c r="K245" i="12"/>
  <c r="H245" i="12"/>
  <c r="T245" i="12"/>
  <c r="X245" i="12"/>
  <c r="U245" i="12"/>
  <c r="Q245" i="12"/>
  <c r="P245" i="12"/>
  <c r="N245" i="12"/>
  <c r="M245" i="12"/>
  <c r="O245" i="12" s="1"/>
  <c r="L245" i="12"/>
  <c r="V245" i="12"/>
  <c r="S245" i="12"/>
  <c r="W245" i="12" s="1"/>
  <c r="K247" i="12"/>
  <c r="H247" i="12"/>
  <c r="T247" i="12"/>
  <c r="X247" i="12"/>
  <c r="U247" i="12"/>
  <c r="Q247" i="12"/>
  <c r="P247" i="12"/>
  <c r="N247" i="12"/>
  <c r="M247" i="12"/>
  <c r="O247" i="12" s="1"/>
  <c r="L247" i="12"/>
  <c r="V247" i="12"/>
  <c r="S247" i="12"/>
  <c r="W247" i="12" s="1"/>
  <c r="K249" i="12"/>
  <c r="H249" i="12"/>
  <c r="T249" i="12"/>
  <c r="X249" i="12"/>
  <c r="U249" i="12"/>
  <c r="Q249" i="12"/>
  <c r="P249" i="12"/>
  <c r="N249" i="12"/>
  <c r="M249" i="12"/>
  <c r="O249" i="12" s="1"/>
  <c r="L249" i="12"/>
  <c r="V249" i="12"/>
  <c r="S249" i="12"/>
  <c r="W249" i="12" s="1"/>
  <c r="K250" i="12"/>
  <c r="H250" i="12"/>
  <c r="T250" i="12"/>
  <c r="X250" i="12"/>
  <c r="U250" i="12"/>
  <c r="Q250" i="12"/>
  <c r="P250" i="12"/>
  <c r="N250" i="12"/>
  <c r="M250" i="12"/>
  <c r="O250" i="12" s="1"/>
  <c r="L250" i="12"/>
  <c r="V250" i="12"/>
  <c r="S250" i="12"/>
  <c r="W250" i="12" s="1"/>
  <c r="K6" i="9"/>
  <c r="H6" i="9"/>
  <c r="T6" i="9"/>
  <c r="X6" i="9"/>
  <c r="U6" i="9"/>
  <c r="Q6" i="9"/>
  <c r="P6" i="9"/>
  <c r="N6" i="9"/>
  <c r="M6" i="9"/>
  <c r="L6" i="9"/>
  <c r="O6" i="9" s="1"/>
  <c r="V6" i="9"/>
  <c r="S6" i="9"/>
  <c r="W6" i="9" s="1"/>
  <c r="K7" i="9"/>
  <c r="H7" i="9"/>
  <c r="T7" i="9"/>
  <c r="X7" i="9"/>
  <c r="U7" i="9"/>
  <c r="Q7" i="9"/>
  <c r="P7" i="9"/>
  <c r="N7" i="9"/>
  <c r="M7" i="9"/>
  <c r="L7" i="9"/>
  <c r="O7" i="9" s="1"/>
  <c r="V7" i="9"/>
  <c r="S7" i="9"/>
  <c r="W7" i="9" s="1"/>
  <c r="K8" i="9"/>
  <c r="H8" i="9"/>
  <c r="T8" i="9"/>
  <c r="X8" i="9"/>
  <c r="U8" i="9"/>
  <c r="Q8" i="9"/>
  <c r="P8" i="9"/>
  <c r="N8" i="9"/>
  <c r="M8" i="9"/>
  <c r="L8" i="9"/>
  <c r="O8" i="9" s="1"/>
  <c r="V8" i="9"/>
  <c r="S8" i="9"/>
  <c r="W8" i="9" s="1"/>
  <c r="K9" i="9"/>
  <c r="H9" i="9"/>
  <c r="T9" i="9"/>
  <c r="X9" i="9"/>
  <c r="U9" i="9"/>
  <c r="Q9" i="9"/>
  <c r="P9" i="9"/>
  <c r="N9" i="9"/>
  <c r="M9" i="9"/>
  <c r="L9" i="9"/>
  <c r="O9" i="9" s="1"/>
  <c r="V9" i="9"/>
  <c r="S9" i="9"/>
  <c r="W9" i="9" s="1"/>
  <c r="K10" i="9"/>
  <c r="H10" i="9"/>
  <c r="T10" i="9"/>
  <c r="X10" i="9"/>
  <c r="U10" i="9"/>
  <c r="Q10" i="9"/>
  <c r="P10" i="9"/>
  <c r="N10" i="9"/>
  <c r="M10" i="9"/>
  <c r="L10" i="9"/>
  <c r="O10" i="9" s="1"/>
  <c r="V10" i="9"/>
  <c r="S10" i="9"/>
  <c r="W10" i="9" s="1"/>
  <c r="K11" i="9"/>
  <c r="H11" i="9"/>
  <c r="T11" i="9"/>
  <c r="X11" i="9"/>
  <c r="U11" i="9"/>
  <c r="Q11" i="9"/>
  <c r="P11" i="9"/>
  <c r="N11" i="9"/>
  <c r="M11" i="9"/>
  <c r="L11" i="9"/>
  <c r="O11" i="9" s="1"/>
  <c r="V11" i="9"/>
  <c r="S11" i="9"/>
  <c r="W11" i="9" s="1"/>
  <c r="K12" i="9"/>
  <c r="H12" i="9"/>
  <c r="T12" i="9"/>
  <c r="X12" i="9"/>
  <c r="U12" i="9"/>
  <c r="Q12" i="9"/>
  <c r="P12" i="9"/>
  <c r="N12" i="9"/>
  <c r="M12" i="9"/>
  <c r="L12" i="9"/>
  <c r="O12" i="9" s="1"/>
  <c r="V12" i="9"/>
  <c r="S12" i="9"/>
  <c r="W12" i="9" s="1"/>
  <c r="K13" i="9"/>
  <c r="H13" i="9"/>
  <c r="T13" i="9"/>
  <c r="X13" i="9"/>
  <c r="U13" i="9"/>
  <c r="Q13" i="9"/>
  <c r="P13" i="9"/>
  <c r="N13" i="9"/>
  <c r="M13" i="9"/>
  <c r="L13" i="9"/>
  <c r="O13" i="9" s="1"/>
  <c r="V13" i="9"/>
  <c r="S13" i="9"/>
  <c r="W13" i="9" s="1"/>
  <c r="K14" i="9"/>
  <c r="H14" i="9"/>
  <c r="T14" i="9"/>
  <c r="X14" i="9"/>
  <c r="U14" i="9"/>
  <c r="Q14" i="9"/>
  <c r="P14" i="9"/>
  <c r="N14" i="9"/>
  <c r="M14" i="9"/>
  <c r="L14" i="9"/>
  <c r="O14" i="9" s="1"/>
  <c r="V14" i="9"/>
  <c r="S14" i="9"/>
  <c r="W14" i="9" s="1"/>
  <c r="K15" i="9"/>
  <c r="H15" i="9"/>
  <c r="T15" i="9"/>
  <c r="X15" i="9"/>
  <c r="U15" i="9"/>
  <c r="Q15" i="9"/>
  <c r="P15" i="9"/>
  <c r="N15" i="9"/>
  <c r="M15" i="9"/>
  <c r="L15" i="9"/>
  <c r="O15" i="9" s="1"/>
  <c r="V15" i="9"/>
  <c r="S15" i="9"/>
  <c r="W15" i="9" s="1"/>
  <c r="K16" i="9"/>
  <c r="H16" i="9"/>
  <c r="T16" i="9"/>
  <c r="X16" i="9"/>
  <c r="U16" i="9"/>
  <c r="Q16" i="9"/>
  <c r="P16" i="9"/>
  <c r="N16" i="9"/>
  <c r="M16" i="9"/>
  <c r="L16" i="9"/>
  <c r="O16" i="9" s="1"/>
  <c r="V16" i="9"/>
  <c r="S16" i="9"/>
  <c r="W16" i="9" s="1"/>
  <c r="K17" i="9"/>
  <c r="H17" i="9"/>
  <c r="T17" i="9"/>
  <c r="X17" i="9"/>
  <c r="U17" i="9"/>
  <c r="Q17" i="9"/>
  <c r="P17" i="9"/>
  <c r="N17" i="9"/>
  <c r="M17" i="9"/>
  <c r="L17" i="9"/>
  <c r="O17" i="9" s="1"/>
  <c r="V17" i="9"/>
  <c r="S17" i="9"/>
  <c r="W17" i="9" s="1"/>
  <c r="K18" i="9"/>
  <c r="H18" i="9"/>
  <c r="T18" i="9"/>
  <c r="X18" i="9"/>
  <c r="U18" i="9"/>
  <c r="Q18" i="9"/>
  <c r="P18" i="9"/>
  <c r="N18" i="9"/>
  <c r="M18" i="9"/>
  <c r="L18" i="9"/>
  <c r="O18" i="9" s="1"/>
  <c r="V18" i="9"/>
  <c r="S18" i="9"/>
  <c r="W18" i="9" s="1"/>
  <c r="K19" i="9"/>
  <c r="H19" i="9"/>
  <c r="T19" i="9"/>
  <c r="X19" i="9"/>
  <c r="U19" i="9"/>
  <c r="Q19" i="9"/>
  <c r="P19" i="9"/>
  <c r="N19" i="9"/>
  <c r="M19" i="9"/>
  <c r="L19" i="9"/>
  <c r="O19" i="9" s="1"/>
  <c r="V19" i="9"/>
  <c r="S19" i="9"/>
  <c r="W19" i="9" s="1"/>
  <c r="K20" i="9"/>
  <c r="H20" i="9"/>
  <c r="T20" i="9"/>
  <c r="X20" i="9"/>
  <c r="U20" i="9"/>
  <c r="Q20" i="9"/>
  <c r="P20" i="9"/>
  <c r="N20" i="9"/>
  <c r="M20" i="9"/>
  <c r="L20" i="9"/>
  <c r="O20" i="9" s="1"/>
  <c r="V20" i="9"/>
  <c r="S20" i="9"/>
  <c r="W20" i="9" s="1"/>
  <c r="K21" i="9"/>
  <c r="H21" i="9"/>
  <c r="T21" i="9"/>
  <c r="X21" i="9"/>
  <c r="U21" i="9"/>
  <c r="Q21" i="9"/>
  <c r="P21" i="9"/>
  <c r="N21" i="9"/>
  <c r="M21" i="9"/>
  <c r="L21" i="9"/>
  <c r="O21" i="9" s="1"/>
  <c r="V21" i="9"/>
  <c r="S21" i="9"/>
  <c r="W21" i="9" s="1"/>
  <c r="K22" i="9"/>
  <c r="H22" i="9"/>
  <c r="T22" i="9"/>
  <c r="X22" i="9"/>
  <c r="U22" i="9"/>
  <c r="Q22" i="9"/>
  <c r="P22" i="9"/>
  <c r="N22" i="9"/>
  <c r="M22" i="9"/>
  <c r="L22" i="9"/>
  <c r="O22" i="9" s="1"/>
  <c r="V22" i="9"/>
  <c r="S22" i="9"/>
  <c r="W22" i="9" s="1"/>
  <c r="K23" i="9"/>
  <c r="H23" i="9"/>
  <c r="T23" i="9"/>
  <c r="X23" i="9"/>
  <c r="U23" i="9"/>
  <c r="Q23" i="9"/>
  <c r="P23" i="9"/>
  <c r="N23" i="9"/>
  <c r="M23" i="9"/>
  <c r="L23" i="9"/>
  <c r="O23" i="9" s="1"/>
  <c r="V23" i="9"/>
  <c r="S23" i="9"/>
  <c r="W23" i="9" s="1"/>
  <c r="K24" i="9"/>
  <c r="H24" i="9"/>
  <c r="T24" i="9"/>
  <c r="X24" i="9"/>
  <c r="U24" i="9"/>
  <c r="Q24" i="9"/>
  <c r="P24" i="9"/>
  <c r="N24" i="9"/>
  <c r="M24" i="9"/>
  <c r="L24" i="9"/>
  <c r="O24" i="9" s="1"/>
  <c r="V24" i="9"/>
  <c r="S24" i="9"/>
  <c r="W24" i="9" s="1"/>
  <c r="K25" i="9"/>
  <c r="H25" i="9"/>
  <c r="T25" i="9"/>
  <c r="X25" i="9"/>
  <c r="U25" i="9"/>
  <c r="Q25" i="9"/>
  <c r="P25" i="9"/>
  <c r="N25" i="9"/>
  <c r="M25" i="9"/>
  <c r="L25" i="9"/>
  <c r="O25" i="9" s="1"/>
  <c r="V25" i="9"/>
  <c r="S25" i="9"/>
  <c r="W25" i="9" s="1"/>
  <c r="K26" i="9"/>
  <c r="H26" i="9"/>
  <c r="T26" i="9"/>
  <c r="X26" i="9"/>
  <c r="U26" i="9"/>
  <c r="Q26" i="9"/>
  <c r="P26" i="9"/>
  <c r="N26" i="9"/>
  <c r="M26" i="9"/>
  <c r="L26" i="9"/>
  <c r="O26" i="9" s="1"/>
  <c r="V26" i="9"/>
  <c r="S26" i="9"/>
  <c r="W26" i="9" s="1"/>
  <c r="K27" i="9"/>
  <c r="H27" i="9"/>
  <c r="T27" i="9"/>
  <c r="X27" i="9"/>
  <c r="U27" i="9"/>
  <c r="Q27" i="9"/>
  <c r="P27" i="9"/>
  <c r="N27" i="9"/>
  <c r="M27" i="9"/>
  <c r="L27" i="9"/>
  <c r="O27" i="9" s="1"/>
  <c r="V27" i="9"/>
  <c r="S27" i="9"/>
  <c r="W27" i="9" s="1"/>
  <c r="K28" i="9"/>
  <c r="H28" i="9"/>
  <c r="T28" i="9"/>
  <c r="X28" i="9"/>
  <c r="U28" i="9"/>
  <c r="Q28" i="9"/>
  <c r="P28" i="9"/>
  <c r="N28" i="9"/>
  <c r="M28" i="9"/>
  <c r="L28" i="9"/>
  <c r="O28" i="9" s="1"/>
  <c r="V28" i="9"/>
  <c r="S28" i="9"/>
  <c r="W28" i="9" s="1"/>
  <c r="K29" i="9"/>
  <c r="H29" i="9"/>
  <c r="T29" i="9"/>
  <c r="X29" i="9"/>
  <c r="U29" i="9"/>
  <c r="Q29" i="9"/>
  <c r="P29" i="9"/>
  <c r="N29" i="9"/>
  <c r="M29" i="9"/>
  <c r="L29" i="9"/>
  <c r="O29" i="9" s="1"/>
  <c r="V29" i="9"/>
  <c r="S29" i="9"/>
  <c r="W29" i="9" s="1"/>
  <c r="K30" i="9"/>
  <c r="H30" i="9"/>
  <c r="T30" i="9"/>
  <c r="X30" i="9"/>
  <c r="U30" i="9"/>
  <c r="Q30" i="9"/>
  <c r="P30" i="9"/>
  <c r="N30" i="9"/>
  <c r="M30" i="9"/>
  <c r="L30" i="9"/>
  <c r="O30" i="9" s="1"/>
  <c r="V30" i="9"/>
  <c r="S30" i="9"/>
  <c r="W30" i="9" s="1"/>
  <c r="K31" i="9"/>
  <c r="H31" i="9"/>
  <c r="T31" i="9"/>
  <c r="X31" i="9"/>
  <c r="U31" i="9"/>
  <c r="Q31" i="9"/>
  <c r="P31" i="9"/>
  <c r="N31" i="9"/>
  <c r="M31" i="9"/>
  <c r="L31" i="9"/>
  <c r="O31" i="9" s="1"/>
  <c r="V31" i="9"/>
  <c r="S31" i="9"/>
  <c r="W31" i="9" s="1"/>
  <c r="K32" i="9"/>
  <c r="H32" i="9"/>
  <c r="T32" i="9"/>
  <c r="X32" i="9"/>
  <c r="U32" i="9"/>
  <c r="Q32" i="9"/>
  <c r="P32" i="9"/>
  <c r="N32" i="9"/>
  <c r="M32" i="9"/>
  <c r="L32" i="9"/>
  <c r="O32" i="9" s="1"/>
  <c r="V32" i="9"/>
  <c r="S32" i="9"/>
  <c r="W32" i="9" s="1"/>
  <c r="K33" i="9"/>
  <c r="H33" i="9"/>
  <c r="T33" i="9"/>
  <c r="X33" i="9"/>
  <c r="U33" i="9"/>
  <c r="Q33" i="9"/>
  <c r="P33" i="9"/>
  <c r="N33" i="9"/>
  <c r="M33" i="9"/>
  <c r="L33" i="9"/>
  <c r="O33" i="9" s="1"/>
  <c r="V33" i="9"/>
  <c r="S33" i="9"/>
  <c r="W33" i="9" s="1"/>
  <c r="K34" i="9"/>
  <c r="H34" i="9"/>
  <c r="T34" i="9"/>
  <c r="X34" i="9"/>
  <c r="U34" i="9"/>
  <c r="Q34" i="9"/>
  <c r="P34" i="9"/>
  <c r="N34" i="9"/>
  <c r="M34" i="9"/>
  <c r="L34" i="9"/>
  <c r="O34" i="9" s="1"/>
  <c r="V34" i="9"/>
  <c r="S34" i="9"/>
  <c r="W34" i="9" s="1"/>
  <c r="K35" i="9"/>
  <c r="H35" i="9"/>
  <c r="T35" i="9"/>
  <c r="X35" i="9"/>
  <c r="U35" i="9"/>
  <c r="Q35" i="9"/>
  <c r="P35" i="9"/>
  <c r="N35" i="9"/>
  <c r="M35" i="9"/>
  <c r="L35" i="9"/>
  <c r="O35" i="9" s="1"/>
  <c r="V35" i="9"/>
  <c r="S35" i="9"/>
  <c r="W35" i="9" s="1"/>
  <c r="K36" i="9"/>
  <c r="H36" i="9"/>
  <c r="T36" i="9"/>
  <c r="X36" i="9"/>
  <c r="U36" i="9"/>
  <c r="Q36" i="9"/>
  <c r="P36" i="9"/>
  <c r="N36" i="9"/>
  <c r="M36" i="9"/>
  <c r="L36" i="9"/>
  <c r="O36" i="9" s="1"/>
  <c r="V36" i="9"/>
  <c r="S36" i="9"/>
  <c r="W36" i="9" s="1"/>
  <c r="K37" i="9"/>
  <c r="H37" i="9"/>
  <c r="T37" i="9"/>
  <c r="X37" i="9"/>
  <c r="U37" i="9"/>
  <c r="Q37" i="9"/>
  <c r="P37" i="9"/>
  <c r="N37" i="9"/>
  <c r="M37" i="9"/>
  <c r="L37" i="9"/>
  <c r="O37" i="9" s="1"/>
  <c r="V37" i="9"/>
  <c r="S37" i="9"/>
  <c r="W37" i="9" s="1"/>
  <c r="K38" i="9"/>
  <c r="H38" i="9"/>
  <c r="T38" i="9"/>
  <c r="X38" i="9"/>
  <c r="U38" i="9"/>
  <c r="Q38" i="9"/>
  <c r="P38" i="9"/>
  <c r="N38" i="9"/>
  <c r="M38" i="9"/>
  <c r="L38" i="9"/>
  <c r="O38" i="9" s="1"/>
  <c r="V38" i="9"/>
  <c r="S38" i="9"/>
  <c r="W38" i="9" s="1"/>
  <c r="K39" i="9"/>
  <c r="H39" i="9"/>
  <c r="T39" i="9"/>
  <c r="X39" i="9"/>
  <c r="U39" i="9"/>
  <c r="Q39" i="9"/>
  <c r="P39" i="9"/>
  <c r="N39" i="9"/>
  <c r="M39" i="9"/>
  <c r="L39" i="9"/>
  <c r="O39" i="9" s="1"/>
  <c r="V39" i="9"/>
  <c r="S39" i="9"/>
  <c r="W39" i="9" s="1"/>
  <c r="K40" i="9"/>
  <c r="H40" i="9"/>
  <c r="T40" i="9"/>
  <c r="X40" i="9"/>
  <c r="U40" i="9"/>
  <c r="Q40" i="9"/>
  <c r="P40" i="9"/>
  <c r="N40" i="9"/>
  <c r="M40" i="9"/>
  <c r="L40" i="9"/>
  <c r="O40" i="9" s="1"/>
  <c r="V40" i="9"/>
  <c r="S40" i="9"/>
  <c r="W40" i="9" s="1"/>
  <c r="K41" i="9"/>
  <c r="H41" i="9"/>
  <c r="T41" i="9"/>
  <c r="X41" i="9"/>
  <c r="U41" i="9"/>
  <c r="Q41" i="9"/>
  <c r="P41" i="9"/>
  <c r="N41" i="9"/>
  <c r="M41" i="9"/>
  <c r="L41" i="9"/>
  <c r="O41" i="9" s="1"/>
  <c r="V41" i="9"/>
  <c r="S41" i="9"/>
  <c r="W41" i="9" s="1"/>
  <c r="K42" i="9"/>
  <c r="H42" i="9"/>
  <c r="T42" i="9"/>
  <c r="X42" i="9"/>
  <c r="U42" i="9"/>
  <c r="Q42" i="9"/>
  <c r="P42" i="9"/>
  <c r="N42" i="9"/>
  <c r="M42" i="9"/>
  <c r="L42" i="9"/>
  <c r="O42" i="9" s="1"/>
  <c r="V42" i="9"/>
  <c r="S42" i="9"/>
  <c r="W42" i="9" s="1"/>
  <c r="K43" i="9"/>
  <c r="H43" i="9"/>
  <c r="T43" i="9"/>
  <c r="X43" i="9"/>
  <c r="U43" i="9"/>
  <c r="Q43" i="9"/>
  <c r="P43" i="9"/>
  <c r="N43" i="9"/>
  <c r="M43" i="9"/>
  <c r="L43" i="9"/>
  <c r="O43" i="9" s="1"/>
  <c r="V43" i="9"/>
  <c r="S43" i="9"/>
  <c r="W43" i="9" s="1"/>
  <c r="K44" i="9"/>
  <c r="H44" i="9"/>
  <c r="T44" i="9"/>
  <c r="X44" i="9"/>
  <c r="U44" i="9"/>
  <c r="Q44" i="9"/>
  <c r="P44" i="9"/>
  <c r="N44" i="9"/>
  <c r="M44" i="9"/>
  <c r="L44" i="9"/>
  <c r="O44" i="9" s="1"/>
  <c r="V44" i="9"/>
  <c r="S44" i="9"/>
  <c r="W44" i="9" s="1"/>
  <c r="K45" i="9"/>
  <c r="H45" i="9"/>
  <c r="T45" i="9"/>
  <c r="X45" i="9"/>
  <c r="U45" i="9"/>
  <c r="Q45" i="9"/>
  <c r="P45" i="9"/>
  <c r="N45" i="9"/>
  <c r="M45" i="9"/>
  <c r="L45" i="9"/>
  <c r="O45" i="9" s="1"/>
  <c r="V45" i="9"/>
  <c r="S45" i="9"/>
  <c r="W45" i="9" s="1"/>
  <c r="K46" i="9"/>
  <c r="H46" i="9"/>
  <c r="T46" i="9"/>
  <c r="X46" i="9"/>
  <c r="U46" i="9"/>
  <c r="Q46" i="9"/>
  <c r="P46" i="9"/>
  <c r="N46" i="9"/>
  <c r="M46" i="9"/>
  <c r="L46" i="9"/>
  <c r="O46" i="9" s="1"/>
  <c r="V46" i="9"/>
  <c r="S46" i="9"/>
  <c r="W46" i="9" s="1"/>
  <c r="K47" i="9"/>
  <c r="H47" i="9"/>
  <c r="T47" i="9"/>
  <c r="X47" i="9"/>
  <c r="U47" i="9"/>
  <c r="Q47" i="9"/>
  <c r="P47" i="9"/>
  <c r="N47" i="9"/>
  <c r="M47" i="9"/>
  <c r="L47" i="9"/>
  <c r="O47" i="9" s="1"/>
  <c r="V47" i="9"/>
  <c r="S47" i="9"/>
  <c r="W47" i="9" s="1"/>
  <c r="K48" i="9"/>
  <c r="H48" i="9"/>
  <c r="T48" i="9"/>
  <c r="X48" i="9"/>
  <c r="U48" i="9"/>
  <c r="Q48" i="9"/>
  <c r="P48" i="9"/>
  <c r="N48" i="9"/>
  <c r="M48" i="9"/>
  <c r="L48" i="9"/>
  <c r="O48" i="9" s="1"/>
  <c r="V48" i="9"/>
  <c r="S48" i="9"/>
  <c r="W48" i="9" s="1"/>
  <c r="K49" i="9"/>
  <c r="H49" i="9"/>
  <c r="T49" i="9"/>
  <c r="X49" i="9"/>
  <c r="U49" i="9"/>
  <c r="Q49" i="9"/>
  <c r="P49" i="9"/>
  <c r="N49" i="9"/>
  <c r="M49" i="9"/>
  <c r="L49" i="9"/>
  <c r="O49" i="9" s="1"/>
  <c r="V49" i="9"/>
  <c r="S49" i="9"/>
  <c r="W49" i="9" s="1"/>
  <c r="K50" i="9"/>
  <c r="H50" i="9"/>
  <c r="T50" i="9"/>
  <c r="X50" i="9"/>
  <c r="U50" i="9"/>
  <c r="Q50" i="9"/>
  <c r="P50" i="9"/>
  <c r="N50" i="9"/>
  <c r="M50" i="9"/>
  <c r="L50" i="9"/>
  <c r="O50" i="9" s="1"/>
  <c r="V50" i="9"/>
  <c r="S50" i="9"/>
  <c r="W50" i="9" s="1"/>
  <c r="K51" i="9"/>
  <c r="H51" i="9"/>
  <c r="T51" i="9"/>
  <c r="X51" i="9"/>
  <c r="U51" i="9"/>
  <c r="Q51" i="9"/>
  <c r="P51" i="9"/>
  <c r="N51" i="9"/>
  <c r="M51" i="9"/>
  <c r="L51" i="9"/>
  <c r="O51" i="9" s="1"/>
  <c r="V51" i="9"/>
  <c r="S51" i="9"/>
  <c r="W51" i="9" s="1"/>
  <c r="K52" i="9"/>
  <c r="H52" i="9"/>
  <c r="T52" i="9"/>
  <c r="X52" i="9"/>
  <c r="U52" i="9"/>
  <c r="Q52" i="9"/>
  <c r="P52" i="9"/>
  <c r="N52" i="9"/>
  <c r="M52" i="9"/>
  <c r="L52" i="9"/>
  <c r="O52" i="9" s="1"/>
  <c r="V52" i="9"/>
  <c r="S52" i="9"/>
  <c r="W52" i="9" s="1"/>
  <c r="K53" i="9"/>
  <c r="H53" i="9"/>
  <c r="T53" i="9"/>
  <c r="X53" i="9"/>
  <c r="U53" i="9"/>
  <c r="Q53" i="9"/>
  <c r="P53" i="9"/>
  <c r="N53" i="9"/>
  <c r="M53" i="9"/>
  <c r="L53" i="9"/>
  <c r="O53" i="9" s="1"/>
  <c r="V53" i="9"/>
  <c r="S53" i="9"/>
  <c r="W53" i="9" s="1"/>
  <c r="K54" i="9"/>
  <c r="H54" i="9"/>
  <c r="T54" i="9"/>
  <c r="X54" i="9"/>
  <c r="U54" i="9"/>
  <c r="Q54" i="9"/>
  <c r="P54" i="9"/>
  <c r="N54" i="9"/>
  <c r="M54" i="9"/>
  <c r="L54" i="9"/>
  <c r="O54" i="9" s="1"/>
  <c r="V54" i="9"/>
  <c r="S54" i="9"/>
  <c r="W54" i="9" s="1"/>
  <c r="K55" i="9"/>
  <c r="H55" i="9"/>
  <c r="T55" i="9"/>
  <c r="X55" i="9"/>
  <c r="U55" i="9"/>
  <c r="Q55" i="9"/>
  <c r="P55" i="9"/>
  <c r="N55" i="9"/>
  <c r="M55" i="9"/>
  <c r="L55" i="9"/>
  <c r="O55" i="9" s="1"/>
  <c r="V55" i="9"/>
  <c r="S55" i="9"/>
  <c r="W55" i="9" s="1"/>
  <c r="K56" i="9"/>
  <c r="H56" i="9"/>
  <c r="T56" i="9"/>
  <c r="X56" i="9"/>
  <c r="U56" i="9"/>
  <c r="Q56" i="9"/>
  <c r="P56" i="9"/>
  <c r="N56" i="9"/>
  <c r="M56" i="9"/>
  <c r="L56" i="9"/>
  <c r="O56" i="9" s="1"/>
  <c r="V56" i="9"/>
  <c r="S56" i="9"/>
  <c r="W56" i="9" s="1"/>
  <c r="K57" i="9"/>
  <c r="H57" i="9"/>
  <c r="T57" i="9"/>
  <c r="X57" i="9"/>
  <c r="U57" i="9"/>
  <c r="Q57" i="9"/>
  <c r="P57" i="9"/>
  <c r="N57" i="9"/>
  <c r="M57" i="9"/>
  <c r="L57" i="9"/>
  <c r="O57" i="9" s="1"/>
  <c r="V57" i="9"/>
  <c r="S57" i="9"/>
  <c r="W57" i="9" s="1"/>
  <c r="K58" i="9"/>
  <c r="H58" i="9"/>
  <c r="T58" i="9"/>
  <c r="X58" i="9"/>
  <c r="U58" i="9"/>
  <c r="Q58" i="9"/>
  <c r="P58" i="9"/>
  <c r="N58" i="9"/>
  <c r="M58" i="9"/>
  <c r="L58" i="9"/>
  <c r="O58" i="9" s="1"/>
  <c r="V58" i="9"/>
  <c r="S58" i="9"/>
  <c r="W58" i="9" s="1"/>
  <c r="K59" i="9"/>
  <c r="H59" i="9"/>
  <c r="T59" i="9"/>
  <c r="X59" i="9"/>
  <c r="U59" i="9"/>
  <c r="Q59" i="9"/>
  <c r="P59" i="9"/>
  <c r="N59" i="9"/>
  <c r="M59" i="9"/>
  <c r="L59" i="9"/>
  <c r="O59" i="9" s="1"/>
  <c r="V59" i="9"/>
  <c r="S59" i="9"/>
  <c r="W59" i="9" s="1"/>
  <c r="K60" i="9"/>
  <c r="H60" i="9"/>
  <c r="T60" i="9"/>
  <c r="X60" i="9"/>
  <c r="U60" i="9"/>
  <c r="Q60" i="9"/>
  <c r="P60" i="9"/>
  <c r="N60" i="9"/>
  <c r="M60" i="9"/>
  <c r="L60" i="9"/>
  <c r="O60" i="9" s="1"/>
  <c r="V60" i="9"/>
  <c r="S60" i="9"/>
  <c r="W60" i="9" s="1"/>
  <c r="K61" i="9"/>
  <c r="H61" i="9"/>
  <c r="T61" i="9"/>
  <c r="X61" i="9"/>
  <c r="U61" i="9"/>
  <c r="Q61" i="9"/>
  <c r="P61" i="9"/>
  <c r="N61" i="9"/>
  <c r="M61" i="9"/>
  <c r="L61" i="9"/>
  <c r="O61" i="9" s="1"/>
  <c r="V61" i="9"/>
  <c r="S61" i="9"/>
  <c r="W61" i="9" s="1"/>
  <c r="K62" i="9"/>
  <c r="H62" i="9"/>
  <c r="T62" i="9"/>
  <c r="X62" i="9"/>
  <c r="U62" i="9"/>
  <c r="Q62" i="9"/>
  <c r="P62" i="9"/>
  <c r="N62" i="9"/>
  <c r="M62" i="9"/>
  <c r="L62" i="9"/>
  <c r="O62" i="9" s="1"/>
  <c r="V62" i="9"/>
  <c r="S62" i="9"/>
  <c r="W62" i="9" s="1"/>
  <c r="K63" i="9"/>
  <c r="H63" i="9"/>
  <c r="T63" i="9"/>
  <c r="X63" i="9"/>
  <c r="U63" i="9"/>
  <c r="Q63" i="9"/>
  <c r="P63" i="9"/>
  <c r="N63" i="9"/>
  <c r="M63" i="9"/>
  <c r="L63" i="9"/>
  <c r="O63" i="9" s="1"/>
  <c r="V63" i="9"/>
  <c r="S63" i="9"/>
  <c r="W63" i="9" s="1"/>
  <c r="K64" i="9"/>
  <c r="H64" i="9"/>
  <c r="T64" i="9"/>
  <c r="X64" i="9"/>
  <c r="U64" i="9"/>
  <c r="Q64" i="9"/>
  <c r="P64" i="9"/>
  <c r="N64" i="9"/>
  <c r="M64" i="9"/>
  <c r="L64" i="9"/>
  <c r="O64" i="9" s="1"/>
  <c r="V64" i="9"/>
  <c r="S64" i="9"/>
  <c r="W64" i="9" s="1"/>
  <c r="K65" i="9"/>
  <c r="H65" i="9"/>
  <c r="T65" i="9"/>
  <c r="X65" i="9"/>
  <c r="U65" i="9"/>
  <c r="Q65" i="9"/>
  <c r="P65" i="9"/>
  <c r="N65" i="9"/>
  <c r="M65" i="9"/>
  <c r="L65" i="9"/>
  <c r="O65" i="9" s="1"/>
  <c r="V65" i="9"/>
  <c r="S65" i="9"/>
  <c r="W65" i="9" s="1"/>
  <c r="K66" i="9"/>
  <c r="H66" i="9"/>
  <c r="T66" i="9"/>
  <c r="X66" i="9"/>
  <c r="U66" i="9"/>
  <c r="Q66" i="9"/>
  <c r="P66" i="9"/>
  <c r="N66" i="9"/>
  <c r="M66" i="9"/>
  <c r="L66" i="9"/>
  <c r="O66" i="9" s="1"/>
  <c r="V66" i="9"/>
  <c r="S66" i="9"/>
  <c r="W66" i="9" s="1"/>
  <c r="K67" i="9"/>
  <c r="H67" i="9"/>
  <c r="T67" i="9"/>
  <c r="X67" i="9"/>
  <c r="U67" i="9"/>
  <c r="Q67" i="9"/>
  <c r="P67" i="9"/>
  <c r="N67" i="9"/>
  <c r="M67" i="9"/>
  <c r="L67" i="9"/>
  <c r="O67" i="9" s="1"/>
  <c r="V67" i="9"/>
  <c r="S67" i="9"/>
  <c r="W67" i="9" s="1"/>
  <c r="K68" i="9"/>
  <c r="H68" i="9"/>
  <c r="T68" i="9"/>
  <c r="X68" i="9"/>
  <c r="U68" i="9"/>
  <c r="Q68" i="9"/>
  <c r="P68" i="9"/>
  <c r="N68" i="9"/>
  <c r="M68" i="9"/>
  <c r="L68" i="9"/>
  <c r="O68" i="9" s="1"/>
  <c r="V68" i="9"/>
  <c r="S68" i="9"/>
  <c r="W68" i="9" s="1"/>
  <c r="K69" i="9"/>
  <c r="H69" i="9"/>
  <c r="T69" i="9"/>
  <c r="X69" i="9"/>
  <c r="U69" i="9"/>
  <c r="Q69" i="9"/>
  <c r="P69" i="9"/>
  <c r="N69" i="9"/>
  <c r="M69" i="9"/>
  <c r="L69" i="9"/>
  <c r="O69" i="9" s="1"/>
  <c r="V69" i="9"/>
  <c r="S69" i="9"/>
  <c r="W69" i="9" s="1"/>
  <c r="K70" i="9"/>
  <c r="H70" i="9"/>
  <c r="T70" i="9"/>
  <c r="X70" i="9"/>
  <c r="U70" i="9"/>
  <c r="Q70" i="9"/>
  <c r="P70" i="9"/>
  <c r="N70" i="9"/>
  <c r="M70" i="9"/>
  <c r="L70" i="9"/>
  <c r="O70" i="9" s="1"/>
  <c r="V70" i="9"/>
  <c r="S70" i="9"/>
  <c r="W70" i="9" s="1"/>
  <c r="K71" i="9"/>
  <c r="H71" i="9"/>
  <c r="T71" i="9"/>
  <c r="X71" i="9"/>
  <c r="U71" i="9"/>
  <c r="Q71" i="9"/>
  <c r="P71" i="9"/>
  <c r="N71" i="9"/>
  <c r="M71" i="9"/>
  <c r="L71" i="9"/>
  <c r="O71" i="9" s="1"/>
  <c r="V71" i="9"/>
  <c r="S71" i="9"/>
  <c r="W71" i="9" s="1"/>
  <c r="K72" i="9"/>
  <c r="H72" i="9"/>
  <c r="T72" i="9"/>
  <c r="X72" i="9"/>
  <c r="U72" i="9"/>
  <c r="Q72" i="9"/>
  <c r="P72" i="9"/>
  <c r="N72" i="9"/>
  <c r="M72" i="9"/>
  <c r="L72" i="9"/>
  <c r="O72" i="9" s="1"/>
  <c r="V72" i="9"/>
  <c r="S72" i="9"/>
  <c r="W72" i="9" s="1"/>
  <c r="K73" i="9"/>
  <c r="H73" i="9"/>
  <c r="T73" i="9"/>
  <c r="X73" i="9"/>
  <c r="U73" i="9"/>
  <c r="Q73" i="9"/>
  <c r="P73" i="9"/>
  <c r="N73" i="9"/>
  <c r="M73" i="9"/>
  <c r="L73" i="9"/>
  <c r="O73" i="9" s="1"/>
  <c r="V73" i="9"/>
  <c r="S73" i="9"/>
  <c r="W73" i="9" s="1"/>
  <c r="K74" i="9"/>
  <c r="H74" i="9"/>
  <c r="T74" i="9"/>
  <c r="X74" i="9"/>
  <c r="U74" i="9"/>
  <c r="Q74" i="9"/>
  <c r="P74" i="9"/>
  <c r="N74" i="9"/>
  <c r="M74" i="9"/>
  <c r="L74" i="9"/>
  <c r="O74" i="9" s="1"/>
  <c r="V74" i="9"/>
  <c r="S74" i="9"/>
  <c r="W74" i="9" s="1"/>
  <c r="K75" i="9"/>
  <c r="H75" i="9"/>
  <c r="T75" i="9"/>
  <c r="X75" i="9"/>
  <c r="U75" i="9"/>
  <c r="Q75" i="9"/>
  <c r="P75" i="9"/>
  <c r="N75" i="9"/>
  <c r="M75" i="9"/>
  <c r="L75" i="9"/>
  <c r="O75" i="9" s="1"/>
  <c r="V75" i="9"/>
  <c r="S75" i="9"/>
  <c r="W75" i="9" s="1"/>
  <c r="K76" i="9"/>
  <c r="H76" i="9"/>
  <c r="T76" i="9"/>
  <c r="X76" i="9"/>
  <c r="U76" i="9"/>
  <c r="Q76" i="9"/>
  <c r="P76" i="9"/>
  <c r="N76" i="9"/>
  <c r="M76" i="9"/>
  <c r="L76" i="9"/>
  <c r="O76" i="9" s="1"/>
  <c r="V76" i="9"/>
  <c r="S76" i="9"/>
  <c r="W76" i="9" s="1"/>
  <c r="K77" i="9"/>
  <c r="H77" i="9"/>
  <c r="T77" i="9"/>
  <c r="X77" i="9"/>
  <c r="U77" i="9"/>
  <c r="Q77" i="9"/>
  <c r="P77" i="9"/>
  <c r="N77" i="9"/>
  <c r="M77" i="9"/>
  <c r="L77" i="9"/>
  <c r="O77" i="9" s="1"/>
  <c r="V77" i="9"/>
  <c r="S77" i="9"/>
  <c r="W77" i="9" s="1"/>
  <c r="K78" i="9"/>
  <c r="H78" i="9"/>
  <c r="T78" i="9"/>
  <c r="X78" i="9"/>
  <c r="U78" i="9"/>
  <c r="Q78" i="9"/>
  <c r="P78" i="9"/>
  <c r="N78" i="9"/>
  <c r="M78" i="9"/>
  <c r="L78" i="9"/>
  <c r="O78" i="9" s="1"/>
  <c r="V78" i="9"/>
  <c r="S78" i="9"/>
  <c r="W78" i="9" s="1"/>
  <c r="K79" i="9"/>
  <c r="H79" i="9"/>
  <c r="T79" i="9"/>
  <c r="X79" i="9"/>
  <c r="U79" i="9"/>
  <c r="Q79" i="9"/>
  <c r="P79" i="9"/>
  <c r="N79" i="9"/>
  <c r="M79" i="9"/>
  <c r="L79" i="9"/>
  <c r="O79" i="9" s="1"/>
  <c r="V79" i="9"/>
  <c r="S79" i="9"/>
  <c r="W79" i="9" s="1"/>
  <c r="K80" i="9"/>
  <c r="H80" i="9"/>
  <c r="T80" i="9"/>
  <c r="X80" i="9"/>
  <c r="U80" i="9"/>
  <c r="Q80" i="9"/>
  <c r="P80" i="9"/>
  <c r="N80" i="9"/>
  <c r="M80" i="9"/>
  <c r="L80" i="9"/>
  <c r="O80" i="9" s="1"/>
  <c r="V80" i="9"/>
  <c r="S80" i="9"/>
  <c r="W80" i="9" s="1"/>
  <c r="K81" i="9"/>
  <c r="H81" i="9"/>
  <c r="T81" i="9"/>
  <c r="X81" i="9"/>
  <c r="U81" i="9"/>
  <c r="Q81" i="9"/>
  <c r="P81" i="9"/>
  <c r="N81" i="9"/>
  <c r="M81" i="9"/>
  <c r="L81" i="9"/>
  <c r="O81" i="9" s="1"/>
  <c r="V81" i="9"/>
  <c r="S81" i="9"/>
  <c r="W81" i="9" s="1"/>
  <c r="K82" i="9"/>
  <c r="H82" i="9"/>
  <c r="T82" i="9"/>
  <c r="X82" i="9"/>
  <c r="U82" i="9"/>
  <c r="Q82" i="9"/>
  <c r="P82" i="9"/>
  <c r="N82" i="9"/>
  <c r="M82" i="9"/>
  <c r="L82" i="9"/>
  <c r="O82" i="9" s="1"/>
  <c r="V82" i="9"/>
  <c r="S82" i="9"/>
  <c r="W82" i="9" s="1"/>
  <c r="K83" i="9"/>
  <c r="H83" i="9"/>
  <c r="T83" i="9"/>
  <c r="X83" i="9"/>
  <c r="U83" i="9"/>
  <c r="Q83" i="9"/>
  <c r="P83" i="9"/>
  <c r="N83" i="9"/>
  <c r="M83" i="9"/>
  <c r="L83" i="9"/>
  <c r="O83" i="9" s="1"/>
  <c r="V83" i="9"/>
  <c r="S83" i="9"/>
  <c r="W83" i="9" s="1"/>
  <c r="K84" i="9"/>
  <c r="H84" i="9"/>
  <c r="T84" i="9"/>
  <c r="X84" i="9"/>
  <c r="U84" i="9"/>
  <c r="Q84" i="9"/>
  <c r="P84" i="9"/>
  <c r="N84" i="9"/>
  <c r="M84" i="9"/>
  <c r="L84" i="9"/>
  <c r="O84" i="9" s="1"/>
  <c r="V84" i="9"/>
  <c r="S84" i="9"/>
  <c r="W84" i="9" s="1"/>
  <c r="K85" i="9"/>
  <c r="H85" i="9"/>
  <c r="T85" i="9"/>
  <c r="X85" i="9"/>
  <c r="U85" i="9"/>
  <c r="Q85" i="9"/>
  <c r="P85" i="9"/>
  <c r="N85" i="9"/>
  <c r="M85" i="9"/>
  <c r="L85" i="9"/>
  <c r="O85" i="9" s="1"/>
  <c r="V85" i="9"/>
  <c r="S85" i="9"/>
  <c r="W85" i="9" s="1"/>
  <c r="K86" i="9"/>
  <c r="H86" i="9"/>
  <c r="T86" i="9"/>
  <c r="X86" i="9"/>
  <c r="U86" i="9"/>
  <c r="Q86" i="9"/>
  <c r="P86" i="9"/>
  <c r="N86" i="9"/>
  <c r="M86" i="9"/>
  <c r="L86" i="9"/>
  <c r="O86" i="9" s="1"/>
  <c r="V86" i="9"/>
  <c r="S86" i="9"/>
  <c r="W86" i="9" s="1"/>
  <c r="K87" i="9"/>
  <c r="H87" i="9"/>
  <c r="T87" i="9"/>
  <c r="X87" i="9"/>
  <c r="U87" i="9"/>
  <c r="Q87" i="9"/>
  <c r="P87" i="9"/>
  <c r="N87" i="9"/>
  <c r="M87" i="9"/>
  <c r="L87" i="9"/>
  <c r="O87" i="9" s="1"/>
  <c r="V87" i="9"/>
  <c r="S87" i="9"/>
  <c r="W87" i="9" s="1"/>
  <c r="K88" i="9"/>
  <c r="H88" i="9"/>
  <c r="T88" i="9"/>
  <c r="X88" i="9"/>
  <c r="U88" i="9"/>
  <c r="Q88" i="9"/>
  <c r="P88" i="9"/>
  <c r="N88" i="9"/>
  <c r="M88" i="9"/>
  <c r="L88" i="9"/>
  <c r="O88" i="9" s="1"/>
  <c r="V88" i="9"/>
  <c r="S88" i="9"/>
  <c r="W88" i="9" s="1"/>
  <c r="K89" i="9"/>
  <c r="H89" i="9"/>
  <c r="T89" i="9"/>
  <c r="X89" i="9"/>
  <c r="U89" i="9"/>
  <c r="Q89" i="9"/>
  <c r="P89" i="9"/>
  <c r="N89" i="9"/>
  <c r="M89" i="9"/>
  <c r="L89" i="9"/>
  <c r="O89" i="9" s="1"/>
  <c r="V89" i="9"/>
  <c r="S89" i="9"/>
  <c r="W89" i="9" s="1"/>
  <c r="K90" i="9"/>
  <c r="H90" i="9"/>
  <c r="T90" i="9"/>
  <c r="X90" i="9"/>
  <c r="U90" i="9"/>
  <c r="Q90" i="9"/>
  <c r="P90" i="9"/>
  <c r="N90" i="9"/>
  <c r="M90" i="9"/>
  <c r="L90" i="9"/>
  <c r="O90" i="9" s="1"/>
  <c r="V90" i="9"/>
  <c r="S90" i="9"/>
  <c r="W90" i="9" s="1"/>
  <c r="K91" i="9"/>
  <c r="H91" i="9"/>
  <c r="T91" i="9"/>
  <c r="X91" i="9"/>
  <c r="U91" i="9"/>
  <c r="Q91" i="9"/>
  <c r="P91" i="9"/>
  <c r="N91" i="9"/>
  <c r="M91" i="9"/>
  <c r="L91" i="9"/>
  <c r="O91" i="9" s="1"/>
  <c r="V91" i="9"/>
  <c r="S91" i="9"/>
  <c r="W91" i="9" s="1"/>
  <c r="K92" i="9"/>
  <c r="H92" i="9"/>
  <c r="T92" i="9"/>
  <c r="X92" i="9"/>
  <c r="U92" i="9"/>
  <c r="Q92" i="9"/>
  <c r="P92" i="9"/>
  <c r="N92" i="9"/>
  <c r="M92" i="9"/>
  <c r="L92" i="9"/>
  <c r="O92" i="9" s="1"/>
  <c r="V92" i="9"/>
  <c r="S92" i="9"/>
  <c r="W92" i="9" s="1"/>
  <c r="K93" i="9"/>
  <c r="H93" i="9"/>
  <c r="T93" i="9"/>
  <c r="X93" i="9"/>
  <c r="U93" i="9"/>
  <c r="Q93" i="9"/>
  <c r="P93" i="9"/>
  <c r="N93" i="9"/>
  <c r="M93" i="9"/>
  <c r="L93" i="9"/>
  <c r="O93" i="9" s="1"/>
  <c r="V93" i="9"/>
  <c r="S93" i="9"/>
  <c r="W93" i="9" s="1"/>
  <c r="K94" i="9"/>
  <c r="H94" i="9"/>
  <c r="T94" i="9"/>
  <c r="X94" i="9"/>
  <c r="U94" i="9"/>
  <c r="Q94" i="9"/>
  <c r="P94" i="9"/>
  <c r="N94" i="9"/>
  <c r="M94" i="9"/>
  <c r="L94" i="9"/>
  <c r="O94" i="9" s="1"/>
  <c r="V94" i="9"/>
  <c r="S94" i="9"/>
  <c r="W94" i="9" s="1"/>
  <c r="K95" i="9"/>
  <c r="H95" i="9"/>
  <c r="T95" i="9"/>
  <c r="X95" i="9"/>
  <c r="U95" i="9"/>
  <c r="Q95" i="9"/>
  <c r="P95" i="9"/>
  <c r="N95" i="9"/>
  <c r="M95" i="9"/>
  <c r="L95" i="9"/>
  <c r="O95" i="9" s="1"/>
  <c r="V95" i="9"/>
  <c r="S95" i="9"/>
  <c r="W95" i="9" s="1"/>
  <c r="K96" i="9"/>
  <c r="H96" i="9"/>
  <c r="T96" i="9"/>
  <c r="X96" i="9"/>
  <c r="U96" i="9"/>
  <c r="Q96" i="9"/>
  <c r="P96" i="9"/>
  <c r="N96" i="9"/>
  <c r="M96" i="9"/>
  <c r="L96" i="9"/>
  <c r="O96" i="9" s="1"/>
  <c r="V96" i="9"/>
  <c r="S96" i="9"/>
  <c r="W96" i="9" s="1"/>
  <c r="K97" i="9"/>
  <c r="H97" i="9"/>
  <c r="T97" i="9"/>
  <c r="X97" i="9"/>
  <c r="U97" i="9"/>
  <c r="Q97" i="9"/>
  <c r="P97" i="9"/>
  <c r="N97" i="9"/>
  <c r="M97" i="9"/>
  <c r="L97" i="9"/>
  <c r="O97" i="9" s="1"/>
  <c r="V97" i="9"/>
  <c r="S97" i="9"/>
  <c r="W97" i="9" s="1"/>
  <c r="K98" i="9"/>
  <c r="H98" i="9"/>
  <c r="T98" i="9"/>
  <c r="X98" i="9"/>
  <c r="U98" i="9"/>
  <c r="Q98" i="9"/>
  <c r="P98" i="9"/>
  <c r="N98" i="9"/>
  <c r="M98" i="9"/>
  <c r="L98" i="9"/>
  <c r="O98" i="9" s="1"/>
  <c r="V98" i="9"/>
  <c r="S98" i="9"/>
  <c r="W98" i="9" s="1"/>
  <c r="K99" i="9"/>
  <c r="H99" i="9"/>
  <c r="T99" i="9"/>
  <c r="X99" i="9"/>
  <c r="U99" i="9"/>
  <c r="Q99" i="9"/>
  <c r="P99" i="9"/>
  <c r="N99" i="9"/>
  <c r="M99" i="9"/>
  <c r="L99" i="9"/>
  <c r="O99" i="9" s="1"/>
  <c r="V99" i="9"/>
  <c r="S99" i="9"/>
  <c r="W99" i="9" s="1"/>
  <c r="K100" i="9"/>
  <c r="H100" i="9"/>
  <c r="T100" i="9"/>
  <c r="X100" i="9"/>
  <c r="U100" i="9"/>
  <c r="Q100" i="9"/>
  <c r="P100" i="9"/>
  <c r="N100" i="9"/>
  <c r="M100" i="9"/>
  <c r="L100" i="9"/>
  <c r="O100" i="9" s="1"/>
  <c r="V100" i="9"/>
  <c r="S100" i="9"/>
  <c r="W100" i="9" s="1"/>
  <c r="K101" i="9"/>
  <c r="H101" i="9"/>
  <c r="T101" i="9"/>
  <c r="X101" i="9"/>
  <c r="U101" i="9"/>
  <c r="Q101" i="9"/>
  <c r="P101" i="9"/>
  <c r="N101" i="9"/>
  <c r="M101" i="9"/>
  <c r="L101" i="9"/>
  <c r="O101" i="9" s="1"/>
  <c r="V101" i="9"/>
  <c r="S101" i="9"/>
  <c r="W101" i="9" s="1"/>
  <c r="K102" i="9"/>
  <c r="H102" i="9"/>
  <c r="T102" i="9"/>
  <c r="X102" i="9"/>
  <c r="U102" i="9"/>
  <c r="Q102" i="9"/>
  <c r="P102" i="9"/>
  <c r="N102" i="9"/>
  <c r="M102" i="9"/>
  <c r="L102" i="9"/>
  <c r="O102" i="9" s="1"/>
  <c r="V102" i="9"/>
  <c r="S102" i="9"/>
  <c r="W102" i="9" s="1"/>
  <c r="K103" i="9"/>
  <c r="H103" i="9"/>
  <c r="T103" i="9"/>
  <c r="X103" i="9"/>
  <c r="U103" i="9"/>
  <c r="Q103" i="9"/>
  <c r="P103" i="9"/>
  <c r="N103" i="9"/>
  <c r="M103" i="9"/>
  <c r="L103" i="9"/>
  <c r="O103" i="9" s="1"/>
  <c r="V103" i="9"/>
  <c r="S103" i="9"/>
  <c r="W103" i="9" s="1"/>
  <c r="K104" i="9"/>
  <c r="H104" i="9"/>
  <c r="T104" i="9"/>
  <c r="X104" i="9"/>
  <c r="U104" i="9"/>
  <c r="Q104" i="9"/>
  <c r="P104" i="9"/>
  <c r="N104" i="9"/>
  <c r="M104" i="9"/>
  <c r="L104" i="9"/>
  <c r="O104" i="9" s="1"/>
  <c r="V104" i="9"/>
  <c r="S104" i="9"/>
  <c r="W104" i="9" s="1"/>
  <c r="K105" i="9"/>
  <c r="H105" i="9"/>
  <c r="T105" i="9"/>
  <c r="X105" i="9"/>
  <c r="U105" i="9"/>
  <c r="Q105" i="9"/>
  <c r="P105" i="9"/>
  <c r="N105" i="9"/>
  <c r="M105" i="9"/>
  <c r="L105" i="9"/>
  <c r="O105" i="9" s="1"/>
  <c r="V105" i="9"/>
  <c r="S105" i="9"/>
  <c r="W105" i="9" s="1"/>
  <c r="K106" i="9"/>
  <c r="H106" i="9"/>
  <c r="T106" i="9"/>
  <c r="X106" i="9"/>
  <c r="U106" i="9"/>
  <c r="Q106" i="9"/>
  <c r="P106" i="9"/>
  <c r="N106" i="9"/>
  <c r="M106" i="9"/>
  <c r="L106" i="9"/>
  <c r="O106" i="9" s="1"/>
  <c r="V106" i="9"/>
  <c r="S106" i="9"/>
  <c r="W106" i="9" s="1"/>
  <c r="K107" i="9"/>
  <c r="H107" i="9"/>
  <c r="T107" i="9"/>
  <c r="X107" i="9"/>
  <c r="U107" i="9"/>
  <c r="Q107" i="9"/>
  <c r="P107" i="9"/>
  <c r="N107" i="9"/>
  <c r="M107" i="9"/>
  <c r="L107" i="9"/>
  <c r="O107" i="9" s="1"/>
  <c r="V107" i="9"/>
  <c r="S107" i="9"/>
  <c r="W107" i="9" s="1"/>
  <c r="K108" i="9"/>
  <c r="H108" i="9"/>
  <c r="T108" i="9"/>
  <c r="X108" i="9"/>
  <c r="U108" i="9"/>
  <c r="Q108" i="9"/>
  <c r="P108" i="9"/>
  <c r="N108" i="9"/>
  <c r="M108" i="9"/>
  <c r="L108" i="9"/>
  <c r="O108" i="9" s="1"/>
  <c r="V108" i="9"/>
  <c r="S108" i="9"/>
  <c r="W108" i="9" s="1"/>
  <c r="K109" i="9"/>
  <c r="H109" i="9"/>
  <c r="T109" i="9"/>
  <c r="X109" i="9"/>
  <c r="U109" i="9"/>
  <c r="Q109" i="9"/>
  <c r="P109" i="9"/>
  <c r="N109" i="9"/>
  <c r="M109" i="9"/>
  <c r="L109" i="9"/>
  <c r="O109" i="9" s="1"/>
  <c r="V109" i="9"/>
  <c r="S109" i="9"/>
  <c r="W109" i="9" s="1"/>
  <c r="K110" i="9"/>
  <c r="H110" i="9"/>
  <c r="T110" i="9"/>
  <c r="X110" i="9"/>
  <c r="U110" i="9"/>
  <c r="Q110" i="9"/>
  <c r="P110" i="9"/>
  <c r="N110" i="9"/>
  <c r="M110" i="9"/>
  <c r="L110" i="9"/>
  <c r="O110" i="9" s="1"/>
  <c r="V110" i="9"/>
  <c r="S110" i="9"/>
  <c r="W110" i="9" s="1"/>
  <c r="K111" i="9"/>
  <c r="H111" i="9"/>
  <c r="T111" i="9"/>
  <c r="X111" i="9"/>
  <c r="U111" i="9"/>
  <c r="Q111" i="9"/>
  <c r="P111" i="9"/>
  <c r="N111" i="9"/>
  <c r="M111" i="9"/>
  <c r="L111" i="9"/>
  <c r="O111" i="9" s="1"/>
  <c r="V111" i="9"/>
  <c r="S111" i="9"/>
  <c r="W111" i="9" s="1"/>
  <c r="K112" i="9"/>
  <c r="H112" i="9"/>
  <c r="T112" i="9"/>
  <c r="X112" i="9"/>
  <c r="U112" i="9"/>
  <c r="Q112" i="9"/>
  <c r="P112" i="9"/>
  <c r="N112" i="9"/>
  <c r="M112" i="9"/>
  <c r="L112" i="9"/>
  <c r="O112" i="9" s="1"/>
  <c r="V112" i="9"/>
  <c r="S112" i="9"/>
  <c r="W112" i="9" s="1"/>
  <c r="K113" i="9"/>
  <c r="H113" i="9"/>
  <c r="T113" i="9"/>
  <c r="X113" i="9"/>
  <c r="U113" i="9"/>
  <c r="Q113" i="9"/>
  <c r="P113" i="9"/>
  <c r="N113" i="9"/>
  <c r="M113" i="9"/>
  <c r="L113" i="9"/>
  <c r="O113" i="9" s="1"/>
  <c r="V113" i="9"/>
  <c r="S113" i="9"/>
  <c r="W113" i="9" s="1"/>
  <c r="K114" i="9"/>
  <c r="H114" i="9"/>
  <c r="T114" i="9"/>
  <c r="X114" i="9"/>
  <c r="U114" i="9"/>
  <c r="Q114" i="9"/>
  <c r="P114" i="9"/>
  <c r="N114" i="9"/>
  <c r="M114" i="9"/>
  <c r="L114" i="9"/>
  <c r="O114" i="9" s="1"/>
  <c r="V114" i="9"/>
  <c r="S114" i="9"/>
  <c r="W114" i="9" s="1"/>
  <c r="K115" i="9"/>
  <c r="H115" i="9"/>
  <c r="T115" i="9"/>
  <c r="X115" i="9"/>
  <c r="U115" i="9"/>
  <c r="Q115" i="9"/>
  <c r="P115" i="9"/>
  <c r="N115" i="9"/>
  <c r="M115" i="9"/>
  <c r="L115" i="9"/>
  <c r="O115" i="9" s="1"/>
  <c r="V115" i="9"/>
  <c r="S115" i="9"/>
  <c r="W115" i="9" s="1"/>
  <c r="K116" i="9"/>
  <c r="H116" i="9"/>
  <c r="T116" i="9"/>
  <c r="X116" i="9"/>
  <c r="U116" i="9"/>
  <c r="Q116" i="9"/>
  <c r="P116" i="9"/>
  <c r="N116" i="9"/>
  <c r="M116" i="9"/>
  <c r="L116" i="9"/>
  <c r="O116" i="9" s="1"/>
  <c r="V116" i="9"/>
  <c r="S116" i="9"/>
  <c r="W116" i="9" s="1"/>
  <c r="K117" i="9"/>
  <c r="H117" i="9"/>
  <c r="T117" i="9"/>
  <c r="X117" i="9"/>
  <c r="U117" i="9"/>
  <c r="Q117" i="9"/>
  <c r="P117" i="9"/>
  <c r="N117" i="9"/>
  <c r="M117" i="9"/>
  <c r="L117" i="9"/>
  <c r="O117" i="9" s="1"/>
  <c r="V117" i="9"/>
  <c r="S117" i="9"/>
  <c r="W117" i="9" s="1"/>
  <c r="K118" i="9"/>
  <c r="H118" i="9"/>
  <c r="T118" i="9"/>
  <c r="X118" i="9"/>
  <c r="U118" i="9"/>
  <c r="Q118" i="9"/>
  <c r="P118" i="9"/>
  <c r="N118" i="9"/>
  <c r="M118" i="9"/>
  <c r="L118" i="9"/>
  <c r="O118" i="9" s="1"/>
  <c r="V118" i="9"/>
  <c r="S118" i="9"/>
  <c r="W118" i="9" s="1"/>
  <c r="K119" i="9"/>
  <c r="H119" i="9"/>
  <c r="T119" i="9"/>
  <c r="X119" i="9"/>
  <c r="U119" i="9"/>
  <c r="Q119" i="9"/>
  <c r="P119" i="9"/>
  <c r="N119" i="9"/>
  <c r="M119" i="9"/>
  <c r="L119" i="9"/>
  <c r="O119" i="9" s="1"/>
  <c r="V119" i="9"/>
  <c r="S119" i="9"/>
  <c r="W119" i="9" s="1"/>
  <c r="K120" i="9"/>
  <c r="H120" i="9"/>
  <c r="T120" i="9"/>
  <c r="X120" i="9"/>
  <c r="U120" i="9"/>
  <c r="Q120" i="9"/>
  <c r="P120" i="9"/>
  <c r="N120" i="9"/>
  <c r="M120" i="9"/>
  <c r="L120" i="9"/>
  <c r="O120" i="9" s="1"/>
  <c r="V120" i="9"/>
  <c r="S120" i="9"/>
  <c r="W120" i="9" s="1"/>
  <c r="K121" i="9"/>
  <c r="H121" i="9"/>
  <c r="T121" i="9"/>
  <c r="X121" i="9"/>
  <c r="U121" i="9"/>
  <c r="Q121" i="9"/>
  <c r="P121" i="9"/>
  <c r="N121" i="9"/>
  <c r="M121" i="9"/>
  <c r="L121" i="9"/>
  <c r="O121" i="9" s="1"/>
  <c r="V121" i="9"/>
  <c r="S121" i="9"/>
  <c r="W121" i="9" s="1"/>
  <c r="K122" i="9"/>
  <c r="H122" i="9"/>
  <c r="T122" i="9"/>
  <c r="X122" i="9"/>
  <c r="U122" i="9"/>
  <c r="Q122" i="9"/>
  <c r="P122" i="9"/>
  <c r="N122" i="9"/>
  <c r="M122" i="9"/>
  <c r="L122" i="9"/>
  <c r="O122" i="9" s="1"/>
  <c r="V122" i="9"/>
  <c r="S122" i="9"/>
  <c r="W122" i="9" s="1"/>
  <c r="K123" i="9"/>
  <c r="H123" i="9"/>
  <c r="T123" i="9"/>
  <c r="X123" i="9"/>
  <c r="U123" i="9"/>
  <c r="Q123" i="9"/>
  <c r="P123" i="9"/>
  <c r="N123" i="9"/>
  <c r="M123" i="9"/>
  <c r="L123" i="9"/>
  <c r="O123" i="9" s="1"/>
  <c r="V123" i="9"/>
  <c r="S123" i="9"/>
  <c r="W123" i="9" s="1"/>
  <c r="K124" i="9"/>
  <c r="H124" i="9"/>
  <c r="T124" i="9"/>
  <c r="X124" i="9"/>
  <c r="U124" i="9"/>
  <c r="Q124" i="9"/>
  <c r="P124" i="9"/>
  <c r="N124" i="9"/>
  <c r="M124" i="9"/>
  <c r="L124" i="9"/>
  <c r="O124" i="9" s="1"/>
  <c r="V124" i="9"/>
  <c r="S124" i="9"/>
  <c r="W124" i="9" s="1"/>
  <c r="K125" i="9"/>
  <c r="H125" i="9"/>
  <c r="T125" i="9"/>
  <c r="X125" i="9"/>
  <c r="U125" i="9"/>
  <c r="Q125" i="9"/>
  <c r="P125" i="9"/>
  <c r="N125" i="9"/>
  <c r="M125" i="9"/>
  <c r="L125" i="9"/>
  <c r="O125" i="9" s="1"/>
  <c r="V125" i="9"/>
  <c r="S125" i="9"/>
  <c r="W125" i="9" s="1"/>
  <c r="K126" i="9"/>
  <c r="H126" i="9"/>
  <c r="T126" i="9"/>
  <c r="X126" i="9"/>
  <c r="U126" i="9"/>
  <c r="Q126" i="9"/>
  <c r="P126" i="9"/>
  <c r="N126" i="9"/>
  <c r="M126" i="9"/>
  <c r="L126" i="9"/>
  <c r="O126" i="9" s="1"/>
  <c r="V126" i="9"/>
  <c r="S126" i="9"/>
  <c r="W126" i="9" s="1"/>
  <c r="K127" i="9"/>
  <c r="H127" i="9"/>
  <c r="T127" i="9"/>
  <c r="X127" i="9"/>
  <c r="U127" i="9"/>
  <c r="Q127" i="9"/>
  <c r="P127" i="9"/>
  <c r="N127" i="9"/>
  <c r="M127" i="9"/>
  <c r="L127" i="9"/>
  <c r="O127" i="9" s="1"/>
  <c r="V127" i="9"/>
  <c r="S127" i="9"/>
  <c r="W127" i="9" s="1"/>
  <c r="K128" i="9"/>
  <c r="H128" i="9"/>
  <c r="T128" i="9"/>
  <c r="X128" i="9"/>
  <c r="U128" i="9"/>
  <c r="Q128" i="9"/>
  <c r="P128" i="9"/>
  <c r="N128" i="9"/>
  <c r="M128" i="9"/>
  <c r="L128" i="9"/>
  <c r="O128" i="9" s="1"/>
  <c r="V128" i="9"/>
  <c r="S128" i="9"/>
  <c r="W128" i="9" s="1"/>
  <c r="K129" i="9"/>
  <c r="H129" i="9"/>
  <c r="T129" i="9"/>
  <c r="X129" i="9"/>
  <c r="U129" i="9"/>
  <c r="Q129" i="9"/>
  <c r="P129" i="9"/>
  <c r="N129" i="9"/>
  <c r="M129" i="9"/>
  <c r="L129" i="9"/>
  <c r="O129" i="9" s="1"/>
  <c r="V129" i="9"/>
  <c r="S129" i="9"/>
  <c r="W129" i="9" s="1"/>
  <c r="K130" i="9"/>
  <c r="H130" i="9"/>
  <c r="T130" i="9"/>
  <c r="X130" i="9"/>
  <c r="U130" i="9"/>
  <c r="Q130" i="9"/>
  <c r="P130" i="9"/>
  <c r="N130" i="9"/>
  <c r="M130" i="9"/>
  <c r="L130" i="9"/>
  <c r="O130" i="9" s="1"/>
  <c r="V130" i="9"/>
  <c r="S130" i="9"/>
  <c r="W130" i="9" s="1"/>
  <c r="K131" i="9"/>
  <c r="H131" i="9"/>
  <c r="T131" i="9"/>
  <c r="X131" i="9"/>
  <c r="U131" i="9"/>
  <c r="Q131" i="9"/>
  <c r="P131" i="9"/>
  <c r="N131" i="9"/>
  <c r="M131" i="9"/>
  <c r="L131" i="9"/>
  <c r="O131" i="9" s="1"/>
  <c r="V131" i="9"/>
  <c r="S131" i="9"/>
  <c r="W131" i="9" s="1"/>
  <c r="K132" i="9"/>
  <c r="H132" i="9"/>
  <c r="T132" i="9"/>
  <c r="X132" i="9"/>
  <c r="U132" i="9"/>
  <c r="Q132" i="9"/>
  <c r="P132" i="9"/>
  <c r="N132" i="9"/>
  <c r="M132" i="9"/>
  <c r="L132" i="9"/>
  <c r="O132" i="9" s="1"/>
  <c r="V132" i="9"/>
  <c r="S132" i="9"/>
  <c r="W132" i="9" s="1"/>
  <c r="K133" i="9"/>
  <c r="H133" i="9"/>
  <c r="T133" i="9"/>
  <c r="X133" i="9"/>
  <c r="U133" i="9"/>
  <c r="Q133" i="9"/>
  <c r="P133" i="9"/>
  <c r="N133" i="9"/>
  <c r="M133" i="9"/>
  <c r="L133" i="9"/>
  <c r="O133" i="9" s="1"/>
  <c r="V133" i="9"/>
  <c r="S133" i="9"/>
  <c r="W133" i="9" s="1"/>
  <c r="K134" i="9"/>
  <c r="H134" i="9"/>
  <c r="T134" i="9"/>
  <c r="X134" i="9"/>
  <c r="U134" i="9"/>
  <c r="Q134" i="9"/>
  <c r="P134" i="9"/>
  <c r="N134" i="9"/>
  <c r="M134" i="9"/>
  <c r="L134" i="9"/>
  <c r="O134" i="9" s="1"/>
  <c r="V134" i="9"/>
  <c r="S134" i="9"/>
  <c r="W134" i="9" s="1"/>
  <c r="K135" i="9"/>
  <c r="H135" i="9"/>
  <c r="T135" i="9"/>
  <c r="X135" i="9"/>
  <c r="U135" i="9"/>
  <c r="Q135" i="9"/>
  <c r="P135" i="9"/>
  <c r="N135" i="9"/>
  <c r="M135" i="9"/>
  <c r="L135" i="9"/>
  <c r="O135" i="9" s="1"/>
  <c r="V135" i="9"/>
  <c r="S135" i="9"/>
  <c r="W135" i="9" s="1"/>
  <c r="K136" i="9"/>
  <c r="H136" i="9"/>
  <c r="T136" i="9"/>
  <c r="X136" i="9"/>
  <c r="U136" i="9"/>
  <c r="Q136" i="9"/>
  <c r="P136" i="9"/>
  <c r="N136" i="9"/>
  <c r="M136" i="9"/>
  <c r="L136" i="9"/>
  <c r="O136" i="9" s="1"/>
  <c r="V136" i="9"/>
  <c r="S136" i="9"/>
  <c r="W136" i="9" s="1"/>
  <c r="K137" i="9"/>
  <c r="H137" i="9"/>
  <c r="T137" i="9"/>
  <c r="X137" i="9"/>
  <c r="U137" i="9"/>
  <c r="Q137" i="9"/>
  <c r="P137" i="9"/>
  <c r="N137" i="9"/>
  <c r="M137" i="9"/>
  <c r="L137" i="9"/>
  <c r="O137" i="9" s="1"/>
  <c r="V137" i="9"/>
  <c r="S137" i="9"/>
  <c r="W137" i="9" s="1"/>
  <c r="K138" i="9"/>
  <c r="H138" i="9"/>
  <c r="T138" i="9"/>
  <c r="X138" i="9"/>
  <c r="U138" i="9"/>
  <c r="Q138" i="9"/>
  <c r="P138" i="9"/>
  <c r="N138" i="9"/>
  <c r="M138" i="9"/>
  <c r="L138" i="9"/>
  <c r="O138" i="9" s="1"/>
  <c r="V138" i="9"/>
  <c r="S138" i="9"/>
  <c r="W138" i="9" s="1"/>
  <c r="K139" i="9"/>
  <c r="H139" i="9"/>
  <c r="T139" i="9"/>
  <c r="X139" i="9"/>
  <c r="U139" i="9"/>
  <c r="Q139" i="9"/>
  <c r="P139" i="9"/>
  <c r="N139" i="9"/>
  <c r="M139" i="9"/>
  <c r="L139" i="9"/>
  <c r="O139" i="9" s="1"/>
  <c r="V139" i="9"/>
  <c r="S139" i="9"/>
  <c r="W139" i="9" s="1"/>
  <c r="K140" i="9"/>
  <c r="H140" i="9"/>
  <c r="T140" i="9"/>
  <c r="X140" i="9"/>
  <c r="U140" i="9"/>
  <c r="Q140" i="9"/>
  <c r="P140" i="9"/>
  <c r="N140" i="9"/>
  <c r="M140" i="9"/>
  <c r="L140" i="9"/>
  <c r="O140" i="9" s="1"/>
  <c r="V140" i="9"/>
  <c r="S140" i="9"/>
  <c r="W140" i="9" s="1"/>
  <c r="K141" i="9"/>
  <c r="H141" i="9"/>
  <c r="T141" i="9"/>
  <c r="X141" i="9"/>
  <c r="U141" i="9"/>
  <c r="Q141" i="9"/>
  <c r="P141" i="9"/>
  <c r="N141" i="9"/>
  <c r="M141" i="9"/>
  <c r="L141" i="9"/>
  <c r="O141" i="9" s="1"/>
  <c r="V141" i="9"/>
  <c r="S141" i="9"/>
  <c r="W141" i="9" s="1"/>
  <c r="K142" i="9"/>
  <c r="H142" i="9"/>
  <c r="T142" i="9"/>
  <c r="X142" i="9"/>
  <c r="U142" i="9"/>
  <c r="Q142" i="9"/>
  <c r="P142" i="9"/>
  <c r="N142" i="9"/>
  <c r="M142" i="9"/>
  <c r="L142" i="9"/>
  <c r="O142" i="9" s="1"/>
  <c r="V142" i="9"/>
  <c r="S142" i="9"/>
  <c r="W142" i="9" s="1"/>
  <c r="K143" i="9"/>
  <c r="H143" i="9"/>
  <c r="T143" i="9"/>
  <c r="X143" i="9"/>
  <c r="U143" i="9"/>
  <c r="Q143" i="9"/>
  <c r="P143" i="9"/>
  <c r="N143" i="9"/>
  <c r="M143" i="9"/>
  <c r="L143" i="9"/>
  <c r="O143" i="9" s="1"/>
  <c r="V143" i="9"/>
  <c r="S143" i="9"/>
  <c r="W143" i="9" s="1"/>
  <c r="K144" i="9"/>
  <c r="H144" i="9"/>
  <c r="T144" i="9"/>
  <c r="X144" i="9"/>
  <c r="U144" i="9"/>
  <c r="Q144" i="9"/>
  <c r="P144" i="9"/>
  <c r="N144" i="9"/>
  <c r="M144" i="9"/>
  <c r="L144" i="9"/>
  <c r="O144" i="9" s="1"/>
  <c r="V144" i="9"/>
  <c r="S144" i="9"/>
  <c r="W144" i="9" s="1"/>
  <c r="K145" i="9"/>
  <c r="H145" i="9"/>
  <c r="T145" i="9"/>
  <c r="X145" i="9"/>
  <c r="U145" i="9"/>
  <c r="Q145" i="9"/>
  <c r="P145" i="9"/>
  <c r="N145" i="9"/>
  <c r="M145" i="9"/>
  <c r="L145" i="9"/>
  <c r="O145" i="9" s="1"/>
  <c r="V145" i="9"/>
  <c r="S145" i="9"/>
  <c r="W145" i="9" s="1"/>
  <c r="K146" i="9"/>
  <c r="H146" i="9"/>
  <c r="T146" i="9"/>
  <c r="X146" i="9"/>
  <c r="U146" i="9"/>
  <c r="Q146" i="9"/>
  <c r="P146" i="9"/>
  <c r="N146" i="9"/>
  <c r="M146" i="9"/>
  <c r="L146" i="9"/>
  <c r="O146" i="9" s="1"/>
  <c r="V146" i="9"/>
  <c r="S146" i="9"/>
  <c r="W146" i="9" s="1"/>
  <c r="K147" i="9"/>
  <c r="H147" i="9"/>
  <c r="T147" i="9"/>
  <c r="X147" i="9"/>
  <c r="U147" i="9"/>
  <c r="Q147" i="9"/>
  <c r="P147" i="9"/>
  <c r="N147" i="9"/>
  <c r="M147" i="9"/>
  <c r="L147" i="9"/>
  <c r="O147" i="9" s="1"/>
  <c r="V147" i="9"/>
  <c r="S147" i="9"/>
  <c r="W147" i="9" s="1"/>
  <c r="K148" i="9"/>
  <c r="H148" i="9"/>
  <c r="T148" i="9"/>
  <c r="X148" i="9"/>
  <c r="U148" i="9"/>
  <c r="Q148" i="9"/>
  <c r="P148" i="9"/>
  <c r="N148" i="9"/>
  <c r="M148" i="9"/>
  <c r="L148" i="9"/>
  <c r="O148" i="9" s="1"/>
  <c r="V148" i="9"/>
  <c r="S148" i="9"/>
  <c r="W148" i="9" s="1"/>
  <c r="K149" i="9"/>
  <c r="H149" i="9"/>
  <c r="T149" i="9"/>
  <c r="X149" i="9"/>
  <c r="U149" i="9"/>
  <c r="Q149" i="9"/>
  <c r="P149" i="9"/>
  <c r="N149" i="9"/>
  <c r="M149" i="9"/>
  <c r="L149" i="9"/>
  <c r="O149" i="9" s="1"/>
  <c r="V149" i="9"/>
  <c r="S149" i="9"/>
  <c r="W149" i="9" s="1"/>
  <c r="K150" i="9"/>
  <c r="H150" i="9"/>
  <c r="T150" i="9"/>
  <c r="X150" i="9"/>
  <c r="U150" i="9"/>
  <c r="Q150" i="9"/>
  <c r="P150" i="9"/>
  <c r="N150" i="9"/>
  <c r="M150" i="9"/>
  <c r="L150" i="9"/>
  <c r="O150" i="9" s="1"/>
  <c r="V150" i="9"/>
  <c r="S150" i="9"/>
  <c r="W150" i="9" s="1"/>
  <c r="K151" i="9"/>
  <c r="H151" i="9"/>
  <c r="T151" i="9"/>
  <c r="X151" i="9"/>
  <c r="U151" i="9"/>
  <c r="Q151" i="9"/>
  <c r="P151" i="9"/>
  <c r="N151" i="9"/>
  <c r="M151" i="9"/>
  <c r="L151" i="9"/>
  <c r="O151" i="9" s="1"/>
  <c r="V151" i="9"/>
  <c r="S151" i="9"/>
  <c r="W151" i="9" s="1"/>
  <c r="K152" i="9"/>
  <c r="H152" i="9"/>
  <c r="T152" i="9"/>
  <c r="X152" i="9"/>
  <c r="U152" i="9"/>
  <c r="Q152" i="9"/>
  <c r="P152" i="9"/>
  <c r="N152" i="9"/>
  <c r="M152" i="9"/>
  <c r="L152" i="9"/>
  <c r="O152" i="9" s="1"/>
  <c r="V152" i="9"/>
  <c r="S152" i="9"/>
  <c r="W152" i="9" s="1"/>
  <c r="K153" i="9"/>
  <c r="H153" i="9"/>
  <c r="T153" i="9"/>
  <c r="X153" i="9"/>
  <c r="U153" i="9"/>
  <c r="Q153" i="9"/>
  <c r="P153" i="9"/>
  <c r="N153" i="9"/>
  <c r="M153" i="9"/>
  <c r="L153" i="9"/>
  <c r="O153" i="9" s="1"/>
  <c r="V153" i="9"/>
  <c r="S153" i="9"/>
  <c r="W153" i="9" s="1"/>
  <c r="K154" i="9"/>
  <c r="H154" i="9"/>
  <c r="T154" i="9"/>
  <c r="X154" i="9"/>
  <c r="U154" i="9"/>
  <c r="Q154" i="9"/>
  <c r="P154" i="9"/>
  <c r="N154" i="9"/>
  <c r="M154" i="9"/>
  <c r="L154" i="9"/>
  <c r="O154" i="9" s="1"/>
  <c r="V154" i="9"/>
  <c r="S154" i="9"/>
  <c r="W154" i="9" s="1"/>
  <c r="K155" i="9"/>
  <c r="H155" i="9"/>
  <c r="T155" i="9"/>
  <c r="X155" i="9"/>
  <c r="U155" i="9"/>
  <c r="Q155" i="9"/>
  <c r="P155" i="9"/>
  <c r="N155" i="9"/>
  <c r="M155" i="9"/>
  <c r="L155" i="9"/>
  <c r="O155" i="9" s="1"/>
  <c r="V155" i="9"/>
  <c r="S155" i="9"/>
  <c r="W155" i="9" s="1"/>
  <c r="K156" i="9"/>
  <c r="H156" i="9"/>
  <c r="T156" i="9"/>
  <c r="X156" i="9"/>
  <c r="U156" i="9"/>
  <c r="Q156" i="9"/>
  <c r="P156" i="9"/>
  <c r="N156" i="9"/>
  <c r="M156" i="9"/>
  <c r="L156" i="9"/>
  <c r="O156" i="9" s="1"/>
  <c r="V156" i="9"/>
  <c r="S156" i="9"/>
  <c r="W156" i="9" s="1"/>
  <c r="K157" i="9"/>
  <c r="H157" i="9"/>
  <c r="T157" i="9"/>
  <c r="X157" i="9"/>
  <c r="U157" i="9"/>
  <c r="Q157" i="9"/>
  <c r="P157" i="9"/>
  <c r="N157" i="9"/>
  <c r="M157" i="9"/>
  <c r="L157" i="9"/>
  <c r="O157" i="9" s="1"/>
  <c r="V157" i="9"/>
  <c r="S157" i="9"/>
  <c r="W157" i="9" s="1"/>
  <c r="K158" i="9"/>
  <c r="H158" i="9"/>
  <c r="T158" i="9"/>
  <c r="X158" i="9"/>
  <c r="U158" i="9"/>
  <c r="Q158" i="9"/>
  <c r="P158" i="9"/>
  <c r="N158" i="9"/>
  <c r="M158" i="9"/>
  <c r="L158" i="9"/>
  <c r="O158" i="9" s="1"/>
  <c r="V158" i="9"/>
  <c r="S158" i="9"/>
  <c r="W158" i="9" s="1"/>
  <c r="K159" i="9"/>
  <c r="H159" i="9"/>
  <c r="T159" i="9"/>
  <c r="X159" i="9"/>
  <c r="U159" i="9"/>
  <c r="Q159" i="9"/>
  <c r="P159" i="9"/>
  <c r="N159" i="9"/>
  <c r="M159" i="9"/>
  <c r="L159" i="9"/>
  <c r="O159" i="9" s="1"/>
  <c r="V159" i="9"/>
  <c r="S159" i="9"/>
  <c r="W159" i="9" s="1"/>
  <c r="K160" i="9"/>
  <c r="H160" i="9"/>
  <c r="T160" i="9"/>
  <c r="X160" i="9"/>
  <c r="U160" i="9"/>
  <c r="Q160" i="9"/>
  <c r="P160" i="9"/>
  <c r="N160" i="9"/>
  <c r="M160" i="9"/>
  <c r="L160" i="9"/>
  <c r="O160" i="9" s="1"/>
  <c r="V160" i="9"/>
  <c r="S160" i="9"/>
  <c r="W160" i="9" s="1"/>
  <c r="K161" i="9"/>
  <c r="H161" i="9"/>
  <c r="T161" i="9"/>
  <c r="X161" i="9"/>
  <c r="U161" i="9"/>
  <c r="Q161" i="9"/>
  <c r="P161" i="9"/>
  <c r="N161" i="9"/>
  <c r="M161" i="9"/>
  <c r="L161" i="9"/>
  <c r="O161" i="9" s="1"/>
  <c r="V161" i="9"/>
  <c r="S161" i="9"/>
  <c r="W161" i="9" s="1"/>
  <c r="K162" i="9"/>
  <c r="H162" i="9"/>
  <c r="T162" i="9"/>
  <c r="X162" i="9"/>
  <c r="U162" i="9"/>
  <c r="Q162" i="9"/>
  <c r="P162" i="9"/>
  <c r="N162" i="9"/>
  <c r="M162" i="9"/>
  <c r="L162" i="9"/>
  <c r="O162" i="9" s="1"/>
  <c r="V162" i="9"/>
  <c r="S162" i="9"/>
  <c r="W162" i="9" s="1"/>
  <c r="K163" i="9"/>
  <c r="H163" i="9"/>
  <c r="T163" i="9"/>
  <c r="X163" i="9"/>
  <c r="U163" i="9"/>
  <c r="Q163" i="9"/>
  <c r="P163" i="9"/>
  <c r="N163" i="9"/>
  <c r="M163" i="9"/>
  <c r="L163" i="9"/>
  <c r="O163" i="9" s="1"/>
  <c r="V163" i="9"/>
  <c r="S163" i="9"/>
  <c r="W163" i="9" s="1"/>
  <c r="K164" i="9"/>
  <c r="H164" i="9"/>
  <c r="T164" i="9"/>
  <c r="X164" i="9"/>
  <c r="U164" i="9"/>
  <c r="Q164" i="9"/>
  <c r="P164" i="9"/>
  <c r="N164" i="9"/>
  <c r="M164" i="9"/>
  <c r="L164" i="9"/>
  <c r="O164" i="9" s="1"/>
  <c r="V164" i="9"/>
  <c r="S164" i="9"/>
  <c r="W164" i="9" s="1"/>
  <c r="K165" i="9"/>
  <c r="H165" i="9"/>
  <c r="T165" i="9"/>
  <c r="X165" i="9"/>
  <c r="U165" i="9"/>
  <c r="Q165" i="9"/>
  <c r="P165" i="9"/>
  <c r="N165" i="9"/>
  <c r="M165" i="9"/>
  <c r="L165" i="9"/>
  <c r="O165" i="9" s="1"/>
  <c r="V165" i="9"/>
  <c r="S165" i="9"/>
  <c r="W165" i="9" s="1"/>
  <c r="K166" i="9"/>
  <c r="H166" i="9"/>
  <c r="T166" i="9"/>
  <c r="X166" i="9"/>
  <c r="U166" i="9"/>
  <c r="Q166" i="9"/>
  <c r="P166" i="9"/>
  <c r="N166" i="9"/>
  <c r="M166" i="9"/>
  <c r="L166" i="9"/>
  <c r="O166" i="9" s="1"/>
  <c r="V166" i="9"/>
  <c r="S166" i="9"/>
  <c r="W166" i="9" s="1"/>
  <c r="K167" i="9"/>
  <c r="H167" i="9"/>
  <c r="T167" i="9"/>
  <c r="X167" i="9"/>
  <c r="U167" i="9"/>
  <c r="Q167" i="9"/>
  <c r="P167" i="9"/>
  <c r="N167" i="9"/>
  <c r="M167" i="9"/>
  <c r="L167" i="9"/>
  <c r="O167" i="9" s="1"/>
  <c r="V167" i="9"/>
  <c r="S167" i="9"/>
  <c r="W167" i="9" s="1"/>
  <c r="K168" i="9"/>
  <c r="H168" i="9"/>
  <c r="T168" i="9"/>
  <c r="X168" i="9"/>
  <c r="U168" i="9"/>
  <c r="Q168" i="9"/>
  <c r="P168" i="9"/>
  <c r="N168" i="9"/>
  <c r="M168" i="9"/>
  <c r="L168" i="9"/>
  <c r="O168" i="9" s="1"/>
  <c r="V168" i="9"/>
  <c r="S168" i="9"/>
  <c r="W168" i="9" s="1"/>
  <c r="K169" i="9"/>
  <c r="H169" i="9"/>
  <c r="T169" i="9"/>
  <c r="X169" i="9"/>
  <c r="U169" i="9"/>
  <c r="Q169" i="9"/>
  <c r="P169" i="9"/>
  <c r="N169" i="9"/>
  <c r="M169" i="9"/>
  <c r="L169" i="9"/>
  <c r="O169" i="9" s="1"/>
  <c r="V169" i="9"/>
  <c r="S169" i="9"/>
  <c r="W169" i="9" s="1"/>
  <c r="K170" i="9"/>
  <c r="H170" i="9"/>
  <c r="T170" i="9"/>
  <c r="X170" i="9"/>
  <c r="U170" i="9"/>
  <c r="Q170" i="9"/>
  <c r="P170" i="9"/>
  <c r="N170" i="9"/>
  <c r="M170" i="9"/>
  <c r="L170" i="9"/>
  <c r="O170" i="9" s="1"/>
  <c r="V170" i="9"/>
  <c r="S170" i="9"/>
  <c r="W170" i="9" s="1"/>
  <c r="K171" i="9"/>
  <c r="H171" i="9"/>
  <c r="T171" i="9"/>
  <c r="X171" i="9"/>
  <c r="U171" i="9"/>
  <c r="Q171" i="9"/>
  <c r="P171" i="9"/>
  <c r="N171" i="9"/>
  <c r="M171" i="9"/>
  <c r="L171" i="9"/>
  <c r="O171" i="9" s="1"/>
  <c r="V171" i="9"/>
  <c r="S171" i="9"/>
  <c r="W171" i="9" s="1"/>
  <c r="K172" i="9"/>
  <c r="H172" i="9"/>
  <c r="T172" i="9"/>
  <c r="X172" i="9"/>
  <c r="U172" i="9"/>
  <c r="Q172" i="9"/>
  <c r="P172" i="9"/>
  <c r="N172" i="9"/>
  <c r="M172" i="9"/>
  <c r="L172" i="9"/>
  <c r="O172" i="9" s="1"/>
  <c r="V172" i="9"/>
  <c r="S172" i="9"/>
  <c r="W172" i="9" s="1"/>
  <c r="K173" i="9"/>
  <c r="H173" i="9"/>
  <c r="T173" i="9"/>
  <c r="X173" i="9"/>
  <c r="U173" i="9"/>
  <c r="Q173" i="9"/>
  <c r="P173" i="9"/>
  <c r="N173" i="9"/>
  <c r="M173" i="9"/>
  <c r="L173" i="9"/>
  <c r="O173" i="9" s="1"/>
  <c r="V173" i="9"/>
  <c r="S173" i="9"/>
  <c r="W173" i="9" s="1"/>
  <c r="K174" i="9"/>
  <c r="H174" i="9"/>
  <c r="T174" i="9"/>
  <c r="X174" i="9"/>
  <c r="U174" i="9"/>
  <c r="Q174" i="9"/>
  <c r="P174" i="9"/>
  <c r="N174" i="9"/>
  <c r="M174" i="9"/>
  <c r="L174" i="9"/>
  <c r="O174" i="9" s="1"/>
  <c r="V174" i="9"/>
  <c r="S174" i="9"/>
  <c r="W174" i="9" s="1"/>
  <c r="K175" i="9"/>
  <c r="H175" i="9"/>
  <c r="T175" i="9"/>
  <c r="X175" i="9"/>
  <c r="U175" i="9"/>
  <c r="Q175" i="9"/>
  <c r="P175" i="9"/>
  <c r="N175" i="9"/>
  <c r="M175" i="9"/>
  <c r="L175" i="9"/>
  <c r="O175" i="9" s="1"/>
  <c r="V175" i="9"/>
  <c r="S175" i="9"/>
  <c r="W175" i="9" s="1"/>
  <c r="K176" i="9"/>
  <c r="H176" i="9"/>
  <c r="T176" i="9"/>
  <c r="X176" i="9"/>
  <c r="U176" i="9"/>
  <c r="Q176" i="9"/>
  <c r="P176" i="9"/>
  <c r="N176" i="9"/>
  <c r="M176" i="9"/>
  <c r="L176" i="9"/>
  <c r="O176" i="9" s="1"/>
  <c r="V176" i="9"/>
  <c r="S176" i="9"/>
  <c r="W176" i="9" s="1"/>
  <c r="K177" i="9"/>
  <c r="H177" i="9"/>
  <c r="T177" i="9"/>
  <c r="X177" i="9"/>
  <c r="U177" i="9"/>
  <c r="Q177" i="9"/>
  <c r="P177" i="9"/>
  <c r="N177" i="9"/>
  <c r="M177" i="9"/>
  <c r="L177" i="9"/>
  <c r="O177" i="9" s="1"/>
  <c r="V177" i="9"/>
  <c r="S177" i="9"/>
  <c r="W177" i="9" s="1"/>
  <c r="K178" i="9"/>
  <c r="H178" i="9"/>
  <c r="T178" i="9"/>
  <c r="X178" i="9"/>
  <c r="U178" i="9"/>
  <c r="Q178" i="9"/>
  <c r="P178" i="9"/>
  <c r="N178" i="9"/>
  <c r="M178" i="9"/>
  <c r="L178" i="9"/>
  <c r="O178" i="9" s="1"/>
  <c r="V178" i="9"/>
  <c r="S178" i="9"/>
  <c r="W178" i="9" s="1"/>
  <c r="K179" i="9"/>
  <c r="H179" i="9"/>
  <c r="T179" i="9"/>
  <c r="X179" i="9"/>
  <c r="U179" i="9"/>
  <c r="Q179" i="9"/>
  <c r="P179" i="9"/>
  <c r="N179" i="9"/>
  <c r="M179" i="9"/>
  <c r="L179" i="9"/>
  <c r="O179" i="9" s="1"/>
  <c r="V179" i="9"/>
  <c r="S179" i="9"/>
  <c r="W179" i="9" s="1"/>
  <c r="K180" i="9"/>
  <c r="H180" i="9"/>
  <c r="T180" i="9"/>
  <c r="X180" i="9"/>
  <c r="U180" i="9"/>
  <c r="Q180" i="9"/>
  <c r="P180" i="9"/>
  <c r="N180" i="9"/>
  <c r="M180" i="9"/>
  <c r="L180" i="9"/>
  <c r="O180" i="9" s="1"/>
  <c r="V180" i="9"/>
  <c r="S180" i="9"/>
  <c r="W180" i="9" s="1"/>
  <c r="K181" i="9"/>
  <c r="H181" i="9"/>
  <c r="T181" i="9"/>
  <c r="X181" i="9"/>
  <c r="U181" i="9"/>
  <c r="Q181" i="9"/>
  <c r="P181" i="9"/>
  <c r="N181" i="9"/>
  <c r="M181" i="9"/>
  <c r="L181" i="9"/>
  <c r="O181" i="9" s="1"/>
  <c r="V181" i="9"/>
  <c r="S181" i="9"/>
  <c r="W181" i="9" s="1"/>
  <c r="K182" i="9"/>
  <c r="H182" i="9"/>
  <c r="T182" i="9"/>
  <c r="X182" i="9"/>
  <c r="U182" i="9"/>
  <c r="Q182" i="9"/>
  <c r="P182" i="9"/>
  <c r="N182" i="9"/>
  <c r="M182" i="9"/>
  <c r="L182" i="9"/>
  <c r="O182" i="9" s="1"/>
  <c r="V182" i="9"/>
  <c r="S182" i="9"/>
  <c r="W182" i="9" s="1"/>
  <c r="K183" i="9"/>
  <c r="H183" i="9"/>
  <c r="T183" i="9"/>
  <c r="X183" i="9"/>
  <c r="U183" i="9"/>
  <c r="Q183" i="9"/>
  <c r="P183" i="9"/>
  <c r="N183" i="9"/>
  <c r="M183" i="9"/>
  <c r="L183" i="9"/>
  <c r="O183" i="9" s="1"/>
  <c r="V183" i="9"/>
  <c r="S183" i="9"/>
  <c r="W183" i="9" s="1"/>
  <c r="K184" i="9"/>
  <c r="H184" i="9"/>
  <c r="T184" i="9"/>
  <c r="X184" i="9"/>
  <c r="U184" i="9"/>
  <c r="Q184" i="9"/>
  <c r="P184" i="9"/>
  <c r="N184" i="9"/>
  <c r="M184" i="9"/>
  <c r="L184" i="9"/>
  <c r="O184" i="9" s="1"/>
  <c r="V184" i="9"/>
  <c r="S184" i="9"/>
  <c r="W184" i="9" s="1"/>
  <c r="K185" i="9"/>
  <c r="H185" i="9"/>
  <c r="T185" i="9"/>
  <c r="X185" i="9"/>
  <c r="U185" i="9"/>
  <c r="Q185" i="9"/>
  <c r="P185" i="9"/>
  <c r="N185" i="9"/>
  <c r="M185" i="9"/>
  <c r="L185" i="9"/>
  <c r="O185" i="9" s="1"/>
  <c r="V185" i="9"/>
  <c r="S185" i="9"/>
  <c r="W185" i="9" s="1"/>
  <c r="K186" i="9"/>
  <c r="H186" i="9"/>
  <c r="T186" i="9"/>
  <c r="X186" i="9"/>
  <c r="U186" i="9"/>
  <c r="Q186" i="9"/>
  <c r="P186" i="9"/>
  <c r="N186" i="9"/>
  <c r="M186" i="9"/>
  <c r="L186" i="9"/>
  <c r="O186" i="9" s="1"/>
  <c r="V186" i="9"/>
  <c r="S186" i="9"/>
  <c r="W186" i="9" s="1"/>
  <c r="K187" i="9"/>
  <c r="H187" i="9"/>
  <c r="T187" i="9"/>
  <c r="X187" i="9"/>
  <c r="U187" i="9"/>
  <c r="Q187" i="9"/>
  <c r="P187" i="9"/>
  <c r="N187" i="9"/>
  <c r="M187" i="9"/>
  <c r="L187" i="9"/>
  <c r="O187" i="9" s="1"/>
  <c r="V187" i="9"/>
  <c r="S187" i="9"/>
  <c r="W187" i="9" s="1"/>
  <c r="K188" i="9"/>
  <c r="H188" i="9"/>
  <c r="T188" i="9"/>
  <c r="X188" i="9"/>
  <c r="U188" i="9"/>
  <c r="Q188" i="9"/>
  <c r="P188" i="9"/>
  <c r="N188" i="9"/>
  <c r="M188" i="9"/>
  <c r="L188" i="9"/>
  <c r="O188" i="9" s="1"/>
  <c r="V188" i="9"/>
  <c r="S188" i="9"/>
  <c r="W188" i="9" s="1"/>
  <c r="K189" i="9"/>
  <c r="H189" i="9"/>
  <c r="T189" i="9"/>
  <c r="X189" i="9"/>
  <c r="U189" i="9"/>
  <c r="Q189" i="9"/>
  <c r="P189" i="9"/>
  <c r="N189" i="9"/>
  <c r="M189" i="9"/>
  <c r="L189" i="9"/>
  <c r="O189" i="9" s="1"/>
  <c r="V189" i="9"/>
  <c r="S189" i="9"/>
  <c r="W189" i="9" s="1"/>
  <c r="K190" i="9"/>
  <c r="H190" i="9"/>
  <c r="T190" i="9"/>
  <c r="X190" i="9"/>
  <c r="U190" i="9"/>
  <c r="Q190" i="9"/>
  <c r="P190" i="9"/>
  <c r="N190" i="9"/>
  <c r="M190" i="9"/>
  <c r="L190" i="9"/>
  <c r="O190" i="9" s="1"/>
  <c r="V190" i="9"/>
  <c r="S190" i="9"/>
  <c r="W190" i="9" s="1"/>
  <c r="K191" i="9"/>
  <c r="H191" i="9"/>
  <c r="T191" i="9"/>
  <c r="X191" i="9"/>
  <c r="U191" i="9"/>
  <c r="Q191" i="9"/>
  <c r="P191" i="9"/>
  <c r="N191" i="9"/>
  <c r="M191" i="9"/>
  <c r="L191" i="9"/>
  <c r="O191" i="9" s="1"/>
  <c r="V191" i="9"/>
  <c r="S191" i="9"/>
  <c r="W191" i="9" s="1"/>
  <c r="K192" i="9"/>
  <c r="H192" i="9"/>
  <c r="T192" i="9"/>
  <c r="X192" i="9"/>
  <c r="U192" i="9"/>
  <c r="Q192" i="9"/>
  <c r="P192" i="9"/>
  <c r="N192" i="9"/>
  <c r="M192" i="9"/>
  <c r="L192" i="9"/>
  <c r="O192" i="9" s="1"/>
  <c r="V192" i="9"/>
  <c r="S192" i="9"/>
  <c r="W192" i="9" s="1"/>
  <c r="K193" i="9"/>
  <c r="H193" i="9"/>
  <c r="T193" i="9"/>
  <c r="X193" i="9"/>
  <c r="U193" i="9"/>
  <c r="Q193" i="9"/>
  <c r="P193" i="9"/>
  <c r="N193" i="9"/>
  <c r="M193" i="9"/>
  <c r="L193" i="9"/>
  <c r="O193" i="9" s="1"/>
  <c r="V193" i="9"/>
  <c r="S193" i="9"/>
  <c r="W193" i="9" s="1"/>
  <c r="K194" i="9"/>
  <c r="H194" i="9"/>
  <c r="T194" i="9"/>
  <c r="X194" i="9"/>
  <c r="U194" i="9"/>
  <c r="Q194" i="9"/>
  <c r="P194" i="9"/>
  <c r="N194" i="9"/>
  <c r="M194" i="9"/>
  <c r="L194" i="9"/>
  <c r="O194" i="9" s="1"/>
  <c r="V194" i="9"/>
  <c r="S194" i="9"/>
  <c r="W194" i="9" s="1"/>
  <c r="K195" i="9"/>
  <c r="H195" i="9"/>
  <c r="T195" i="9"/>
  <c r="X195" i="9"/>
  <c r="U195" i="9"/>
  <c r="Q195" i="9"/>
  <c r="P195" i="9"/>
  <c r="N195" i="9"/>
  <c r="M195" i="9"/>
  <c r="L195" i="9"/>
  <c r="O195" i="9" s="1"/>
  <c r="V195" i="9"/>
  <c r="S195" i="9"/>
  <c r="W195" i="9" s="1"/>
  <c r="K196" i="9"/>
  <c r="H196" i="9"/>
  <c r="T196" i="9"/>
  <c r="X196" i="9"/>
  <c r="U196" i="9"/>
  <c r="Q196" i="9"/>
  <c r="P196" i="9"/>
  <c r="N196" i="9"/>
  <c r="M196" i="9"/>
  <c r="L196" i="9"/>
  <c r="O196" i="9" s="1"/>
  <c r="V196" i="9"/>
  <c r="S196" i="9"/>
  <c r="W196" i="9" s="1"/>
  <c r="K197" i="9"/>
  <c r="H197" i="9"/>
  <c r="T197" i="9"/>
  <c r="X197" i="9"/>
  <c r="U197" i="9"/>
  <c r="Q197" i="9"/>
  <c r="P197" i="9"/>
  <c r="N197" i="9"/>
  <c r="M197" i="9"/>
  <c r="L197" i="9"/>
  <c r="O197" i="9" s="1"/>
  <c r="V197" i="9"/>
  <c r="S197" i="9"/>
  <c r="W197" i="9" s="1"/>
  <c r="K198" i="9"/>
  <c r="H198" i="9"/>
  <c r="T198" i="9"/>
  <c r="X198" i="9"/>
  <c r="U198" i="9"/>
  <c r="Q198" i="9"/>
  <c r="P198" i="9"/>
  <c r="N198" i="9"/>
  <c r="M198" i="9"/>
  <c r="L198" i="9"/>
  <c r="O198" i="9" s="1"/>
  <c r="V198" i="9"/>
  <c r="S198" i="9"/>
  <c r="W198" i="9" s="1"/>
  <c r="K199" i="9"/>
  <c r="H199" i="9"/>
  <c r="T199" i="9"/>
  <c r="X199" i="9"/>
  <c r="U199" i="9"/>
  <c r="Q199" i="9"/>
  <c r="P199" i="9"/>
  <c r="N199" i="9"/>
  <c r="M199" i="9"/>
  <c r="L199" i="9"/>
  <c r="O199" i="9" s="1"/>
  <c r="V199" i="9"/>
  <c r="S199" i="9"/>
  <c r="W199" i="9" s="1"/>
  <c r="K200" i="9"/>
  <c r="H200" i="9"/>
  <c r="T200" i="9"/>
  <c r="X200" i="9"/>
  <c r="U200" i="9"/>
  <c r="Q200" i="9"/>
  <c r="P200" i="9"/>
  <c r="N200" i="9"/>
  <c r="M200" i="9"/>
  <c r="L200" i="9"/>
  <c r="O200" i="9" s="1"/>
  <c r="V200" i="9"/>
  <c r="S200" i="9"/>
  <c r="W200" i="9" s="1"/>
  <c r="K201" i="9"/>
  <c r="H201" i="9"/>
  <c r="T201" i="9"/>
  <c r="X201" i="9"/>
  <c r="U201" i="9"/>
  <c r="Q201" i="9"/>
  <c r="P201" i="9"/>
  <c r="N201" i="9"/>
  <c r="M201" i="9"/>
  <c r="L201" i="9"/>
  <c r="O201" i="9" s="1"/>
  <c r="V201" i="9"/>
  <c r="S201" i="9"/>
  <c r="W201" i="9" s="1"/>
  <c r="K202" i="9"/>
  <c r="H202" i="9"/>
  <c r="T202" i="9"/>
  <c r="X202" i="9"/>
  <c r="U202" i="9"/>
  <c r="Q202" i="9"/>
  <c r="P202" i="9"/>
  <c r="N202" i="9"/>
  <c r="M202" i="9"/>
  <c r="L202" i="9"/>
  <c r="O202" i="9" s="1"/>
  <c r="V202" i="9"/>
  <c r="S202" i="9"/>
  <c r="W202" i="9" s="1"/>
  <c r="K203" i="9"/>
  <c r="H203" i="9"/>
  <c r="T203" i="9"/>
  <c r="X203" i="9"/>
  <c r="U203" i="9"/>
  <c r="Q203" i="9"/>
  <c r="P203" i="9"/>
  <c r="N203" i="9"/>
  <c r="M203" i="9"/>
  <c r="L203" i="9"/>
  <c r="O203" i="9" s="1"/>
  <c r="V203" i="9"/>
  <c r="S203" i="9"/>
  <c r="W203" i="9" s="1"/>
  <c r="K204" i="9"/>
  <c r="H204" i="9"/>
  <c r="T204" i="9"/>
  <c r="X204" i="9"/>
  <c r="U204" i="9"/>
  <c r="Q204" i="9"/>
  <c r="P204" i="9"/>
  <c r="N204" i="9"/>
  <c r="M204" i="9"/>
  <c r="L204" i="9"/>
  <c r="O204" i="9" s="1"/>
  <c r="V204" i="9"/>
  <c r="S204" i="9"/>
  <c r="W204" i="9" s="1"/>
  <c r="K205" i="9"/>
  <c r="H205" i="9"/>
  <c r="T205" i="9"/>
  <c r="X205" i="9"/>
  <c r="U205" i="9"/>
  <c r="Q205" i="9"/>
  <c r="P205" i="9"/>
  <c r="N205" i="9"/>
  <c r="M205" i="9"/>
  <c r="L205" i="9"/>
  <c r="O205" i="9" s="1"/>
  <c r="V205" i="9"/>
  <c r="S205" i="9"/>
  <c r="W205" i="9" s="1"/>
  <c r="K206" i="9"/>
  <c r="H206" i="9"/>
  <c r="T206" i="9"/>
  <c r="X206" i="9"/>
  <c r="U206" i="9"/>
  <c r="Q206" i="9"/>
  <c r="P206" i="9"/>
  <c r="N206" i="9"/>
  <c r="M206" i="9"/>
  <c r="L206" i="9"/>
  <c r="O206" i="9" s="1"/>
  <c r="V206" i="9"/>
  <c r="S206" i="9"/>
  <c r="W206" i="9" s="1"/>
  <c r="K207" i="9"/>
  <c r="H207" i="9"/>
  <c r="T207" i="9"/>
  <c r="X207" i="9"/>
  <c r="U207" i="9"/>
  <c r="Q207" i="9"/>
  <c r="P207" i="9"/>
  <c r="N207" i="9"/>
  <c r="M207" i="9"/>
  <c r="L207" i="9"/>
  <c r="O207" i="9" s="1"/>
  <c r="V207" i="9"/>
  <c r="S207" i="9"/>
  <c r="W207" i="9" s="1"/>
  <c r="K208" i="9"/>
  <c r="H208" i="9"/>
  <c r="T208" i="9"/>
  <c r="X208" i="9"/>
  <c r="U208" i="9"/>
  <c r="Q208" i="9"/>
  <c r="P208" i="9"/>
  <c r="N208" i="9"/>
  <c r="M208" i="9"/>
  <c r="L208" i="9"/>
  <c r="O208" i="9" s="1"/>
  <c r="V208" i="9"/>
  <c r="S208" i="9"/>
  <c r="W208" i="9" s="1"/>
  <c r="K209" i="9"/>
  <c r="H209" i="9"/>
  <c r="T209" i="9"/>
  <c r="X209" i="9"/>
  <c r="U209" i="9"/>
  <c r="Q209" i="9"/>
  <c r="P209" i="9"/>
  <c r="N209" i="9"/>
  <c r="M209" i="9"/>
  <c r="L209" i="9"/>
  <c r="O209" i="9" s="1"/>
  <c r="V209" i="9"/>
  <c r="S209" i="9"/>
  <c r="W209" i="9" s="1"/>
  <c r="K210" i="9"/>
  <c r="H210" i="9"/>
  <c r="T210" i="9"/>
  <c r="X210" i="9"/>
  <c r="U210" i="9"/>
  <c r="Q210" i="9"/>
  <c r="P210" i="9"/>
  <c r="N210" i="9"/>
  <c r="M210" i="9"/>
  <c r="L210" i="9"/>
  <c r="O210" i="9" s="1"/>
  <c r="V210" i="9"/>
  <c r="S210" i="9"/>
  <c r="W210" i="9" s="1"/>
  <c r="K211" i="9"/>
  <c r="H211" i="9"/>
  <c r="T211" i="9"/>
  <c r="X211" i="9"/>
  <c r="U211" i="9"/>
  <c r="Q211" i="9"/>
  <c r="P211" i="9"/>
  <c r="N211" i="9"/>
  <c r="M211" i="9"/>
  <c r="L211" i="9"/>
  <c r="O211" i="9" s="1"/>
  <c r="V211" i="9"/>
  <c r="S211" i="9"/>
  <c r="W211" i="9" s="1"/>
  <c r="K212" i="9"/>
  <c r="H212" i="9"/>
  <c r="T212" i="9"/>
  <c r="X212" i="9"/>
  <c r="U212" i="9"/>
  <c r="Q212" i="9"/>
  <c r="P212" i="9"/>
  <c r="N212" i="9"/>
  <c r="M212" i="9"/>
  <c r="L212" i="9"/>
  <c r="O212" i="9" s="1"/>
  <c r="V212" i="9"/>
  <c r="S212" i="9"/>
  <c r="W212" i="9" s="1"/>
  <c r="K213" i="9"/>
  <c r="H213" i="9"/>
  <c r="T213" i="9"/>
  <c r="X213" i="9"/>
  <c r="U213" i="9"/>
  <c r="Q213" i="9"/>
  <c r="P213" i="9"/>
  <c r="N213" i="9"/>
  <c r="M213" i="9"/>
  <c r="L213" i="9"/>
  <c r="O213" i="9" s="1"/>
  <c r="V213" i="9"/>
  <c r="S213" i="9"/>
  <c r="W213" i="9" s="1"/>
  <c r="K214" i="9"/>
  <c r="H214" i="9"/>
  <c r="T214" i="9"/>
  <c r="X214" i="9"/>
  <c r="U214" i="9"/>
  <c r="Q214" i="9"/>
  <c r="P214" i="9"/>
  <c r="N214" i="9"/>
  <c r="M214" i="9"/>
  <c r="L214" i="9"/>
  <c r="O214" i="9" s="1"/>
  <c r="V214" i="9"/>
  <c r="S214" i="9"/>
  <c r="W214" i="9" s="1"/>
  <c r="K215" i="9"/>
  <c r="H215" i="9"/>
  <c r="T215" i="9"/>
  <c r="X215" i="9"/>
  <c r="U215" i="9"/>
  <c r="Q215" i="9"/>
  <c r="P215" i="9"/>
  <c r="N215" i="9"/>
  <c r="M215" i="9"/>
  <c r="L215" i="9"/>
  <c r="O215" i="9" s="1"/>
  <c r="V215" i="9"/>
  <c r="S215" i="9"/>
  <c r="W215" i="9" s="1"/>
  <c r="K216" i="9"/>
  <c r="H216" i="9"/>
  <c r="T216" i="9"/>
  <c r="X216" i="9"/>
  <c r="U216" i="9"/>
  <c r="Q216" i="9"/>
  <c r="P216" i="9"/>
  <c r="N216" i="9"/>
  <c r="M216" i="9"/>
  <c r="L216" i="9"/>
  <c r="O216" i="9" s="1"/>
  <c r="V216" i="9"/>
  <c r="S216" i="9"/>
  <c r="W216" i="9" s="1"/>
  <c r="K217" i="9"/>
  <c r="H217" i="9"/>
  <c r="T217" i="9"/>
  <c r="X217" i="9"/>
  <c r="U217" i="9"/>
  <c r="Q217" i="9"/>
  <c r="P217" i="9"/>
  <c r="N217" i="9"/>
  <c r="M217" i="9"/>
  <c r="L217" i="9"/>
  <c r="O217" i="9" s="1"/>
  <c r="V217" i="9"/>
  <c r="S217" i="9"/>
  <c r="W217" i="9" s="1"/>
  <c r="K218" i="9"/>
  <c r="H218" i="9"/>
  <c r="T218" i="9"/>
  <c r="X218" i="9"/>
  <c r="U218" i="9"/>
  <c r="Q218" i="9"/>
  <c r="P218" i="9"/>
  <c r="N218" i="9"/>
  <c r="M218" i="9"/>
  <c r="L218" i="9"/>
  <c r="O218" i="9" s="1"/>
  <c r="V218" i="9"/>
  <c r="S218" i="9"/>
  <c r="W218" i="9" s="1"/>
  <c r="K219" i="9"/>
  <c r="H219" i="9"/>
  <c r="T219" i="9"/>
  <c r="X219" i="9"/>
  <c r="U219" i="9"/>
  <c r="Q219" i="9"/>
  <c r="P219" i="9"/>
  <c r="N219" i="9"/>
  <c r="M219" i="9"/>
  <c r="L219" i="9"/>
  <c r="O219" i="9" s="1"/>
  <c r="V219" i="9"/>
  <c r="S219" i="9"/>
  <c r="W219" i="9" s="1"/>
  <c r="K220" i="9"/>
  <c r="H220" i="9"/>
  <c r="T220" i="9"/>
  <c r="X220" i="9"/>
  <c r="U220" i="9"/>
  <c r="Q220" i="9"/>
  <c r="P220" i="9"/>
  <c r="N220" i="9"/>
  <c r="M220" i="9"/>
  <c r="L220" i="9"/>
  <c r="O220" i="9" s="1"/>
  <c r="V220" i="9"/>
  <c r="S220" i="9"/>
  <c r="W220" i="9" s="1"/>
  <c r="K221" i="9"/>
  <c r="H221" i="9"/>
  <c r="T221" i="9"/>
  <c r="X221" i="9"/>
  <c r="U221" i="9"/>
  <c r="Q221" i="9"/>
  <c r="P221" i="9"/>
  <c r="N221" i="9"/>
  <c r="M221" i="9"/>
  <c r="L221" i="9"/>
  <c r="O221" i="9" s="1"/>
  <c r="V221" i="9"/>
  <c r="S221" i="9"/>
  <c r="W221" i="9" s="1"/>
  <c r="K222" i="9"/>
  <c r="H222" i="9"/>
  <c r="T222" i="9"/>
  <c r="X222" i="9"/>
  <c r="U222" i="9"/>
  <c r="Q222" i="9"/>
  <c r="P222" i="9"/>
  <c r="N222" i="9"/>
  <c r="M222" i="9"/>
  <c r="L222" i="9"/>
  <c r="O222" i="9" s="1"/>
  <c r="V222" i="9"/>
  <c r="S222" i="9"/>
  <c r="W222" i="9" s="1"/>
  <c r="K223" i="9"/>
  <c r="H223" i="9"/>
  <c r="T223" i="9"/>
  <c r="X223" i="9"/>
  <c r="U223" i="9"/>
  <c r="Q223" i="9"/>
  <c r="P223" i="9"/>
  <c r="N223" i="9"/>
  <c r="M223" i="9"/>
  <c r="L223" i="9"/>
  <c r="O223" i="9" s="1"/>
  <c r="V223" i="9"/>
  <c r="S223" i="9"/>
  <c r="W223" i="9" s="1"/>
  <c r="K224" i="9"/>
  <c r="H224" i="9"/>
  <c r="T224" i="9"/>
  <c r="X224" i="9"/>
  <c r="U224" i="9"/>
  <c r="Q224" i="9"/>
  <c r="P224" i="9"/>
  <c r="N224" i="9"/>
  <c r="M224" i="9"/>
  <c r="L224" i="9"/>
  <c r="O224" i="9" s="1"/>
  <c r="V224" i="9"/>
  <c r="S224" i="9"/>
  <c r="W224" i="9" s="1"/>
  <c r="K225" i="9"/>
  <c r="H225" i="9"/>
  <c r="T225" i="9"/>
  <c r="X225" i="9"/>
  <c r="U225" i="9"/>
  <c r="Q225" i="9"/>
  <c r="P225" i="9"/>
  <c r="N225" i="9"/>
  <c r="M225" i="9"/>
  <c r="L225" i="9"/>
  <c r="O225" i="9" s="1"/>
  <c r="V225" i="9"/>
  <c r="S225" i="9"/>
  <c r="W225" i="9" s="1"/>
  <c r="K226" i="9"/>
  <c r="H226" i="9"/>
  <c r="T226" i="9"/>
  <c r="X226" i="9"/>
  <c r="U226" i="9"/>
  <c r="Q226" i="9"/>
  <c r="P226" i="9"/>
  <c r="N226" i="9"/>
  <c r="M226" i="9"/>
  <c r="L226" i="9"/>
  <c r="O226" i="9" s="1"/>
  <c r="V226" i="9"/>
  <c r="S226" i="9"/>
  <c r="W226" i="9" s="1"/>
  <c r="K227" i="9"/>
  <c r="H227" i="9"/>
  <c r="T227" i="9"/>
  <c r="X227" i="9"/>
  <c r="U227" i="9"/>
  <c r="Q227" i="9"/>
  <c r="P227" i="9"/>
  <c r="N227" i="9"/>
  <c r="M227" i="9"/>
  <c r="L227" i="9"/>
  <c r="O227" i="9" s="1"/>
  <c r="V227" i="9"/>
  <c r="S227" i="9"/>
  <c r="W227" i="9" s="1"/>
  <c r="K228" i="9"/>
  <c r="H228" i="9"/>
  <c r="T228" i="9"/>
  <c r="X228" i="9"/>
  <c r="U228" i="9"/>
  <c r="Q228" i="9"/>
  <c r="P228" i="9"/>
  <c r="N228" i="9"/>
  <c r="M228" i="9"/>
  <c r="L228" i="9"/>
  <c r="O228" i="9" s="1"/>
  <c r="V228" i="9"/>
  <c r="S228" i="9"/>
  <c r="W228" i="9" s="1"/>
  <c r="K229" i="9"/>
  <c r="H229" i="9"/>
  <c r="T229" i="9"/>
  <c r="X229" i="9"/>
  <c r="U229" i="9"/>
  <c r="Q229" i="9"/>
  <c r="P229" i="9"/>
  <c r="N229" i="9"/>
  <c r="M229" i="9"/>
  <c r="L229" i="9"/>
  <c r="O229" i="9" s="1"/>
  <c r="V229" i="9"/>
  <c r="S229" i="9"/>
  <c r="W229" i="9" s="1"/>
  <c r="K230" i="9"/>
  <c r="H230" i="9"/>
  <c r="T230" i="9"/>
  <c r="X230" i="9"/>
  <c r="U230" i="9"/>
  <c r="Q230" i="9"/>
  <c r="P230" i="9"/>
  <c r="N230" i="9"/>
  <c r="M230" i="9"/>
  <c r="L230" i="9"/>
  <c r="O230" i="9" s="1"/>
  <c r="V230" i="9"/>
  <c r="S230" i="9"/>
  <c r="W230" i="9" s="1"/>
  <c r="K231" i="9"/>
  <c r="H231" i="9"/>
  <c r="T231" i="9"/>
  <c r="X231" i="9"/>
  <c r="U231" i="9"/>
  <c r="Q231" i="9"/>
  <c r="P231" i="9"/>
  <c r="N231" i="9"/>
  <c r="M231" i="9"/>
  <c r="L231" i="9"/>
  <c r="O231" i="9" s="1"/>
  <c r="V231" i="9"/>
  <c r="S231" i="9"/>
  <c r="W231" i="9" s="1"/>
  <c r="K232" i="9"/>
  <c r="H232" i="9"/>
  <c r="T232" i="9"/>
  <c r="X232" i="9"/>
  <c r="U232" i="9"/>
  <c r="Q232" i="9"/>
  <c r="P232" i="9"/>
  <c r="N232" i="9"/>
  <c r="M232" i="9"/>
  <c r="L232" i="9"/>
  <c r="O232" i="9" s="1"/>
  <c r="V232" i="9"/>
  <c r="S232" i="9"/>
  <c r="W232" i="9" s="1"/>
  <c r="K233" i="9"/>
  <c r="H233" i="9"/>
  <c r="T233" i="9"/>
  <c r="X233" i="9"/>
  <c r="U233" i="9"/>
  <c r="Q233" i="9"/>
  <c r="P233" i="9"/>
  <c r="N233" i="9"/>
  <c r="M233" i="9"/>
  <c r="L233" i="9"/>
  <c r="O233" i="9" s="1"/>
  <c r="V233" i="9"/>
  <c r="S233" i="9"/>
  <c r="W233" i="9" s="1"/>
  <c r="K234" i="9"/>
  <c r="H234" i="9"/>
  <c r="T234" i="9"/>
  <c r="X234" i="9"/>
  <c r="U234" i="9"/>
  <c r="Q234" i="9"/>
  <c r="P234" i="9"/>
  <c r="N234" i="9"/>
  <c r="M234" i="9"/>
  <c r="L234" i="9"/>
  <c r="O234" i="9" s="1"/>
  <c r="V234" i="9"/>
  <c r="S234" i="9"/>
  <c r="W234" i="9" s="1"/>
  <c r="K235" i="9"/>
  <c r="H235" i="9"/>
  <c r="T235" i="9"/>
  <c r="X235" i="9"/>
  <c r="U235" i="9"/>
  <c r="Q235" i="9"/>
  <c r="P235" i="9"/>
  <c r="N235" i="9"/>
  <c r="M235" i="9"/>
  <c r="L235" i="9"/>
  <c r="O235" i="9" s="1"/>
  <c r="V235" i="9"/>
  <c r="S235" i="9"/>
  <c r="W235" i="9" s="1"/>
  <c r="K236" i="9"/>
  <c r="H236" i="9"/>
  <c r="T236" i="9"/>
  <c r="X236" i="9"/>
  <c r="U236" i="9"/>
  <c r="Q236" i="9"/>
  <c r="P236" i="9"/>
  <c r="N236" i="9"/>
  <c r="M236" i="9"/>
  <c r="L236" i="9"/>
  <c r="O236" i="9" s="1"/>
  <c r="V236" i="9"/>
  <c r="S236" i="9"/>
  <c r="W236" i="9" s="1"/>
  <c r="K237" i="9"/>
  <c r="H237" i="9"/>
  <c r="T237" i="9"/>
  <c r="X237" i="9"/>
  <c r="U237" i="9"/>
  <c r="Q237" i="9"/>
  <c r="P237" i="9"/>
  <c r="N237" i="9"/>
  <c r="M237" i="9"/>
  <c r="L237" i="9"/>
  <c r="O237" i="9" s="1"/>
  <c r="V237" i="9"/>
  <c r="S237" i="9"/>
  <c r="W237" i="9" s="1"/>
  <c r="K238" i="9"/>
  <c r="H238" i="9"/>
  <c r="T238" i="9"/>
  <c r="X238" i="9"/>
  <c r="U238" i="9"/>
  <c r="Q238" i="9"/>
  <c r="P238" i="9"/>
  <c r="N238" i="9"/>
  <c r="M238" i="9"/>
  <c r="L238" i="9"/>
  <c r="O238" i="9" s="1"/>
  <c r="V238" i="9"/>
  <c r="S238" i="9"/>
  <c r="W238" i="9" s="1"/>
  <c r="K239" i="9"/>
  <c r="H239" i="9"/>
  <c r="T239" i="9"/>
  <c r="X239" i="9"/>
  <c r="U239" i="9"/>
  <c r="Q239" i="9"/>
  <c r="P239" i="9"/>
  <c r="N239" i="9"/>
  <c r="M239" i="9"/>
  <c r="L239" i="9"/>
  <c r="O239" i="9" s="1"/>
  <c r="V239" i="9"/>
  <c r="S239" i="9"/>
  <c r="W239" i="9" s="1"/>
  <c r="K240" i="9"/>
  <c r="H240" i="9"/>
  <c r="T240" i="9"/>
  <c r="X240" i="9"/>
  <c r="U240" i="9"/>
  <c r="Q240" i="9"/>
  <c r="P240" i="9"/>
  <c r="N240" i="9"/>
  <c r="M240" i="9"/>
  <c r="L240" i="9"/>
  <c r="O240" i="9" s="1"/>
  <c r="V240" i="9"/>
  <c r="S240" i="9"/>
  <c r="W240" i="9" s="1"/>
  <c r="K241" i="9"/>
  <c r="H241" i="9"/>
  <c r="T241" i="9"/>
  <c r="X241" i="9"/>
  <c r="U241" i="9"/>
  <c r="Q241" i="9"/>
  <c r="P241" i="9"/>
  <c r="N241" i="9"/>
  <c r="M241" i="9"/>
  <c r="L241" i="9"/>
  <c r="O241" i="9" s="1"/>
  <c r="V241" i="9"/>
  <c r="S241" i="9"/>
  <c r="W241" i="9" s="1"/>
  <c r="K242" i="9"/>
  <c r="H242" i="9"/>
  <c r="T242" i="9"/>
  <c r="X242" i="9"/>
  <c r="U242" i="9"/>
  <c r="Q242" i="9"/>
  <c r="P242" i="9"/>
  <c r="N242" i="9"/>
  <c r="M242" i="9"/>
  <c r="L242" i="9"/>
  <c r="O242" i="9" s="1"/>
  <c r="V242" i="9"/>
  <c r="S242" i="9"/>
  <c r="W242" i="9" s="1"/>
  <c r="K243" i="9"/>
  <c r="H243" i="9"/>
  <c r="T243" i="9"/>
  <c r="X243" i="9"/>
  <c r="U243" i="9"/>
  <c r="Q243" i="9"/>
  <c r="P243" i="9"/>
  <c r="N243" i="9"/>
  <c r="M243" i="9"/>
  <c r="L243" i="9"/>
  <c r="O243" i="9" s="1"/>
  <c r="V243" i="9"/>
  <c r="S243" i="9"/>
  <c r="W243" i="9" s="1"/>
  <c r="K244" i="9"/>
  <c r="H244" i="9"/>
  <c r="T244" i="9"/>
  <c r="X244" i="9"/>
  <c r="U244" i="9"/>
  <c r="Q244" i="9"/>
  <c r="P244" i="9"/>
  <c r="N244" i="9"/>
  <c r="M244" i="9"/>
  <c r="L244" i="9"/>
  <c r="O244" i="9" s="1"/>
  <c r="V244" i="9"/>
  <c r="S244" i="9"/>
  <c r="W244" i="9" s="1"/>
  <c r="K245" i="9"/>
  <c r="H245" i="9"/>
  <c r="T245" i="9"/>
  <c r="X245" i="9"/>
  <c r="U245" i="9"/>
  <c r="Q245" i="9"/>
  <c r="P245" i="9"/>
  <c r="N245" i="9"/>
  <c r="M245" i="9"/>
  <c r="L245" i="9"/>
  <c r="O245" i="9" s="1"/>
  <c r="V245" i="9"/>
  <c r="S245" i="9"/>
  <c r="W245" i="9" s="1"/>
  <c r="K246" i="9"/>
  <c r="H246" i="9"/>
  <c r="T246" i="9"/>
  <c r="X246" i="9"/>
  <c r="U246" i="9"/>
  <c r="Q246" i="9"/>
  <c r="P246" i="9"/>
  <c r="N246" i="9"/>
  <c r="M246" i="9"/>
  <c r="L246" i="9"/>
  <c r="O246" i="9" s="1"/>
  <c r="V246" i="9"/>
  <c r="S246" i="9"/>
  <c r="W246" i="9" s="1"/>
  <c r="K247" i="9"/>
  <c r="H247" i="9"/>
  <c r="T247" i="9"/>
  <c r="X247" i="9"/>
  <c r="U247" i="9"/>
  <c r="Q247" i="9"/>
  <c r="P247" i="9"/>
  <c r="N247" i="9"/>
  <c r="M247" i="9"/>
  <c r="L247" i="9"/>
  <c r="O247" i="9" s="1"/>
  <c r="V247" i="9"/>
  <c r="S247" i="9"/>
  <c r="W247" i="9" s="1"/>
  <c r="K248" i="9"/>
  <c r="H248" i="9"/>
  <c r="T248" i="9"/>
  <c r="X248" i="9"/>
  <c r="U248" i="9"/>
  <c r="Q248" i="9"/>
  <c r="P248" i="9"/>
  <c r="N248" i="9"/>
  <c r="M248" i="9"/>
  <c r="L248" i="9"/>
  <c r="O248" i="9" s="1"/>
  <c r="V248" i="9"/>
  <c r="S248" i="9"/>
  <c r="W248" i="9" s="1"/>
  <c r="K249" i="9"/>
  <c r="H249" i="9"/>
  <c r="T249" i="9"/>
  <c r="X249" i="9"/>
  <c r="U249" i="9"/>
  <c r="Q249" i="9"/>
  <c r="P249" i="9"/>
  <c r="N249" i="9"/>
  <c r="M249" i="9"/>
  <c r="L249" i="9"/>
  <c r="O249" i="9" s="1"/>
  <c r="V249" i="9"/>
  <c r="S249" i="9"/>
  <c r="W249" i="9" s="1"/>
  <c r="K250" i="9"/>
  <c r="H250" i="9"/>
  <c r="T250" i="9"/>
  <c r="X250" i="9"/>
  <c r="U250" i="9"/>
  <c r="Q250" i="9"/>
  <c r="P250" i="9"/>
  <c r="N250" i="9"/>
  <c r="M250" i="9"/>
  <c r="L250" i="9"/>
  <c r="O250" i="9" s="1"/>
  <c r="V250" i="9"/>
  <c r="S250" i="9"/>
  <c r="W250" i="9" s="1"/>
  <c r="K6" i="11"/>
  <c r="H6" i="11"/>
  <c r="T6" i="11"/>
  <c r="X6" i="11"/>
  <c r="U6" i="11"/>
  <c r="Q6" i="11"/>
  <c r="P6" i="11"/>
  <c r="N6" i="11"/>
  <c r="M6" i="11"/>
  <c r="L6" i="11"/>
  <c r="O6" i="11" s="1"/>
  <c r="V6" i="11"/>
  <c r="S6" i="11"/>
  <c r="W6" i="11" s="1"/>
  <c r="K7" i="11"/>
  <c r="H7" i="11"/>
  <c r="T7" i="11"/>
  <c r="X7" i="11"/>
  <c r="U7" i="11"/>
  <c r="Q7" i="11"/>
  <c r="P7" i="11"/>
  <c r="N7" i="11"/>
  <c r="M7" i="11"/>
  <c r="L7" i="11"/>
  <c r="O7" i="11" s="1"/>
  <c r="V7" i="11"/>
  <c r="S7" i="11"/>
  <c r="W7" i="11" s="1"/>
  <c r="K8" i="11"/>
  <c r="H8" i="11"/>
  <c r="T8" i="11"/>
  <c r="X8" i="11"/>
  <c r="U8" i="11"/>
  <c r="Q8" i="11"/>
  <c r="P8" i="11"/>
  <c r="N8" i="11"/>
  <c r="M8" i="11"/>
  <c r="L8" i="11"/>
  <c r="O8" i="11" s="1"/>
  <c r="V8" i="11"/>
  <c r="S8" i="11"/>
  <c r="W8" i="11" s="1"/>
  <c r="K9" i="11"/>
  <c r="H9" i="11"/>
  <c r="T9" i="11"/>
  <c r="X9" i="11"/>
  <c r="U9" i="11"/>
  <c r="Q9" i="11"/>
  <c r="P9" i="11"/>
  <c r="N9" i="11"/>
  <c r="M9" i="11"/>
  <c r="L9" i="11"/>
  <c r="O9" i="11" s="1"/>
  <c r="V9" i="11"/>
  <c r="S9" i="11"/>
  <c r="W9" i="11" s="1"/>
  <c r="K10" i="11"/>
  <c r="H10" i="11"/>
  <c r="T10" i="11"/>
  <c r="X10" i="11"/>
  <c r="U10" i="11"/>
  <c r="Q10" i="11"/>
  <c r="P10" i="11"/>
  <c r="N10" i="11"/>
  <c r="M10" i="11"/>
  <c r="L10" i="11"/>
  <c r="O10" i="11" s="1"/>
  <c r="V10" i="11"/>
  <c r="S10" i="11"/>
  <c r="W10" i="11" s="1"/>
  <c r="K11" i="11"/>
  <c r="H11" i="11"/>
  <c r="T11" i="11"/>
  <c r="X11" i="11"/>
  <c r="U11" i="11"/>
  <c r="Q11" i="11"/>
  <c r="P11" i="11"/>
  <c r="N11" i="11"/>
  <c r="M11" i="11"/>
  <c r="L11" i="11"/>
  <c r="O11" i="11" s="1"/>
  <c r="V11" i="11"/>
  <c r="S11" i="11"/>
  <c r="W11" i="11" s="1"/>
  <c r="K12" i="11"/>
  <c r="H12" i="11"/>
  <c r="T12" i="11"/>
  <c r="X12" i="11"/>
  <c r="U12" i="11"/>
  <c r="Q12" i="11"/>
  <c r="P12" i="11"/>
  <c r="N12" i="11"/>
  <c r="M12" i="11"/>
  <c r="L12" i="11"/>
  <c r="O12" i="11" s="1"/>
  <c r="V12" i="11"/>
  <c r="S12" i="11"/>
  <c r="W12" i="11" s="1"/>
  <c r="K13" i="11"/>
  <c r="H13" i="11"/>
  <c r="T13" i="11"/>
  <c r="X13" i="11"/>
  <c r="U13" i="11"/>
  <c r="Q13" i="11"/>
  <c r="P13" i="11"/>
  <c r="N13" i="11"/>
  <c r="M13" i="11"/>
  <c r="L13" i="11"/>
  <c r="O13" i="11" s="1"/>
  <c r="V13" i="11"/>
  <c r="S13" i="11"/>
  <c r="W13" i="11" s="1"/>
  <c r="K14" i="11"/>
  <c r="H14" i="11"/>
  <c r="T14" i="11"/>
  <c r="X14" i="11"/>
  <c r="U14" i="11"/>
  <c r="Q14" i="11"/>
  <c r="P14" i="11"/>
  <c r="N14" i="11"/>
  <c r="M14" i="11"/>
  <c r="L14" i="11"/>
  <c r="O14" i="11" s="1"/>
  <c r="V14" i="11"/>
  <c r="S14" i="11"/>
  <c r="W14" i="11" s="1"/>
  <c r="K15" i="11"/>
  <c r="H15" i="11"/>
  <c r="T15" i="11"/>
  <c r="X15" i="11"/>
  <c r="U15" i="11"/>
  <c r="Q15" i="11"/>
  <c r="P15" i="11"/>
  <c r="N15" i="11"/>
  <c r="M15" i="11"/>
  <c r="L15" i="11"/>
  <c r="O15" i="11" s="1"/>
  <c r="V15" i="11"/>
  <c r="S15" i="11"/>
  <c r="W15" i="11" s="1"/>
  <c r="K16" i="11"/>
  <c r="H16" i="11"/>
  <c r="T16" i="11"/>
  <c r="X16" i="11"/>
  <c r="U16" i="11"/>
  <c r="Q16" i="11"/>
  <c r="P16" i="11"/>
  <c r="N16" i="11"/>
  <c r="M16" i="11"/>
  <c r="L16" i="11"/>
  <c r="O16" i="11" s="1"/>
  <c r="V16" i="11"/>
  <c r="S16" i="11"/>
  <c r="W16" i="11" s="1"/>
  <c r="K17" i="11"/>
  <c r="H17" i="11"/>
  <c r="T17" i="11"/>
  <c r="X17" i="11"/>
  <c r="U17" i="11"/>
  <c r="Q17" i="11"/>
  <c r="P17" i="11"/>
  <c r="N17" i="11"/>
  <c r="M17" i="11"/>
  <c r="L17" i="11"/>
  <c r="O17" i="11" s="1"/>
  <c r="V17" i="11"/>
  <c r="S17" i="11"/>
  <c r="W17" i="11" s="1"/>
  <c r="K18" i="11"/>
  <c r="H18" i="11"/>
  <c r="T18" i="11"/>
  <c r="X18" i="11"/>
  <c r="U18" i="11"/>
  <c r="Q18" i="11"/>
  <c r="P18" i="11"/>
  <c r="N18" i="11"/>
  <c r="M18" i="11"/>
  <c r="L18" i="11"/>
  <c r="O18" i="11" s="1"/>
  <c r="V18" i="11"/>
  <c r="S18" i="11"/>
  <c r="W18" i="11" s="1"/>
  <c r="K19" i="11"/>
  <c r="H19" i="11"/>
  <c r="T19" i="11"/>
  <c r="X19" i="11"/>
  <c r="U19" i="11"/>
  <c r="Q19" i="11"/>
  <c r="P19" i="11"/>
  <c r="N19" i="11"/>
  <c r="M19" i="11"/>
  <c r="L19" i="11"/>
  <c r="O19" i="11" s="1"/>
  <c r="V19" i="11"/>
  <c r="S19" i="11"/>
  <c r="W19" i="11" s="1"/>
  <c r="K20" i="11"/>
  <c r="H20" i="11"/>
  <c r="T20" i="11"/>
  <c r="X20" i="11"/>
  <c r="U20" i="11"/>
  <c r="Q20" i="11"/>
  <c r="P20" i="11"/>
  <c r="N20" i="11"/>
  <c r="M20" i="11"/>
  <c r="L20" i="11"/>
  <c r="O20" i="11" s="1"/>
  <c r="V20" i="11"/>
  <c r="S20" i="11"/>
  <c r="W20" i="11" s="1"/>
  <c r="K21" i="11"/>
  <c r="H21" i="11"/>
  <c r="T21" i="11"/>
  <c r="X21" i="11"/>
  <c r="U21" i="11"/>
  <c r="Q21" i="11"/>
  <c r="P21" i="11"/>
  <c r="N21" i="11"/>
  <c r="M21" i="11"/>
  <c r="L21" i="11"/>
  <c r="O21" i="11" s="1"/>
  <c r="V21" i="11"/>
  <c r="S21" i="11"/>
  <c r="W21" i="11" s="1"/>
  <c r="K22" i="11"/>
  <c r="H22" i="11"/>
  <c r="T22" i="11"/>
  <c r="X22" i="11"/>
  <c r="U22" i="11"/>
  <c r="Q22" i="11"/>
  <c r="P22" i="11"/>
  <c r="N22" i="11"/>
  <c r="M22" i="11"/>
  <c r="L22" i="11"/>
  <c r="O22" i="11" s="1"/>
  <c r="V22" i="11"/>
  <c r="S22" i="11"/>
  <c r="W22" i="11" s="1"/>
  <c r="K23" i="11"/>
  <c r="H23" i="11"/>
  <c r="T23" i="11"/>
  <c r="X23" i="11"/>
  <c r="U23" i="11"/>
  <c r="Q23" i="11"/>
  <c r="P23" i="11"/>
  <c r="N23" i="11"/>
  <c r="M23" i="11"/>
  <c r="L23" i="11"/>
  <c r="O23" i="11" s="1"/>
  <c r="V23" i="11"/>
  <c r="S23" i="11"/>
  <c r="W23" i="11" s="1"/>
  <c r="K24" i="11"/>
  <c r="H24" i="11"/>
  <c r="T24" i="11"/>
  <c r="X24" i="11"/>
  <c r="U24" i="11"/>
  <c r="Q24" i="11"/>
  <c r="P24" i="11"/>
  <c r="N24" i="11"/>
  <c r="M24" i="11"/>
  <c r="L24" i="11"/>
  <c r="O24" i="11" s="1"/>
  <c r="V24" i="11"/>
  <c r="S24" i="11"/>
  <c r="W24" i="11" s="1"/>
  <c r="K25" i="11"/>
  <c r="H25" i="11"/>
  <c r="T25" i="11"/>
  <c r="X25" i="11"/>
  <c r="U25" i="11"/>
  <c r="Q25" i="11"/>
  <c r="P25" i="11"/>
  <c r="N25" i="11"/>
  <c r="M25" i="11"/>
  <c r="L25" i="11"/>
  <c r="O25" i="11" s="1"/>
  <c r="V25" i="11"/>
  <c r="S25" i="11"/>
  <c r="W25" i="11" s="1"/>
  <c r="K26" i="11"/>
  <c r="H26" i="11"/>
  <c r="T26" i="11"/>
  <c r="X26" i="11"/>
  <c r="U26" i="11"/>
  <c r="Q26" i="11"/>
  <c r="P26" i="11"/>
  <c r="N26" i="11"/>
  <c r="M26" i="11"/>
  <c r="L26" i="11"/>
  <c r="O26" i="11" s="1"/>
  <c r="V26" i="11"/>
  <c r="S26" i="11"/>
  <c r="W26" i="11" s="1"/>
  <c r="K27" i="11"/>
  <c r="H27" i="11"/>
  <c r="T27" i="11"/>
  <c r="X27" i="11"/>
  <c r="U27" i="11"/>
  <c r="Q27" i="11"/>
  <c r="P27" i="11"/>
  <c r="N27" i="11"/>
  <c r="M27" i="11"/>
  <c r="L27" i="11"/>
  <c r="O27" i="11" s="1"/>
  <c r="V27" i="11"/>
  <c r="S27" i="11"/>
  <c r="W27" i="11" s="1"/>
  <c r="K28" i="11"/>
  <c r="H28" i="11"/>
  <c r="T28" i="11"/>
  <c r="X28" i="11"/>
  <c r="U28" i="11"/>
  <c r="Q28" i="11"/>
  <c r="P28" i="11"/>
  <c r="N28" i="11"/>
  <c r="M28" i="11"/>
  <c r="L28" i="11"/>
  <c r="O28" i="11" s="1"/>
  <c r="V28" i="11"/>
  <c r="S28" i="11"/>
  <c r="W28" i="11" s="1"/>
  <c r="K29" i="11"/>
  <c r="H29" i="11"/>
  <c r="T29" i="11"/>
  <c r="X29" i="11"/>
  <c r="U29" i="11"/>
  <c r="Q29" i="11"/>
  <c r="P29" i="11"/>
  <c r="N29" i="11"/>
  <c r="M29" i="11"/>
  <c r="L29" i="11"/>
  <c r="O29" i="11" s="1"/>
  <c r="V29" i="11"/>
  <c r="S29" i="11"/>
  <c r="W29" i="11" s="1"/>
  <c r="K30" i="11"/>
  <c r="H30" i="11"/>
  <c r="T30" i="11"/>
  <c r="X30" i="11"/>
  <c r="U30" i="11"/>
  <c r="Q30" i="11"/>
  <c r="P30" i="11"/>
  <c r="N30" i="11"/>
  <c r="M30" i="11"/>
  <c r="L30" i="11"/>
  <c r="O30" i="11" s="1"/>
  <c r="V30" i="11"/>
  <c r="S30" i="11"/>
  <c r="W30" i="11" s="1"/>
  <c r="K31" i="11"/>
  <c r="H31" i="11"/>
  <c r="T31" i="11"/>
  <c r="X31" i="11"/>
  <c r="U31" i="11"/>
  <c r="Q31" i="11"/>
  <c r="P31" i="11"/>
  <c r="N31" i="11"/>
  <c r="M31" i="11"/>
  <c r="L31" i="11"/>
  <c r="O31" i="11" s="1"/>
  <c r="V31" i="11"/>
  <c r="S31" i="11"/>
  <c r="W31" i="11" s="1"/>
  <c r="K32" i="11"/>
  <c r="H32" i="11"/>
  <c r="T32" i="11"/>
  <c r="X32" i="11"/>
  <c r="U32" i="11"/>
  <c r="Q32" i="11"/>
  <c r="P32" i="11"/>
  <c r="N32" i="11"/>
  <c r="M32" i="11"/>
  <c r="L32" i="11"/>
  <c r="O32" i="11" s="1"/>
  <c r="V32" i="11"/>
  <c r="S32" i="11"/>
  <c r="W32" i="11" s="1"/>
  <c r="K33" i="11"/>
  <c r="H33" i="11"/>
  <c r="T33" i="11"/>
  <c r="X33" i="11"/>
  <c r="U33" i="11"/>
  <c r="Q33" i="11"/>
  <c r="P33" i="11"/>
  <c r="N33" i="11"/>
  <c r="M33" i="11"/>
  <c r="L33" i="11"/>
  <c r="O33" i="11" s="1"/>
  <c r="V33" i="11"/>
  <c r="S33" i="11"/>
  <c r="W33" i="11" s="1"/>
  <c r="K34" i="11"/>
  <c r="H34" i="11"/>
  <c r="T34" i="11"/>
  <c r="X34" i="11"/>
  <c r="U34" i="11"/>
  <c r="Q34" i="11"/>
  <c r="P34" i="11"/>
  <c r="N34" i="11"/>
  <c r="M34" i="11"/>
  <c r="L34" i="11"/>
  <c r="O34" i="11" s="1"/>
  <c r="V34" i="11"/>
  <c r="S34" i="11"/>
  <c r="W34" i="11" s="1"/>
  <c r="K35" i="11"/>
  <c r="H35" i="11"/>
  <c r="T35" i="11"/>
  <c r="X35" i="11"/>
  <c r="U35" i="11"/>
  <c r="Q35" i="11"/>
  <c r="P35" i="11"/>
  <c r="N35" i="11"/>
  <c r="M35" i="11"/>
  <c r="L35" i="11"/>
  <c r="O35" i="11" s="1"/>
  <c r="V35" i="11"/>
  <c r="S35" i="11"/>
  <c r="W35" i="11" s="1"/>
  <c r="K36" i="11"/>
  <c r="H36" i="11"/>
  <c r="T36" i="11"/>
  <c r="X36" i="11"/>
  <c r="U36" i="11"/>
  <c r="Q36" i="11"/>
  <c r="P36" i="11"/>
  <c r="N36" i="11"/>
  <c r="M36" i="11"/>
  <c r="L36" i="11"/>
  <c r="O36" i="11" s="1"/>
  <c r="V36" i="11"/>
  <c r="S36" i="11"/>
  <c r="W36" i="11" s="1"/>
  <c r="K37" i="11"/>
  <c r="H37" i="11"/>
  <c r="T37" i="11"/>
  <c r="X37" i="11"/>
  <c r="U37" i="11"/>
  <c r="Q37" i="11"/>
  <c r="P37" i="11"/>
  <c r="N37" i="11"/>
  <c r="M37" i="11"/>
  <c r="L37" i="11"/>
  <c r="O37" i="11" s="1"/>
  <c r="V37" i="11"/>
  <c r="S37" i="11"/>
  <c r="W37" i="11" s="1"/>
  <c r="K38" i="11"/>
  <c r="H38" i="11"/>
  <c r="T38" i="11"/>
  <c r="X38" i="11"/>
  <c r="U38" i="11"/>
  <c r="Q38" i="11"/>
  <c r="P38" i="11"/>
  <c r="N38" i="11"/>
  <c r="M38" i="11"/>
  <c r="L38" i="11"/>
  <c r="O38" i="11" s="1"/>
  <c r="V38" i="11"/>
  <c r="S38" i="11"/>
  <c r="W38" i="11" s="1"/>
  <c r="K39" i="11"/>
  <c r="H39" i="11"/>
  <c r="T39" i="11"/>
  <c r="X39" i="11"/>
  <c r="U39" i="11"/>
  <c r="Q39" i="11"/>
  <c r="P39" i="11"/>
  <c r="N39" i="11"/>
  <c r="M39" i="11"/>
  <c r="L39" i="11"/>
  <c r="O39" i="11" s="1"/>
  <c r="V39" i="11"/>
  <c r="S39" i="11"/>
  <c r="W39" i="11" s="1"/>
  <c r="K40" i="11"/>
  <c r="H40" i="11"/>
  <c r="T40" i="11"/>
  <c r="X40" i="11"/>
  <c r="U40" i="11"/>
  <c r="Q40" i="11"/>
  <c r="P40" i="11"/>
  <c r="N40" i="11"/>
  <c r="M40" i="11"/>
  <c r="L40" i="11"/>
  <c r="O40" i="11" s="1"/>
  <c r="V40" i="11"/>
  <c r="S40" i="11"/>
  <c r="W40" i="11" s="1"/>
  <c r="K41" i="11"/>
  <c r="H41" i="11"/>
  <c r="T41" i="11"/>
  <c r="X41" i="11"/>
  <c r="U41" i="11"/>
  <c r="Q41" i="11"/>
  <c r="P41" i="11"/>
  <c r="N41" i="11"/>
  <c r="M41" i="11"/>
  <c r="L41" i="11"/>
  <c r="O41" i="11" s="1"/>
  <c r="V41" i="11"/>
  <c r="S41" i="11"/>
  <c r="W41" i="11" s="1"/>
  <c r="K42" i="11"/>
  <c r="H42" i="11"/>
  <c r="T42" i="11"/>
  <c r="X42" i="11"/>
  <c r="U42" i="11"/>
  <c r="Q42" i="11"/>
  <c r="P42" i="11"/>
  <c r="N42" i="11"/>
  <c r="M42" i="11"/>
  <c r="L42" i="11"/>
  <c r="O42" i="11" s="1"/>
  <c r="V42" i="11"/>
  <c r="S42" i="11"/>
  <c r="W42" i="11" s="1"/>
  <c r="K43" i="11"/>
  <c r="H43" i="11"/>
  <c r="T43" i="11"/>
  <c r="X43" i="11"/>
  <c r="U43" i="11"/>
  <c r="Q43" i="11"/>
  <c r="P43" i="11"/>
  <c r="N43" i="11"/>
  <c r="M43" i="11"/>
  <c r="L43" i="11"/>
  <c r="O43" i="11" s="1"/>
  <c r="V43" i="11"/>
  <c r="S43" i="11"/>
  <c r="W43" i="11" s="1"/>
  <c r="K44" i="11"/>
  <c r="H44" i="11"/>
  <c r="T44" i="11"/>
  <c r="X44" i="11"/>
  <c r="U44" i="11"/>
  <c r="Q44" i="11"/>
  <c r="P44" i="11"/>
  <c r="N44" i="11"/>
  <c r="M44" i="11"/>
  <c r="L44" i="11"/>
  <c r="O44" i="11" s="1"/>
  <c r="V44" i="11"/>
  <c r="S44" i="11"/>
  <c r="W44" i="11" s="1"/>
  <c r="K45" i="11"/>
  <c r="H45" i="11"/>
  <c r="T45" i="11"/>
  <c r="X45" i="11"/>
  <c r="U45" i="11"/>
  <c r="Q45" i="11"/>
  <c r="P45" i="11"/>
  <c r="N45" i="11"/>
  <c r="M45" i="11"/>
  <c r="L45" i="11"/>
  <c r="O45" i="11" s="1"/>
  <c r="V45" i="11"/>
  <c r="S45" i="11"/>
  <c r="W45" i="11" s="1"/>
  <c r="K46" i="11"/>
  <c r="H46" i="11"/>
  <c r="T46" i="11"/>
  <c r="X46" i="11"/>
  <c r="U46" i="11"/>
  <c r="Q46" i="11"/>
  <c r="P46" i="11"/>
  <c r="N46" i="11"/>
  <c r="M46" i="11"/>
  <c r="L46" i="11"/>
  <c r="O46" i="11" s="1"/>
  <c r="V46" i="11"/>
  <c r="S46" i="11"/>
  <c r="W46" i="11" s="1"/>
  <c r="K47" i="11"/>
  <c r="H47" i="11"/>
  <c r="T47" i="11"/>
  <c r="X47" i="11"/>
  <c r="U47" i="11"/>
  <c r="Q47" i="11"/>
  <c r="P47" i="11"/>
  <c r="N47" i="11"/>
  <c r="M47" i="11"/>
  <c r="L47" i="11"/>
  <c r="O47" i="11" s="1"/>
  <c r="V47" i="11"/>
  <c r="S47" i="11"/>
  <c r="W47" i="11" s="1"/>
  <c r="K48" i="11"/>
  <c r="H48" i="11"/>
  <c r="T48" i="11"/>
  <c r="X48" i="11"/>
  <c r="U48" i="11"/>
  <c r="Q48" i="11"/>
  <c r="P48" i="11"/>
  <c r="N48" i="11"/>
  <c r="M48" i="11"/>
  <c r="L48" i="11"/>
  <c r="O48" i="11" s="1"/>
  <c r="V48" i="11"/>
  <c r="S48" i="11"/>
  <c r="W48" i="11" s="1"/>
  <c r="K49" i="11"/>
  <c r="H49" i="11"/>
  <c r="T49" i="11"/>
  <c r="X49" i="11"/>
  <c r="U49" i="11"/>
  <c r="Q49" i="11"/>
  <c r="P49" i="11"/>
  <c r="N49" i="11"/>
  <c r="M49" i="11"/>
  <c r="L49" i="11"/>
  <c r="O49" i="11" s="1"/>
  <c r="V49" i="11"/>
  <c r="S49" i="11"/>
  <c r="W49" i="11" s="1"/>
  <c r="K50" i="11"/>
  <c r="H50" i="11"/>
  <c r="T50" i="11"/>
  <c r="X50" i="11"/>
  <c r="U50" i="11"/>
  <c r="Q50" i="11"/>
  <c r="P50" i="11"/>
  <c r="N50" i="11"/>
  <c r="M50" i="11"/>
  <c r="L50" i="11"/>
  <c r="O50" i="11" s="1"/>
  <c r="V50" i="11"/>
  <c r="S50" i="11"/>
  <c r="W50" i="11" s="1"/>
  <c r="K51" i="11"/>
  <c r="H51" i="11"/>
  <c r="T51" i="11"/>
  <c r="X51" i="11"/>
  <c r="U51" i="11"/>
  <c r="Q51" i="11"/>
  <c r="P51" i="11"/>
  <c r="N51" i="11"/>
  <c r="M51" i="11"/>
  <c r="L51" i="11"/>
  <c r="O51" i="11" s="1"/>
  <c r="V51" i="11"/>
  <c r="S51" i="11"/>
  <c r="W51" i="11" s="1"/>
  <c r="K52" i="11"/>
  <c r="H52" i="11"/>
  <c r="T52" i="11"/>
  <c r="X52" i="11"/>
  <c r="U52" i="11"/>
  <c r="Q52" i="11"/>
  <c r="P52" i="11"/>
  <c r="N52" i="11"/>
  <c r="M52" i="11"/>
  <c r="L52" i="11"/>
  <c r="O52" i="11" s="1"/>
  <c r="V52" i="11"/>
  <c r="S52" i="11"/>
  <c r="W52" i="11" s="1"/>
  <c r="K53" i="11"/>
  <c r="H53" i="11"/>
  <c r="T53" i="11"/>
  <c r="X53" i="11"/>
  <c r="U53" i="11"/>
  <c r="Q53" i="11"/>
  <c r="P53" i="11"/>
  <c r="N53" i="11"/>
  <c r="M53" i="11"/>
  <c r="L53" i="11"/>
  <c r="O53" i="11" s="1"/>
  <c r="V53" i="11"/>
  <c r="S53" i="11"/>
  <c r="W53" i="11" s="1"/>
  <c r="K54" i="11"/>
  <c r="H54" i="11"/>
  <c r="T54" i="11"/>
  <c r="X54" i="11"/>
  <c r="U54" i="11"/>
  <c r="Q54" i="11"/>
  <c r="P54" i="11"/>
  <c r="N54" i="11"/>
  <c r="M54" i="11"/>
  <c r="L54" i="11"/>
  <c r="O54" i="11" s="1"/>
  <c r="V54" i="11"/>
  <c r="S54" i="11"/>
  <c r="W54" i="11" s="1"/>
  <c r="K55" i="11"/>
  <c r="H55" i="11"/>
  <c r="T55" i="11"/>
  <c r="X55" i="11"/>
  <c r="U55" i="11"/>
  <c r="Q55" i="11"/>
  <c r="P55" i="11"/>
  <c r="N55" i="11"/>
  <c r="M55" i="11"/>
  <c r="L55" i="11"/>
  <c r="O55" i="11" s="1"/>
  <c r="V55" i="11"/>
  <c r="S55" i="11"/>
  <c r="W55" i="11" s="1"/>
  <c r="K56" i="11"/>
  <c r="H56" i="11"/>
  <c r="T56" i="11"/>
  <c r="X56" i="11"/>
  <c r="U56" i="11"/>
  <c r="Q56" i="11"/>
  <c r="P56" i="11"/>
  <c r="N56" i="11"/>
  <c r="M56" i="11"/>
  <c r="L56" i="11"/>
  <c r="O56" i="11" s="1"/>
  <c r="V56" i="11"/>
  <c r="S56" i="11"/>
  <c r="W56" i="11" s="1"/>
  <c r="K57" i="11"/>
  <c r="H57" i="11"/>
  <c r="T57" i="11"/>
  <c r="X57" i="11"/>
  <c r="U57" i="11"/>
  <c r="Q57" i="11"/>
  <c r="P57" i="11"/>
  <c r="N57" i="11"/>
  <c r="M57" i="11"/>
  <c r="L57" i="11"/>
  <c r="O57" i="11" s="1"/>
  <c r="V57" i="11"/>
  <c r="S57" i="11"/>
  <c r="W57" i="11" s="1"/>
  <c r="K58" i="11"/>
  <c r="H58" i="11"/>
  <c r="T58" i="11"/>
  <c r="X58" i="11"/>
  <c r="U58" i="11"/>
  <c r="Q58" i="11"/>
  <c r="P58" i="11"/>
  <c r="N58" i="11"/>
  <c r="M58" i="11"/>
  <c r="L58" i="11"/>
  <c r="O58" i="11" s="1"/>
  <c r="V58" i="11"/>
  <c r="S58" i="11"/>
  <c r="W58" i="11" s="1"/>
  <c r="K59" i="11"/>
  <c r="H59" i="11"/>
  <c r="T59" i="11"/>
  <c r="X59" i="11"/>
  <c r="U59" i="11"/>
  <c r="Q59" i="11"/>
  <c r="P59" i="11"/>
  <c r="N59" i="11"/>
  <c r="M59" i="11"/>
  <c r="L59" i="11"/>
  <c r="O59" i="11" s="1"/>
  <c r="V59" i="11"/>
  <c r="S59" i="11"/>
  <c r="W59" i="11" s="1"/>
  <c r="K60" i="11"/>
  <c r="H60" i="11"/>
  <c r="T60" i="11"/>
  <c r="X60" i="11"/>
  <c r="U60" i="11"/>
  <c r="Q60" i="11"/>
  <c r="P60" i="11"/>
  <c r="N60" i="11"/>
  <c r="M60" i="11"/>
  <c r="L60" i="11"/>
  <c r="O60" i="11" s="1"/>
  <c r="V60" i="11"/>
  <c r="S60" i="11"/>
  <c r="W60" i="11" s="1"/>
  <c r="K61" i="11"/>
  <c r="H61" i="11"/>
  <c r="T61" i="11"/>
  <c r="X61" i="11"/>
  <c r="U61" i="11"/>
  <c r="Q61" i="11"/>
  <c r="P61" i="11"/>
  <c r="N61" i="11"/>
  <c r="M61" i="11"/>
  <c r="L61" i="11"/>
  <c r="O61" i="11" s="1"/>
  <c r="V61" i="11"/>
  <c r="S61" i="11"/>
  <c r="W61" i="11" s="1"/>
  <c r="K62" i="11"/>
  <c r="H62" i="11"/>
  <c r="T62" i="11"/>
  <c r="X62" i="11"/>
  <c r="U62" i="11"/>
  <c r="Q62" i="11"/>
  <c r="P62" i="11"/>
  <c r="N62" i="11"/>
  <c r="M62" i="11"/>
  <c r="L62" i="11"/>
  <c r="O62" i="11" s="1"/>
  <c r="V62" i="11"/>
  <c r="S62" i="11"/>
  <c r="W62" i="11" s="1"/>
  <c r="K63" i="11"/>
  <c r="H63" i="11"/>
  <c r="T63" i="11"/>
  <c r="X63" i="11"/>
  <c r="U63" i="11"/>
  <c r="Q63" i="11"/>
  <c r="P63" i="11"/>
  <c r="N63" i="11"/>
  <c r="M63" i="11"/>
  <c r="L63" i="11"/>
  <c r="O63" i="11" s="1"/>
  <c r="V63" i="11"/>
  <c r="S63" i="11"/>
  <c r="W63" i="11" s="1"/>
  <c r="K64" i="11"/>
  <c r="H64" i="11"/>
  <c r="T64" i="11"/>
  <c r="X64" i="11"/>
  <c r="U64" i="11"/>
  <c r="Q64" i="11"/>
  <c r="P64" i="11"/>
  <c r="N64" i="11"/>
  <c r="M64" i="11"/>
  <c r="L64" i="11"/>
  <c r="O64" i="11" s="1"/>
  <c r="V64" i="11"/>
  <c r="S64" i="11"/>
  <c r="W64" i="11" s="1"/>
  <c r="K65" i="11"/>
  <c r="H65" i="11"/>
  <c r="T65" i="11"/>
  <c r="X65" i="11"/>
  <c r="U65" i="11"/>
  <c r="Q65" i="11"/>
  <c r="P65" i="11"/>
  <c r="N65" i="11"/>
  <c r="M65" i="11"/>
  <c r="L65" i="11"/>
  <c r="O65" i="11" s="1"/>
  <c r="V65" i="11"/>
  <c r="S65" i="11"/>
  <c r="W65" i="11" s="1"/>
  <c r="K66" i="11"/>
  <c r="H66" i="11"/>
  <c r="T66" i="11"/>
  <c r="X66" i="11"/>
  <c r="U66" i="11"/>
  <c r="Q66" i="11"/>
  <c r="P66" i="11"/>
  <c r="N66" i="11"/>
  <c r="M66" i="11"/>
  <c r="L66" i="11"/>
  <c r="O66" i="11" s="1"/>
  <c r="V66" i="11"/>
  <c r="S66" i="11"/>
  <c r="W66" i="11" s="1"/>
  <c r="K67" i="11"/>
  <c r="H67" i="11"/>
  <c r="T67" i="11"/>
  <c r="X67" i="11"/>
  <c r="U67" i="11"/>
  <c r="Q67" i="11"/>
  <c r="P67" i="11"/>
  <c r="N67" i="11"/>
  <c r="M67" i="11"/>
  <c r="L67" i="11"/>
  <c r="O67" i="11" s="1"/>
  <c r="V67" i="11"/>
  <c r="S67" i="11"/>
  <c r="W67" i="11" s="1"/>
  <c r="K68" i="11"/>
  <c r="H68" i="11"/>
  <c r="T68" i="11"/>
  <c r="X68" i="11"/>
  <c r="U68" i="11"/>
  <c r="Q68" i="11"/>
  <c r="P68" i="11"/>
  <c r="N68" i="11"/>
  <c r="M68" i="11"/>
  <c r="L68" i="11"/>
  <c r="O68" i="11" s="1"/>
  <c r="V68" i="11"/>
  <c r="S68" i="11"/>
  <c r="W68" i="11" s="1"/>
  <c r="K69" i="11"/>
  <c r="H69" i="11"/>
  <c r="T69" i="11"/>
  <c r="X69" i="11"/>
  <c r="U69" i="11"/>
  <c r="Q69" i="11"/>
  <c r="P69" i="11"/>
  <c r="N69" i="11"/>
  <c r="M69" i="11"/>
  <c r="L69" i="11"/>
  <c r="O69" i="11" s="1"/>
  <c r="V69" i="11"/>
  <c r="S69" i="11"/>
  <c r="W69" i="11" s="1"/>
  <c r="K70" i="11"/>
  <c r="H70" i="11"/>
  <c r="T70" i="11"/>
  <c r="X70" i="11"/>
  <c r="U70" i="11"/>
  <c r="Q70" i="11"/>
  <c r="P70" i="11"/>
  <c r="N70" i="11"/>
  <c r="M70" i="11"/>
  <c r="L70" i="11"/>
  <c r="O70" i="11" s="1"/>
  <c r="V70" i="11"/>
  <c r="S70" i="11"/>
  <c r="W70" i="11" s="1"/>
  <c r="K71" i="11"/>
  <c r="H71" i="11"/>
  <c r="T71" i="11"/>
  <c r="X71" i="11"/>
  <c r="U71" i="11"/>
  <c r="Q71" i="11"/>
  <c r="P71" i="11"/>
  <c r="N71" i="11"/>
  <c r="M71" i="11"/>
  <c r="L71" i="11"/>
  <c r="O71" i="11" s="1"/>
  <c r="V71" i="11"/>
  <c r="S71" i="11"/>
  <c r="W71" i="11" s="1"/>
  <c r="K72" i="11"/>
  <c r="H72" i="11"/>
  <c r="T72" i="11"/>
  <c r="X72" i="11"/>
  <c r="U72" i="11"/>
  <c r="Q72" i="11"/>
  <c r="P72" i="11"/>
  <c r="N72" i="11"/>
  <c r="M72" i="11"/>
  <c r="L72" i="11"/>
  <c r="O72" i="11" s="1"/>
  <c r="V72" i="11"/>
  <c r="S72" i="11"/>
  <c r="W72" i="11" s="1"/>
  <c r="K73" i="11"/>
  <c r="H73" i="11"/>
  <c r="T73" i="11"/>
  <c r="X73" i="11"/>
  <c r="U73" i="11"/>
  <c r="Q73" i="11"/>
  <c r="P73" i="11"/>
  <c r="N73" i="11"/>
  <c r="M73" i="11"/>
  <c r="L73" i="11"/>
  <c r="O73" i="11" s="1"/>
  <c r="V73" i="11"/>
  <c r="S73" i="11"/>
  <c r="W73" i="11" s="1"/>
  <c r="K74" i="11"/>
  <c r="H74" i="11"/>
  <c r="T74" i="11"/>
  <c r="X74" i="11"/>
  <c r="U74" i="11"/>
  <c r="Q74" i="11"/>
  <c r="P74" i="11"/>
  <c r="N74" i="11"/>
  <c r="M74" i="11"/>
  <c r="L74" i="11"/>
  <c r="O74" i="11" s="1"/>
  <c r="V74" i="11"/>
  <c r="S74" i="11"/>
  <c r="W74" i="11" s="1"/>
  <c r="K75" i="11"/>
  <c r="H75" i="11"/>
  <c r="T75" i="11"/>
  <c r="X75" i="11"/>
  <c r="U75" i="11"/>
  <c r="Q75" i="11"/>
  <c r="P75" i="11"/>
  <c r="N75" i="11"/>
  <c r="M75" i="11"/>
  <c r="L75" i="11"/>
  <c r="O75" i="11" s="1"/>
  <c r="V75" i="11"/>
  <c r="S75" i="11"/>
  <c r="W75" i="11" s="1"/>
  <c r="K76" i="11"/>
  <c r="H76" i="11"/>
  <c r="T76" i="11"/>
  <c r="X76" i="11"/>
  <c r="U76" i="11"/>
  <c r="Q76" i="11"/>
  <c r="P76" i="11"/>
  <c r="N76" i="11"/>
  <c r="M76" i="11"/>
  <c r="L76" i="11"/>
  <c r="O76" i="11" s="1"/>
  <c r="V76" i="11"/>
  <c r="S76" i="11"/>
  <c r="W76" i="11" s="1"/>
  <c r="K77" i="11"/>
  <c r="H77" i="11"/>
  <c r="T77" i="11"/>
  <c r="X77" i="11"/>
  <c r="U77" i="11"/>
  <c r="Q77" i="11"/>
  <c r="P77" i="11"/>
  <c r="N77" i="11"/>
  <c r="M77" i="11"/>
  <c r="L77" i="11"/>
  <c r="O77" i="11" s="1"/>
  <c r="V77" i="11"/>
  <c r="S77" i="11"/>
  <c r="W77" i="11" s="1"/>
  <c r="K78" i="11"/>
  <c r="H78" i="11"/>
  <c r="T78" i="11"/>
  <c r="X78" i="11"/>
  <c r="U78" i="11"/>
  <c r="Q78" i="11"/>
  <c r="P78" i="11"/>
  <c r="N78" i="11"/>
  <c r="M78" i="11"/>
  <c r="L78" i="11"/>
  <c r="O78" i="11" s="1"/>
  <c r="V78" i="11"/>
  <c r="S78" i="11"/>
  <c r="W78" i="11" s="1"/>
  <c r="K79" i="11"/>
  <c r="H79" i="11"/>
  <c r="T79" i="11"/>
  <c r="X79" i="11"/>
  <c r="U79" i="11"/>
  <c r="Q79" i="11"/>
  <c r="P79" i="11"/>
  <c r="N79" i="11"/>
  <c r="M79" i="11"/>
  <c r="L79" i="11"/>
  <c r="O79" i="11" s="1"/>
  <c r="V79" i="11"/>
  <c r="S79" i="11"/>
  <c r="W79" i="11" s="1"/>
  <c r="K80" i="11"/>
  <c r="H80" i="11"/>
  <c r="T80" i="11"/>
  <c r="X80" i="11"/>
  <c r="U80" i="11"/>
  <c r="Q80" i="11"/>
  <c r="P80" i="11"/>
  <c r="N80" i="11"/>
  <c r="M80" i="11"/>
  <c r="L80" i="11"/>
  <c r="O80" i="11" s="1"/>
  <c r="V80" i="11"/>
  <c r="S80" i="11"/>
  <c r="W80" i="11" s="1"/>
  <c r="K81" i="11"/>
  <c r="H81" i="11"/>
  <c r="T81" i="11"/>
  <c r="X81" i="11"/>
  <c r="U81" i="11"/>
  <c r="Q81" i="11"/>
  <c r="P81" i="11"/>
  <c r="N81" i="11"/>
  <c r="M81" i="11"/>
  <c r="L81" i="11"/>
  <c r="O81" i="11" s="1"/>
  <c r="V81" i="11"/>
  <c r="S81" i="11"/>
  <c r="W81" i="11" s="1"/>
  <c r="K82" i="11"/>
  <c r="H82" i="11"/>
  <c r="T82" i="11"/>
  <c r="X82" i="11"/>
  <c r="U82" i="11"/>
  <c r="Q82" i="11"/>
  <c r="P82" i="11"/>
  <c r="N82" i="11"/>
  <c r="M82" i="11"/>
  <c r="L82" i="11"/>
  <c r="O82" i="11" s="1"/>
  <c r="V82" i="11"/>
  <c r="S82" i="11"/>
  <c r="W82" i="11" s="1"/>
  <c r="K83" i="11"/>
  <c r="H83" i="11"/>
  <c r="T83" i="11"/>
  <c r="X83" i="11"/>
  <c r="U83" i="11"/>
  <c r="Q83" i="11"/>
  <c r="P83" i="11"/>
  <c r="N83" i="11"/>
  <c r="M83" i="11"/>
  <c r="L83" i="11"/>
  <c r="O83" i="11" s="1"/>
  <c r="V83" i="11"/>
  <c r="S83" i="11"/>
  <c r="W83" i="11" s="1"/>
  <c r="K84" i="11"/>
  <c r="H84" i="11"/>
  <c r="T84" i="11"/>
  <c r="X84" i="11"/>
  <c r="U84" i="11"/>
  <c r="Q84" i="11"/>
  <c r="P84" i="11"/>
  <c r="N84" i="11"/>
  <c r="M84" i="11"/>
  <c r="L84" i="11"/>
  <c r="O84" i="11" s="1"/>
  <c r="V84" i="11"/>
  <c r="S84" i="11"/>
  <c r="W84" i="11" s="1"/>
  <c r="K85" i="11"/>
  <c r="H85" i="11"/>
  <c r="T85" i="11"/>
  <c r="X85" i="11"/>
  <c r="U85" i="11"/>
  <c r="Q85" i="11"/>
  <c r="P85" i="11"/>
  <c r="N85" i="11"/>
  <c r="M85" i="11"/>
  <c r="L85" i="11"/>
  <c r="O85" i="11" s="1"/>
  <c r="V85" i="11"/>
  <c r="S85" i="11"/>
  <c r="W85" i="11" s="1"/>
  <c r="K86" i="11"/>
  <c r="H86" i="11"/>
  <c r="T86" i="11"/>
  <c r="X86" i="11"/>
  <c r="U86" i="11"/>
  <c r="Q86" i="11"/>
  <c r="P86" i="11"/>
  <c r="N86" i="11"/>
  <c r="M86" i="11"/>
  <c r="L86" i="11"/>
  <c r="O86" i="11" s="1"/>
  <c r="V86" i="11"/>
  <c r="S86" i="11"/>
  <c r="W86" i="11" s="1"/>
  <c r="K87" i="11"/>
  <c r="H87" i="11"/>
  <c r="T87" i="11"/>
  <c r="X87" i="11"/>
  <c r="U87" i="11"/>
  <c r="Q87" i="11"/>
  <c r="P87" i="11"/>
  <c r="N87" i="11"/>
  <c r="M87" i="11"/>
  <c r="L87" i="11"/>
  <c r="O87" i="11" s="1"/>
  <c r="V87" i="11"/>
  <c r="S87" i="11"/>
  <c r="W87" i="11" s="1"/>
  <c r="K88" i="11"/>
  <c r="H88" i="11"/>
  <c r="T88" i="11"/>
  <c r="X88" i="11"/>
  <c r="U88" i="11"/>
  <c r="Q88" i="11"/>
  <c r="P88" i="11"/>
  <c r="N88" i="11"/>
  <c r="M88" i="11"/>
  <c r="L88" i="11"/>
  <c r="O88" i="11" s="1"/>
  <c r="V88" i="11"/>
  <c r="S88" i="11"/>
  <c r="W88" i="11" s="1"/>
  <c r="K89" i="11"/>
  <c r="H89" i="11"/>
  <c r="T89" i="11"/>
  <c r="X89" i="11"/>
  <c r="U89" i="11"/>
  <c r="Q89" i="11"/>
  <c r="P89" i="11"/>
  <c r="N89" i="11"/>
  <c r="M89" i="11"/>
  <c r="L89" i="11"/>
  <c r="O89" i="11" s="1"/>
  <c r="V89" i="11"/>
  <c r="S89" i="11"/>
  <c r="W89" i="11" s="1"/>
  <c r="K90" i="11"/>
  <c r="H90" i="11"/>
  <c r="T90" i="11"/>
  <c r="X90" i="11"/>
  <c r="U90" i="11"/>
  <c r="Q90" i="11"/>
  <c r="P90" i="11"/>
  <c r="N90" i="11"/>
  <c r="M90" i="11"/>
  <c r="L90" i="11"/>
  <c r="O90" i="11" s="1"/>
  <c r="V90" i="11"/>
  <c r="S90" i="11"/>
  <c r="W90" i="11" s="1"/>
  <c r="K91" i="11"/>
  <c r="H91" i="11"/>
  <c r="T91" i="11"/>
  <c r="X91" i="11"/>
  <c r="U91" i="11"/>
  <c r="Q91" i="11"/>
  <c r="P91" i="11"/>
  <c r="N91" i="11"/>
  <c r="M91" i="11"/>
  <c r="L91" i="11"/>
  <c r="O91" i="11" s="1"/>
  <c r="V91" i="11"/>
  <c r="S91" i="11"/>
  <c r="W91" i="11" s="1"/>
  <c r="K92" i="11"/>
  <c r="H92" i="11"/>
  <c r="T92" i="11"/>
  <c r="X92" i="11"/>
  <c r="U92" i="11"/>
  <c r="Q92" i="11"/>
  <c r="P92" i="11"/>
  <c r="N92" i="11"/>
  <c r="M92" i="11"/>
  <c r="L92" i="11"/>
  <c r="O92" i="11" s="1"/>
  <c r="V92" i="11"/>
  <c r="S92" i="11"/>
  <c r="W92" i="11" s="1"/>
  <c r="K93" i="11"/>
  <c r="H93" i="11"/>
  <c r="T93" i="11"/>
  <c r="X93" i="11"/>
  <c r="U93" i="11"/>
  <c r="Q93" i="11"/>
  <c r="P93" i="11"/>
  <c r="N93" i="11"/>
  <c r="M93" i="11"/>
  <c r="L93" i="11"/>
  <c r="O93" i="11" s="1"/>
  <c r="V93" i="11"/>
  <c r="S93" i="11"/>
  <c r="W93" i="11" s="1"/>
  <c r="K94" i="11"/>
  <c r="H94" i="11"/>
  <c r="T94" i="11"/>
  <c r="X94" i="11"/>
  <c r="U94" i="11"/>
  <c r="Q94" i="11"/>
  <c r="P94" i="11"/>
  <c r="N94" i="11"/>
  <c r="M94" i="11"/>
  <c r="L94" i="11"/>
  <c r="O94" i="11" s="1"/>
  <c r="V94" i="11"/>
  <c r="S94" i="11"/>
  <c r="W94" i="11" s="1"/>
  <c r="K95" i="11"/>
  <c r="H95" i="11"/>
  <c r="T95" i="11"/>
  <c r="X95" i="11"/>
  <c r="U95" i="11"/>
  <c r="Q95" i="11"/>
  <c r="P95" i="11"/>
  <c r="N95" i="11"/>
  <c r="M95" i="11"/>
  <c r="L95" i="11"/>
  <c r="O95" i="11" s="1"/>
  <c r="V95" i="11"/>
  <c r="S95" i="11"/>
  <c r="W95" i="11" s="1"/>
  <c r="K96" i="11"/>
  <c r="H96" i="11"/>
  <c r="T96" i="11"/>
  <c r="X96" i="11"/>
  <c r="U96" i="11"/>
  <c r="Q96" i="11"/>
  <c r="P96" i="11"/>
  <c r="N96" i="11"/>
  <c r="M96" i="11"/>
  <c r="L96" i="11"/>
  <c r="O96" i="11" s="1"/>
  <c r="V96" i="11"/>
  <c r="S96" i="11"/>
  <c r="W96" i="11" s="1"/>
  <c r="K97" i="11"/>
  <c r="H97" i="11"/>
  <c r="T97" i="11"/>
  <c r="X97" i="11"/>
  <c r="U97" i="11"/>
  <c r="Q97" i="11"/>
  <c r="P97" i="11"/>
  <c r="N97" i="11"/>
  <c r="M97" i="11"/>
  <c r="L97" i="11"/>
  <c r="O97" i="11" s="1"/>
  <c r="V97" i="11"/>
  <c r="S97" i="11"/>
  <c r="W97" i="11" s="1"/>
  <c r="K98" i="11"/>
  <c r="H98" i="11"/>
  <c r="T98" i="11"/>
  <c r="X98" i="11"/>
  <c r="U98" i="11"/>
  <c r="Q98" i="11"/>
  <c r="P98" i="11"/>
  <c r="N98" i="11"/>
  <c r="M98" i="11"/>
  <c r="L98" i="11"/>
  <c r="O98" i="11" s="1"/>
  <c r="V98" i="11"/>
  <c r="S98" i="11"/>
  <c r="W98" i="11" s="1"/>
  <c r="K99" i="11"/>
  <c r="H99" i="11"/>
  <c r="T99" i="11"/>
  <c r="X99" i="11"/>
  <c r="U99" i="11"/>
  <c r="Q99" i="11"/>
  <c r="P99" i="11"/>
  <c r="N99" i="11"/>
  <c r="M99" i="11"/>
  <c r="L99" i="11"/>
  <c r="O99" i="11" s="1"/>
  <c r="V99" i="11"/>
  <c r="S99" i="11"/>
  <c r="W99" i="11" s="1"/>
  <c r="K100" i="11"/>
  <c r="H100" i="11"/>
  <c r="T100" i="11"/>
  <c r="X100" i="11"/>
  <c r="U100" i="11"/>
  <c r="Q100" i="11"/>
  <c r="P100" i="11"/>
  <c r="N100" i="11"/>
  <c r="M100" i="11"/>
  <c r="L100" i="11"/>
  <c r="O100" i="11" s="1"/>
  <c r="V100" i="11"/>
  <c r="S100" i="11"/>
  <c r="W100" i="11" s="1"/>
  <c r="K101" i="11"/>
  <c r="H101" i="11"/>
  <c r="T101" i="11"/>
  <c r="X101" i="11"/>
  <c r="U101" i="11"/>
  <c r="Q101" i="11"/>
  <c r="P101" i="11"/>
  <c r="N101" i="11"/>
  <c r="M101" i="11"/>
  <c r="L101" i="11"/>
  <c r="O101" i="11" s="1"/>
  <c r="V101" i="11"/>
  <c r="S101" i="11"/>
  <c r="W101" i="11" s="1"/>
  <c r="K102" i="11"/>
  <c r="H102" i="11"/>
  <c r="T102" i="11"/>
  <c r="X102" i="11"/>
  <c r="U102" i="11"/>
  <c r="Q102" i="11"/>
  <c r="P102" i="11"/>
  <c r="N102" i="11"/>
  <c r="M102" i="11"/>
  <c r="L102" i="11"/>
  <c r="O102" i="11" s="1"/>
  <c r="V102" i="11"/>
  <c r="S102" i="11"/>
  <c r="W102" i="11" s="1"/>
  <c r="K103" i="11"/>
  <c r="H103" i="11"/>
  <c r="T103" i="11"/>
  <c r="X103" i="11"/>
  <c r="U103" i="11"/>
  <c r="Q103" i="11"/>
  <c r="P103" i="11"/>
  <c r="N103" i="11"/>
  <c r="M103" i="11"/>
  <c r="L103" i="11"/>
  <c r="O103" i="11" s="1"/>
  <c r="V103" i="11"/>
  <c r="S103" i="11"/>
  <c r="W103" i="11" s="1"/>
  <c r="K104" i="11"/>
  <c r="H104" i="11"/>
  <c r="T104" i="11"/>
  <c r="X104" i="11"/>
  <c r="U104" i="11"/>
  <c r="Q104" i="11"/>
  <c r="P104" i="11"/>
  <c r="N104" i="11"/>
  <c r="M104" i="11"/>
  <c r="L104" i="11"/>
  <c r="O104" i="11" s="1"/>
  <c r="V104" i="11"/>
  <c r="S104" i="11"/>
  <c r="W104" i="11" s="1"/>
  <c r="K105" i="11"/>
  <c r="H105" i="11"/>
  <c r="T105" i="11"/>
  <c r="X105" i="11"/>
  <c r="U105" i="11"/>
  <c r="Q105" i="11"/>
  <c r="P105" i="11"/>
  <c r="N105" i="11"/>
  <c r="M105" i="11"/>
  <c r="L105" i="11"/>
  <c r="O105" i="11" s="1"/>
  <c r="V105" i="11"/>
  <c r="S105" i="11"/>
  <c r="W105" i="11" s="1"/>
  <c r="K106" i="11"/>
  <c r="H106" i="11"/>
  <c r="T106" i="11"/>
  <c r="X106" i="11"/>
  <c r="U106" i="11"/>
  <c r="Q106" i="11"/>
  <c r="P106" i="11"/>
  <c r="N106" i="11"/>
  <c r="M106" i="11"/>
  <c r="L106" i="11"/>
  <c r="O106" i="11" s="1"/>
  <c r="V106" i="11"/>
  <c r="S106" i="11"/>
  <c r="W106" i="11" s="1"/>
  <c r="K107" i="11"/>
  <c r="H107" i="11"/>
  <c r="T107" i="11"/>
  <c r="X107" i="11"/>
  <c r="U107" i="11"/>
  <c r="Q107" i="11"/>
  <c r="P107" i="11"/>
  <c r="N107" i="11"/>
  <c r="M107" i="11"/>
  <c r="L107" i="11"/>
  <c r="O107" i="11" s="1"/>
  <c r="V107" i="11"/>
  <c r="S107" i="11"/>
  <c r="W107" i="11" s="1"/>
  <c r="K108" i="11"/>
  <c r="H108" i="11"/>
  <c r="T108" i="11"/>
  <c r="X108" i="11"/>
  <c r="U108" i="11"/>
  <c r="Q108" i="11"/>
  <c r="P108" i="11"/>
  <c r="N108" i="11"/>
  <c r="M108" i="11"/>
  <c r="L108" i="11"/>
  <c r="O108" i="11" s="1"/>
  <c r="V108" i="11"/>
  <c r="S108" i="11"/>
  <c r="W108" i="11" s="1"/>
  <c r="K109" i="11"/>
  <c r="H109" i="11"/>
  <c r="T109" i="11"/>
  <c r="X109" i="11"/>
  <c r="U109" i="11"/>
  <c r="Q109" i="11"/>
  <c r="P109" i="11"/>
  <c r="N109" i="11"/>
  <c r="M109" i="11"/>
  <c r="L109" i="11"/>
  <c r="O109" i="11" s="1"/>
  <c r="V109" i="11"/>
  <c r="S109" i="11"/>
  <c r="W109" i="11" s="1"/>
  <c r="K110" i="11"/>
  <c r="H110" i="11"/>
  <c r="T110" i="11"/>
  <c r="X110" i="11"/>
  <c r="U110" i="11"/>
  <c r="Q110" i="11"/>
  <c r="P110" i="11"/>
  <c r="N110" i="11"/>
  <c r="M110" i="11"/>
  <c r="L110" i="11"/>
  <c r="O110" i="11" s="1"/>
  <c r="V110" i="11"/>
  <c r="S110" i="11"/>
  <c r="W110" i="11" s="1"/>
  <c r="K111" i="11"/>
  <c r="H111" i="11"/>
  <c r="T111" i="11"/>
  <c r="X111" i="11"/>
  <c r="U111" i="11"/>
  <c r="Q111" i="11"/>
  <c r="P111" i="11"/>
  <c r="N111" i="11"/>
  <c r="M111" i="11"/>
  <c r="L111" i="11"/>
  <c r="O111" i="11" s="1"/>
  <c r="V111" i="11"/>
  <c r="S111" i="11"/>
  <c r="W111" i="11" s="1"/>
  <c r="K112" i="11"/>
  <c r="H112" i="11"/>
  <c r="T112" i="11"/>
  <c r="X112" i="11"/>
  <c r="U112" i="11"/>
  <c r="Q112" i="11"/>
  <c r="P112" i="11"/>
  <c r="N112" i="11"/>
  <c r="M112" i="11"/>
  <c r="L112" i="11"/>
  <c r="O112" i="11" s="1"/>
  <c r="V112" i="11"/>
  <c r="S112" i="11"/>
  <c r="W112" i="11" s="1"/>
  <c r="K113" i="11"/>
  <c r="H113" i="11"/>
  <c r="T113" i="11"/>
  <c r="X113" i="11"/>
  <c r="U113" i="11"/>
  <c r="Q113" i="11"/>
  <c r="P113" i="11"/>
  <c r="N113" i="11"/>
  <c r="M113" i="11"/>
  <c r="L113" i="11"/>
  <c r="O113" i="11" s="1"/>
  <c r="V113" i="11"/>
  <c r="S113" i="11"/>
  <c r="W113" i="11" s="1"/>
  <c r="K114" i="11"/>
  <c r="H114" i="11"/>
  <c r="T114" i="11"/>
  <c r="X114" i="11"/>
  <c r="U114" i="11"/>
  <c r="Q114" i="11"/>
  <c r="P114" i="11"/>
  <c r="N114" i="11"/>
  <c r="M114" i="11"/>
  <c r="L114" i="11"/>
  <c r="O114" i="11" s="1"/>
  <c r="V114" i="11"/>
  <c r="S114" i="11"/>
  <c r="W114" i="11" s="1"/>
  <c r="K115" i="11"/>
  <c r="H115" i="11"/>
  <c r="T115" i="11"/>
  <c r="X115" i="11"/>
  <c r="U115" i="11"/>
  <c r="Q115" i="11"/>
  <c r="P115" i="11"/>
  <c r="N115" i="11"/>
  <c r="M115" i="11"/>
  <c r="L115" i="11"/>
  <c r="O115" i="11" s="1"/>
  <c r="V115" i="11"/>
  <c r="S115" i="11"/>
  <c r="W115" i="11" s="1"/>
  <c r="K116" i="11"/>
  <c r="H116" i="11"/>
  <c r="T116" i="11"/>
  <c r="X116" i="11"/>
  <c r="U116" i="11"/>
  <c r="Q116" i="11"/>
  <c r="P116" i="11"/>
  <c r="N116" i="11"/>
  <c r="M116" i="11"/>
  <c r="L116" i="11"/>
  <c r="O116" i="11" s="1"/>
  <c r="V116" i="11"/>
  <c r="S116" i="11"/>
  <c r="W116" i="11" s="1"/>
  <c r="K117" i="11"/>
  <c r="H117" i="11"/>
  <c r="T117" i="11"/>
  <c r="X117" i="11"/>
  <c r="U117" i="11"/>
  <c r="Q117" i="11"/>
  <c r="P117" i="11"/>
  <c r="N117" i="11"/>
  <c r="M117" i="11"/>
  <c r="L117" i="11"/>
  <c r="O117" i="11" s="1"/>
  <c r="V117" i="11"/>
  <c r="S117" i="11"/>
  <c r="W117" i="11" s="1"/>
  <c r="K118" i="11"/>
  <c r="H118" i="11"/>
  <c r="T118" i="11"/>
  <c r="X118" i="11"/>
  <c r="U118" i="11"/>
  <c r="Q118" i="11"/>
  <c r="P118" i="11"/>
  <c r="N118" i="11"/>
  <c r="M118" i="11"/>
  <c r="L118" i="11"/>
  <c r="O118" i="11" s="1"/>
  <c r="V118" i="11"/>
  <c r="S118" i="11"/>
  <c r="W118" i="11" s="1"/>
  <c r="K119" i="11"/>
  <c r="H119" i="11"/>
  <c r="T119" i="11"/>
  <c r="X119" i="11"/>
  <c r="U119" i="11"/>
  <c r="Q119" i="11"/>
  <c r="P119" i="11"/>
  <c r="N119" i="11"/>
  <c r="M119" i="11"/>
  <c r="L119" i="11"/>
  <c r="O119" i="11" s="1"/>
  <c r="V119" i="11"/>
  <c r="S119" i="11"/>
  <c r="W119" i="11" s="1"/>
  <c r="K120" i="11"/>
  <c r="H120" i="11"/>
  <c r="T120" i="11"/>
  <c r="X120" i="11"/>
  <c r="U120" i="11"/>
  <c r="Q120" i="11"/>
  <c r="P120" i="11"/>
  <c r="N120" i="11"/>
  <c r="M120" i="11"/>
  <c r="L120" i="11"/>
  <c r="O120" i="11" s="1"/>
  <c r="V120" i="11"/>
  <c r="S120" i="11"/>
  <c r="W120" i="11" s="1"/>
  <c r="K121" i="11"/>
  <c r="H121" i="11"/>
  <c r="T121" i="11"/>
  <c r="X121" i="11"/>
  <c r="U121" i="11"/>
  <c r="Q121" i="11"/>
  <c r="P121" i="11"/>
  <c r="N121" i="11"/>
  <c r="M121" i="11"/>
  <c r="L121" i="11"/>
  <c r="O121" i="11" s="1"/>
  <c r="V121" i="11"/>
  <c r="S121" i="11"/>
  <c r="W121" i="11" s="1"/>
  <c r="K122" i="11"/>
  <c r="H122" i="11"/>
  <c r="T122" i="11"/>
  <c r="X122" i="11"/>
  <c r="U122" i="11"/>
  <c r="Q122" i="11"/>
  <c r="P122" i="11"/>
  <c r="N122" i="11"/>
  <c r="M122" i="11"/>
  <c r="L122" i="11"/>
  <c r="O122" i="11" s="1"/>
  <c r="V122" i="11"/>
  <c r="S122" i="11"/>
  <c r="W122" i="11" s="1"/>
  <c r="K123" i="11"/>
  <c r="H123" i="11"/>
  <c r="T123" i="11"/>
  <c r="X123" i="11"/>
  <c r="U123" i="11"/>
  <c r="Q123" i="11"/>
  <c r="P123" i="11"/>
  <c r="N123" i="11"/>
  <c r="M123" i="11"/>
  <c r="L123" i="11"/>
  <c r="O123" i="11" s="1"/>
  <c r="V123" i="11"/>
  <c r="S123" i="11"/>
  <c r="W123" i="11" s="1"/>
  <c r="K124" i="11"/>
  <c r="H124" i="11"/>
  <c r="T124" i="11"/>
  <c r="X124" i="11"/>
  <c r="U124" i="11"/>
  <c r="Q124" i="11"/>
  <c r="P124" i="11"/>
  <c r="N124" i="11"/>
  <c r="M124" i="11"/>
  <c r="L124" i="11"/>
  <c r="O124" i="11" s="1"/>
  <c r="V124" i="11"/>
  <c r="S124" i="11"/>
  <c r="W124" i="11" s="1"/>
  <c r="K125" i="11"/>
  <c r="H125" i="11"/>
  <c r="T125" i="11"/>
  <c r="X125" i="11"/>
  <c r="U125" i="11"/>
  <c r="Q125" i="11"/>
  <c r="P125" i="11"/>
  <c r="N125" i="11"/>
  <c r="M125" i="11"/>
  <c r="L125" i="11"/>
  <c r="O125" i="11" s="1"/>
  <c r="V125" i="11"/>
  <c r="S125" i="11"/>
  <c r="W125" i="11" s="1"/>
  <c r="K126" i="11"/>
  <c r="H126" i="11"/>
  <c r="T126" i="11"/>
  <c r="X126" i="11"/>
  <c r="U126" i="11"/>
  <c r="Q126" i="11"/>
  <c r="P126" i="11"/>
  <c r="N126" i="11"/>
  <c r="M126" i="11"/>
  <c r="L126" i="11"/>
  <c r="O126" i="11" s="1"/>
  <c r="V126" i="11"/>
  <c r="S126" i="11"/>
  <c r="W126" i="11" s="1"/>
  <c r="K127" i="11"/>
  <c r="H127" i="11"/>
  <c r="T127" i="11"/>
  <c r="X127" i="11"/>
  <c r="U127" i="11"/>
  <c r="Q127" i="11"/>
  <c r="P127" i="11"/>
  <c r="N127" i="11"/>
  <c r="M127" i="11"/>
  <c r="L127" i="11"/>
  <c r="O127" i="11" s="1"/>
  <c r="V127" i="11"/>
  <c r="S127" i="11"/>
  <c r="W127" i="11" s="1"/>
  <c r="K128" i="11"/>
  <c r="H128" i="11"/>
  <c r="T128" i="11"/>
  <c r="X128" i="11"/>
  <c r="U128" i="11"/>
  <c r="Q128" i="11"/>
  <c r="P128" i="11"/>
  <c r="N128" i="11"/>
  <c r="M128" i="11"/>
  <c r="L128" i="11"/>
  <c r="O128" i="11" s="1"/>
  <c r="V128" i="11"/>
  <c r="S128" i="11"/>
  <c r="W128" i="11" s="1"/>
  <c r="K129" i="11"/>
  <c r="H129" i="11"/>
  <c r="T129" i="11"/>
  <c r="X129" i="11"/>
  <c r="U129" i="11"/>
  <c r="Q129" i="11"/>
  <c r="P129" i="11"/>
  <c r="N129" i="11"/>
  <c r="M129" i="11"/>
  <c r="L129" i="11"/>
  <c r="O129" i="11" s="1"/>
  <c r="V129" i="11"/>
  <c r="S129" i="11"/>
  <c r="W129" i="11" s="1"/>
  <c r="K130" i="11"/>
  <c r="H130" i="11"/>
  <c r="T130" i="11"/>
  <c r="X130" i="11"/>
  <c r="U130" i="11"/>
  <c r="Q130" i="11"/>
  <c r="P130" i="11"/>
  <c r="N130" i="11"/>
  <c r="M130" i="11"/>
  <c r="L130" i="11"/>
  <c r="O130" i="11" s="1"/>
  <c r="V130" i="11"/>
  <c r="S130" i="11"/>
  <c r="W130" i="11" s="1"/>
  <c r="K131" i="11"/>
  <c r="H131" i="11"/>
  <c r="T131" i="11"/>
  <c r="X131" i="11"/>
  <c r="U131" i="11"/>
  <c r="Q131" i="11"/>
  <c r="P131" i="11"/>
  <c r="N131" i="11"/>
  <c r="M131" i="11"/>
  <c r="L131" i="11"/>
  <c r="O131" i="11" s="1"/>
  <c r="V131" i="11"/>
  <c r="S131" i="11"/>
  <c r="W131" i="11" s="1"/>
  <c r="K132" i="11"/>
  <c r="H132" i="11"/>
  <c r="T132" i="11"/>
  <c r="X132" i="11"/>
  <c r="U132" i="11"/>
  <c r="Q132" i="11"/>
  <c r="P132" i="11"/>
  <c r="N132" i="11"/>
  <c r="M132" i="11"/>
  <c r="L132" i="11"/>
  <c r="O132" i="11" s="1"/>
  <c r="V132" i="11"/>
  <c r="S132" i="11"/>
  <c r="W132" i="11" s="1"/>
  <c r="K133" i="11"/>
  <c r="H133" i="11"/>
  <c r="T133" i="11"/>
  <c r="X133" i="11"/>
  <c r="U133" i="11"/>
  <c r="Q133" i="11"/>
  <c r="P133" i="11"/>
  <c r="N133" i="11"/>
  <c r="M133" i="11"/>
  <c r="L133" i="11"/>
  <c r="O133" i="11" s="1"/>
  <c r="V133" i="11"/>
  <c r="S133" i="11"/>
  <c r="W133" i="11" s="1"/>
  <c r="K134" i="11"/>
  <c r="H134" i="11"/>
  <c r="T134" i="11"/>
  <c r="X134" i="11"/>
  <c r="U134" i="11"/>
  <c r="Q134" i="11"/>
  <c r="P134" i="11"/>
  <c r="N134" i="11"/>
  <c r="M134" i="11"/>
  <c r="L134" i="11"/>
  <c r="O134" i="11" s="1"/>
  <c r="V134" i="11"/>
  <c r="S134" i="11"/>
  <c r="W134" i="11" s="1"/>
  <c r="K135" i="11"/>
  <c r="H135" i="11"/>
  <c r="T135" i="11"/>
  <c r="X135" i="11"/>
  <c r="U135" i="11"/>
  <c r="Q135" i="11"/>
  <c r="P135" i="11"/>
  <c r="N135" i="11"/>
  <c r="M135" i="11"/>
  <c r="L135" i="11"/>
  <c r="O135" i="11" s="1"/>
  <c r="V135" i="11"/>
  <c r="S135" i="11"/>
  <c r="W135" i="11" s="1"/>
  <c r="K136" i="11"/>
  <c r="H136" i="11"/>
  <c r="T136" i="11"/>
  <c r="X136" i="11"/>
  <c r="U136" i="11"/>
  <c r="Q136" i="11"/>
  <c r="P136" i="11"/>
  <c r="N136" i="11"/>
  <c r="M136" i="11"/>
  <c r="L136" i="11"/>
  <c r="O136" i="11" s="1"/>
  <c r="V136" i="11"/>
  <c r="S136" i="11"/>
  <c r="W136" i="11" s="1"/>
  <c r="K137" i="11"/>
  <c r="H137" i="11"/>
  <c r="T137" i="11"/>
  <c r="X137" i="11"/>
  <c r="U137" i="11"/>
  <c r="Q137" i="11"/>
  <c r="P137" i="11"/>
  <c r="N137" i="11"/>
  <c r="M137" i="11"/>
  <c r="L137" i="11"/>
  <c r="O137" i="11" s="1"/>
  <c r="V137" i="11"/>
  <c r="S137" i="11"/>
  <c r="W137" i="11" s="1"/>
  <c r="K138" i="11"/>
  <c r="H138" i="11"/>
  <c r="T138" i="11"/>
  <c r="X138" i="11"/>
  <c r="U138" i="11"/>
  <c r="Q138" i="11"/>
  <c r="P138" i="11"/>
  <c r="N138" i="11"/>
  <c r="M138" i="11"/>
  <c r="L138" i="11"/>
  <c r="O138" i="11" s="1"/>
  <c r="V138" i="11"/>
  <c r="S138" i="11"/>
  <c r="W138" i="11" s="1"/>
  <c r="K139" i="11"/>
  <c r="H139" i="11"/>
  <c r="T139" i="11"/>
  <c r="X139" i="11"/>
  <c r="U139" i="11"/>
  <c r="Q139" i="11"/>
  <c r="P139" i="11"/>
  <c r="N139" i="11"/>
  <c r="M139" i="11"/>
  <c r="L139" i="11"/>
  <c r="O139" i="11" s="1"/>
  <c r="V139" i="11"/>
  <c r="S139" i="11"/>
  <c r="W139" i="11" s="1"/>
  <c r="K140" i="11"/>
  <c r="H140" i="11"/>
  <c r="T140" i="11"/>
  <c r="X140" i="11"/>
  <c r="U140" i="11"/>
  <c r="Q140" i="11"/>
  <c r="P140" i="11"/>
  <c r="N140" i="11"/>
  <c r="M140" i="11"/>
  <c r="L140" i="11"/>
  <c r="O140" i="11" s="1"/>
  <c r="V140" i="11"/>
  <c r="S140" i="11"/>
  <c r="W140" i="11" s="1"/>
  <c r="K141" i="11"/>
  <c r="H141" i="11"/>
  <c r="T141" i="11"/>
  <c r="X141" i="11"/>
  <c r="U141" i="11"/>
  <c r="Q141" i="11"/>
  <c r="P141" i="11"/>
  <c r="N141" i="11"/>
  <c r="M141" i="11"/>
  <c r="L141" i="11"/>
  <c r="O141" i="11" s="1"/>
  <c r="V141" i="11"/>
  <c r="S141" i="11"/>
  <c r="W141" i="11" s="1"/>
  <c r="K142" i="11"/>
  <c r="H142" i="11"/>
  <c r="T142" i="11"/>
  <c r="X142" i="11"/>
  <c r="U142" i="11"/>
  <c r="Q142" i="11"/>
  <c r="P142" i="11"/>
  <c r="N142" i="11"/>
  <c r="M142" i="11"/>
  <c r="L142" i="11"/>
  <c r="O142" i="11" s="1"/>
  <c r="V142" i="11"/>
  <c r="S142" i="11"/>
  <c r="W142" i="11" s="1"/>
  <c r="K143" i="11"/>
  <c r="H143" i="11"/>
  <c r="T143" i="11"/>
  <c r="X143" i="11"/>
  <c r="U143" i="11"/>
  <c r="Q143" i="11"/>
  <c r="P143" i="11"/>
  <c r="N143" i="11"/>
  <c r="M143" i="11"/>
  <c r="L143" i="11"/>
  <c r="O143" i="11" s="1"/>
  <c r="V143" i="11"/>
  <c r="S143" i="11"/>
  <c r="W143" i="11" s="1"/>
  <c r="K144" i="11"/>
  <c r="H144" i="11"/>
  <c r="T144" i="11"/>
  <c r="X144" i="11"/>
  <c r="U144" i="11"/>
  <c r="Q144" i="11"/>
  <c r="P144" i="11"/>
  <c r="N144" i="11"/>
  <c r="M144" i="11"/>
  <c r="L144" i="11"/>
  <c r="O144" i="11" s="1"/>
  <c r="V144" i="11"/>
  <c r="S144" i="11"/>
  <c r="W144" i="11" s="1"/>
  <c r="K145" i="11"/>
  <c r="H145" i="11"/>
  <c r="T145" i="11"/>
  <c r="X145" i="11"/>
  <c r="U145" i="11"/>
  <c r="Q145" i="11"/>
  <c r="P145" i="11"/>
  <c r="N145" i="11"/>
  <c r="M145" i="11"/>
  <c r="L145" i="11"/>
  <c r="O145" i="11" s="1"/>
  <c r="V145" i="11"/>
  <c r="S145" i="11"/>
  <c r="W145" i="11" s="1"/>
  <c r="K146" i="11"/>
  <c r="H146" i="11"/>
  <c r="T146" i="11"/>
  <c r="X146" i="11"/>
  <c r="U146" i="11"/>
  <c r="Q146" i="11"/>
  <c r="P146" i="11"/>
  <c r="N146" i="11"/>
  <c r="M146" i="11"/>
  <c r="L146" i="11"/>
  <c r="O146" i="11" s="1"/>
  <c r="V146" i="11"/>
  <c r="S146" i="11"/>
  <c r="W146" i="11" s="1"/>
  <c r="K147" i="11"/>
  <c r="H147" i="11"/>
  <c r="T147" i="11"/>
  <c r="X147" i="11"/>
  <c r="U147" i="11"/>
  <c r="Q147" i="11"/>
  <c r="P147" i="11"/>
  <c r="N147" i="11"/>
  <c r="M147" i="11"/>
  <c r="L147" i="11"/>
  <c r="O147" i="11" s="1"/>
  <c r="V147" i="11"/>
  <c r="S147" i="11"/>
  <c r="W147" i="11" s="1"/>
  <c r="K148" i="11"/>
  <c r="H148" i="11"/>
  <c r="T148" i="11"/>
  <c r="X148" i="11"/>
  <c r="U148" i="11"/>
  <c r="Q148" i="11"/>
  <c r="P148" i="11"/>
  <c r="N148" i="11"/>
  <c r="M148" i="11"/>
  <c r="L148" i="11"/>
  <c r="O148" i="11" s="1"/>
  <c r="V148" i="11"/>
  <c r="S148" i="11"/>
  <c r="W148" i="11" s="1"/>
  <c r="K149" i="11"/>
  <c r="H149" i="11"/>
  <c r="T149" i="11"/>
  <c r="X149" i="11"/>
  <c r="U149" i="11"/>
  <c r="Q149" i="11"/>
  <c r="P149" i="11"/>
  <c r="N149" i="11"/>
  <c r="M149" i="11"/>
  <c r="L149" i="11"/>
  <c r="O149" i="11" s="1"/>
  <c r="V149" i="11"/>
  <c r="S149" i="11"/>
  <c r="W149" i="11" s="1"/>
  <c r="K150" i="11"/>
  <c r="H150" i="11"/>
  <c r="T150" i="11"/>
  <c r="X150" i="11"/>
  <c r="U150" i="11"/>
  <c r="Q150" i="11"/>
  <c r="P150" i="11"/>
  <c r="N150" i="11"/>
  <c r="M150" i="11"/>
  <c r="L150" i="11"/>
  <c r="O150" i="11" s="1"/>
  <c r="V150" i="11"/>
  <c r="S150" i="11"/>
  <c r="W150" i="11" s="1"/>
  <c r="K151" i="11"/>
  <c r="H151" i="11"/>
  <c r="T151" i="11"/>
  <c r="X151" i="11"/>
  <c r="U151" i="11"/>
  <c r="Q151" i="11"/>
  <c r="P151" i="11"/>
  <c r="N151" i="11"/>
  <c r="M151" i="11"/>
  <c r="L151" i="11"/>
  <c r="O151" i="11" s="1"/>
  <c r="V151" i="11"/>
  <c r="S151" i="11"/>
  <c r="W151" i="11" s="1"/>
  <c r="K152" i="11"/>
  <c r="H152" i="11"/>
  <c r="T152" i="11"/>
  <c r="X152" i="11"/>
  <c r="U152" i="11"/>
  <c r="Q152" i="11"/>
  <c r="P152" i="11"/>
  <c r="N152" i="11"/>
  <c r="M152" i="11"/>
  <c r="L152" i="11"/>
  <c r="O152" i="11" s="1"/>
  <c r="V152" i="11"/>
  <c r="S152" i="11"/>
  <c r="W152" i="11" s="1"/>
  <c r="K153" i="11"/>
  <c r="H153" i="11"/>
  <c r="T153" i="11"/>
  <c r="X153" i="11"/>
  <c r="U153" i="11"/>
  <c r="Q153" i="11"/>
  <c r="P153" i="11"/>
  <c r="N153" i="11"/>
  <c r="M153" i="11"/>
  <c r="L153" i="11"/>
  <c r="O153" i="11" s="1"/>
  <c r="V153" i="11"/>
  <c r="S153" i="11"/>
  <c r="W153" i="11" s="1"/>
  <c r="K154" i="11"/>
  <c r="H154" i="11"/>
  <c r="T154" i="11"/>
  <c r="X154" i="11"/>
  <c r="U154" i="11"/>
  <c r="Q154" i="11"/>
  <c r="P154" i="11"/>
  <c r="N154" i="11"/>
  <c r="M154" i="11"/>
  <c r="L154" i="11"/>
  <c r="O154" i="11" s="1"/>
  <c r="V154" i="11"/>
  <c r="S154" i="11"/>
  <c r="W154" i="11" s="1"/>
  <c r="K155" i="11"/>
  <c r="H155" i="11"/>
  <c r="T155" i="11"/>
  <c r="X155" i="11"/>
  <c r="U155" i="11"/>
  <c r="Q155" i="11"/>
  <c r="P155" i="11"/>
  <c r="N155" i="11"/>
  <c r="M155" i="11"/>
  <c r="L155" i="11"/>
  <c r="O155" i="11" s="1"/>
  <c r="V155" i="11"/>
  <c r="S155" i="11"/>
  <c r="W155" i="11" s="1"/>
  <c r="K156" i="11"/>
  <c r="H156" i="11"/>
  <c r="T156" i="11"/>
  <c r="X156" i="11"/>
  <c r="U156" i="11"/>
  <c r="Q156" i="11"/>
  <c r="P156" i="11"/>
  <c r="N156" i="11"/>
  <c r="M156" i="11"/>
  <c r="L156" i="11"/>
  <c r="O156" i="11" s="1"/>
  <c r="V156" i="11"/>
  <c r="S156" i="11"/>
  <c r="W156" i="11" s="1"/>
  <c r="K157" i="11"/>
  <c r="H157" i="11"/>
  <c r="T157" i="11"/>
  <c r="X157" i="11"/>
  <c r="U157" i="11"/>
  <c r="Q157" i="11"/>
  <c r="P157" i="11"/>
  <c r="N157" i="11"/>
  <c r="M157" i="11"/>
  <c r="L157" i="11"/>
  <c r="O157" i="11" s="1"/>
  <c r="V157" i="11"/>
  <c r="S157" i="11"/>
  <c r="W157" i="11" s="1"/>
  <c r="K158" i="11"/>
  <c r="H158" i="11"/>
  <c r="T158" i="11"/>
  <c r="X158" i="11"/>
  <c r="U158" i="11"/>
  <c r="Q158" i="11"/>
  <c r="P158" i="11"/>
  <c r="N158" i="11"/>
  <c r="M158" i="11"/>
  <c r="L158" i="11"/>
  <c r="O158" i="11" s="1"/>
  <c r="V158" i="11"/>
  <c r="S158" i="11"/>
  <c r="W158" i="11" s="1"/>
  <c r="K159" i="11"/>
  <c r="H159" i="11"/>
  <c r="T159" i="11"/>
  <c r="X159" i="11"/>
  <c r="U159" i="11"/>
  <c r="Q159" i="11"/>
  <c r="P159" i="11"/>
  <c r="N159" i="11"/>
  <c r="M159" i="11"/>
  <c r="L159" i="11"/>
  <c r="O159" i="11" s="1"/>
  <c r="V159" i="11"/>
  <c r="S159" i="11"/>
  <c r="W159" i="11" s="1"/>
  <c r="K160" i="11"/>
  <c r="H160" i="11"/>
  <c r="T160" i="11"/>
  <c r="X160" i="11"/>
  <c r="U160" i="11"/>
  <c r="Q160" i="11"/>
  <c r="P160" i="11"/>
  <c r="N160" i="11"/>
  <c r="M160" i="11"/>
  <c r="L160" i="11"/>
  <c r="O160" i="11" s="1"/>
  <c r="V160" i="11"/>
  <c r="S160" i="11"/>
  <c r="W160" i="11" s="1"/>
  <c r="K161" i="11"/>
  <c r="H161" i="11"/>
  <c r="T161" i="11"/>
  <c r="X161" i="11"/>
  <c r="U161" i="11"/>
  <c r="Q161" i="11"/>
  <c r="P161" i="11"/>
  <c r="N161" i="11"/>
  <c r="M161" i="11"/>
  <c r="L161" i="11"/>
  <c r="O161" i="11" s="1"/>
  <c r="V161" i="11"/>
  <c r="S161" i="11"/>
  <c r="W161" i="11" s="1"/>
  <c r="K162" i="11"/>
  <c r="H162" i="11"/>
  <c r="T162" i="11"/>
  <c r="X162" i="11"/>
  <c r="U162" i="11"/>
  <c r="Q162" i="11"/>
  <c r="P162" i="11"/>
  <c r="N162" i="11"/>
  <c r="M162" i="11"/>
  <c r="L162" i="11"/>
  <c r="O162" i="11" s="1"/>
  <c r="V162" i="11"/>
  <c r="S162" i="11"/>
  <c r="W162" i="11" s="1"/>
  <c r="K163" i="11"/>
  <c r="H163" i="11"/>
  <c r="T163" i="11"/>
  <c r="X163" i="11"/>
  <c r="U163" i="11"/>
  <c r="Q163" i="11"/>
  <c r="P163" i="11"/>
  <c r="N163" i="11"/>
  <c r="M163" i="11"/>
  <c r="L163" i="11"/>
  <c r="O163" i="11" s="1"/>
  <c r="V163" i="11"/>
  <c r="S163" i="11"/>
  <c r="W163" i="11" s="1"/>
  <c r="K164" i="11"/>
  <c r="H164" i="11"/>
  <c r="T164" i="11"/>
  <c r="X164" i="11"/>
  <c r="U164" i="11"/>
  <c r="Q164" i="11"/>
  <c r="P164" i="11"/>
  <c r="N164" i="11"/>
  <c r="M164" i="11"/>
  <c r="L164" i="11"/>
  <c r="O164" i="11" s="1"/>
  <c r="V164" i="11"/>
  <c r="S164" i="11"/>
  <c r="W164" i="11" s="1"/>
  <c r="K165" i="11"/>
  <c r="H165" i="11"/>
  <c r="T165" i="11"/>
  <c r="X165" i="11"/>
  <c r="U165" i="11"/>
  <c r="Q165" i="11"/>
  <c r="P165" i="11"/>
  <c r="N165" i="11"/>
  <c r="M165" i="11"/>
  <c r="L165" i="11"/>
  <c r="O165" i="11" s="1"/>
  <c r="V165" i="11"/>
  <c r="S165" i="11"/>
  <c r="W165" i="11" s="1"/>
  <c r="K166" i="11"/>
  <c r="H166" i="11"/>
  <c r="T166" i="11"/>
  <c r="X166" i="11"/>
  <c r="U166" i="11"/>
  <c r="Q166" i="11"/>
  <c r="P166" i="11"/>
  <c r="N166" i="11"/>
  <c r="M166" i="11"/>
  <c r="L166" i="11"/>
  <c r="O166" i="11" s="1"/>
  <c r="V166" i="11"/>
  <c r="S166" i="11"/>
  <c r="W166" i="11" s="1"/>
  <c r="K167" i="11"/>
  <c r="H167" i="11"/>
  <c r="T167" i="11"/>
  <c r="X167" i="11"/>
  <c r="U167" i="11"/>
  <c r="Q167" i="11"/>
  <c r="P167" i="11"/>
  <c r="N167" i="11"/>
  <c r="M167" i="11"/>
  <c r="L167" i="11"/>
  <c r="O167" i="11" s="1"/>
  <c r="V167" i="11"/>
  <c r="S167" i="11"/>
  <c r="W167" i="11" s="1"/>
  <c r="K168" i="11"/>
  <c r="H168" i="11"/>
  <c r="T168" i="11"/>
  <c r="X168" i="11"/>
  <c r="U168" i="11"/>
  <c r="Q168" i="11"/>
  <c r="P168" i="11"/>
  <c r="N168" i="11"/>
  <c r="M168" i="11"/>
  <c r="L168" i="11"/>
  <c r="O168" i="11" s="1"/>
  <c r="V168" i="11"/>
  <c r="S168" i="11"/>
  <c r="W168" i="11" s="1"/>
  <c r="K169" i="11"/>
  <c r="H169" i="11"/>
  <c r="T169" i="11"/>
  <c r="X169" i="11"/>
  <c r="U169" i="11"/>
  <c r="Q169" i="11"/>
  <c r="P169" i="11"/>
  <c r="N169" i="11"/>
  <c r="M169" i="11"/>
  <c r="L169" i="11"/>
  <c r="O169" i="11" s="1"/>
  <c r="V169" i="11"/>
  <c r="S169" i="11"/>
  <c r="W169" i="11" s="1"/>
  <c r="K170" i="11"/>
  <c r="H170" i="11"/>
  <c r="T170" i="11"/>
  <c r="X170" i="11"/>
  <c r="U170" i="11"/>
  <c r="Q170" i="11"/>
  <c r="P170" i="11"/>
  <c r="N170" i="11"/>
  <c r="M170" i="11"/>
  <c r="L170" i="11"/>
  <c r="O170" i="11" s="1"/>
  <c r="V170" i="11"/>
  <c r="S170" i="11"/>
  <c r="W170" i="11" s="1"/>
  <c r="K171" i="11"/>
  <c r="H171" i="11"/>
  <c r="T171" i="11"/>
  <c r="X171" i="11"/>
  <c r="U171" i="11"/>
  <c r="Q171" i="11"/>
  <c r="P171" i="11"/>
  <c r="N171" i="11"/>
  <c r="M171" i="11"/>
  <c r="L171" i="11"/>
  <c r="O171" i="11" s="1"/>
  <c r="V171" i="11"/>
  <c r="S171" i="11"/>
  <c r="W171" i="11" s="1"/>
  <c r="K172" i="11"/>
  <c r="H172" i="11"/>
  <c r="T172" i="11"/>
  <c r="X172" i="11"/>
  <c r="U172" i="11"/>
  <c r="Q172" i="11"/>
  <c r="P172" i="11"/>
  <c r="N172" i="11"/>
  <c r="M172" i="11"/>
  <c r="L172" i="11"/>
  <c r="O172" i="11" s="1"/>
  <c r="V172" i="11"/>
  <c r="S172" i="11"/>
  <c r="W172" i="11" s="1"/>
  <c r="K173" i="11"/>
  <c r="H173" i="11"/>
  <c r="T173" i="11"/>
  <c r="X173" i="11"/>
  <c r="U173" i="11"/>
  <c r="Q173" i="11"/>
  <c r="P173" i="11"/>
  <c r="N173" i="11"/>
  <c r="M173" i="11"/>
  <c r="L173" i="11"/>
  <c r="O173" i="11" s="1"/>
  <c r="V173" i="11"/>
  <c r="S173" i="11"/>
  <c r="W173" i="11" s="1"/>
  <c r="K174" i="11"/>
  <c r="H174" i="11"/>
  <c r="T174" i="11"/>
  <c r="X174" i="11"/>
  <c r="U174" i="11"/>
  <c r="Q174" i="11"/>
  <c r="P174" i="11"/>
  <c r="N174" i="11"/>
  <c r="M174" i="11"/>
  <c r="L174" i="11"/>
  <c r="O174" i="11" s="1"/>
  <c r="V174" i="11"/>
  <c r="S174" i="11"/>
  <c r="W174" i="11" s="1"/>
  <c r="K175" i="11"/>
  <c r="H175" i="11"/>
  <c r="T175" i="11"/>
  <c r="X175" i="11"/>
  <c r="U175" i="11"/>
  <c r="Q175" i="11"/>
  <c r="P175" i="11"/>
  <c r="N175" i="11"/>
  <c r="M175" i="11"/>
  <c r="L175" i="11"/>
  <c r="O175" i="11" s="1"/>
  <c r="V175" i="11"/>
  <c r="S175" i="11"/>
  <c r="W175" i="11" s="1"/>
  <c r="K176" i="11"/>
  <c r="H176" i="11"/>
  <c r="T176" i="11"/>
  <c r="X176" i="11"/>
  <c r="U176" i="11"/>
  <c r="Q176" i="11"/>
  <c r="P176" i="11"/>
  <c r="N176" i="11"/>
  <c r="M176" i="11"/>
  <c r="L176" i="11"/>
  <c r="O176" i="11" s="1"/>
  <c r="V176" i="11"/>
  <c r="S176" i="11"/>
  <c r="W176" i="11" s="1"/>
  <c r="K177" i="11"/>
  <c r="H177" i="11"/>
  <c r="T177" i="11"/>
  <c r="X177" i="11"/>
  <c r="U177" i="11"/>
  <c r="Q177" i="11"/>
  <c r="P177" i="11"/>
  <c r="N177" i="11"/>
  <c r="M177" i="11"/>
  <c r="L177" i="11"/>
  <c r="O177" i="11" s="1"/>
  <c r="V177" i="11"/>
  <c r="S177" i="11"/>
  <c r="W177" i="11" s="1"/>
  <c r="K178" i="11"/>
  <c r="H178" i="11"/>
  <c r="T178" i="11"/>
  <c r="X178" i="11"/>
  <c r="U178" i="11"/>
  <c r="Q178" i="11"/>
  <c r="P178" i="11"/>
  <c r="N178" i="11"/>
  <c r="M178" i="11"/>
  <c r="L178" i="11"/>
  <c r="O178" i="11" s="1"/>
  <c r="V178" i="11"/>
  <c r="S178" i="11"/>
  <c r="W178" i="11" s="1"/>
  <c r="K179" i="11"/>
  <c r="H179" i="11"/>
  <c r="T179" i="11"/>
  <c r="X179" i="11"/>
  <c r="U179" i="11"/>
  <c r="Q179" i="11"/>
  <c r="P179" i="11"/>
  <c r="N179" i="11"/>
  <c r="M179" i="11"/>
  <c r="L179" i="11"/>
  <c r="O179" i="11" s="1"/>
  <c r="V179" i="11"/>
  <c r="S179" i="11"/>
  <c r="W179" i="11" s="1"/>
  <c r="K180" i="11"/>
  <c r="H180" i="11"/>
  <c r="T180" i="11"/>
  <c r="X180" i="11"/>
  <c r="U180" i="11"/>
  <c r="Q180" i="11"/>
  <c r="P180" i="11"/>
  <c r="N180" i="11"/>
  <c r="M180" i="11"/>
  <c r="L180" i="11"/>
  <c r="O180" i="11" s="1"/>
  <c r="V180" i="11"/>
  <c r="S180" i="11"/>
  <c r="W180" i="11" s="1"/>
  <c r="K181" i="11"/>
  <c r="H181" i="11"/>
  <c r="T181" i="11"/>
  <c r="X181" i="11"/>
  <c r="U181" i="11"/>
  <c r="Q181" i="11"/>
  <c r="P181" i="11"/>
  <c r="N181" i="11"/>
  <c r="M181" i="11"/>
  <c r="L181" i="11"/>
  <c r="O181" i="11" s="1"/>
  <c r="V181" i="11"/>
  <c r="S181" i="11"/>
  <c r="W181" i="11" s="1"/>
  <c r="K182" i="11"/>
  <c r="H182" i="11"/>
  <c r="T182" i="11"/>
  <c r="X182" i="11"/>
  <c r="U182" i="11"/>
  <c r="Q182" i="11"/>
  <c r="P182" i="11"/>
  <c r="N182" i="11"/>
  <c r="M182" i="11"/>
  <c r="L182" i="11"/>
  <c r="O182" i="11" s="1"/>
  <c r="V182" i="11"/>
  <c r="S182" i="11"/>
  <c r="W182" i="11" s="1"/>
  <c r="K183" i="11"/>
  <c r="H183" i="11"/>
  <c r="T183" i="11"/>
  <c r="X183" i="11"/>
  <c r="U183" i="11"/>
  <c r="Q183" i="11"/>
  <c r="P183" i="11"/>
  <c r="N183" i="11"/>
  <c r="M183" i="11"/>
  <c r="L183" i="11"/>
  <c r="O183" i="11" s="1"/>
  <c r="V183" i="11"/>
  <c r="S183" i="11"/>
  <c r="W183" i="11" s="1"/>
  <c r="K184" i="11"/>
  <c r="H184" i="11"/>
  <c r="T184" i="11"/>
  <c r="X184" i="11"/>
  <c r="U184" i="11"/>
  <c r="Q184" i="11"/>
  <c r="P184" i="11"/>
  <c r="N184" i="11"/>
  <c r="M184" i="11"/>
  <c r="L184" i="11"/>
  <c r="O184" i="11" s="1"/>
  <c r="V184" i="11"/>
  <c r="S184" i="11"/>
  <c r="W184" i="11" s="1"/>
  <c r="K185" i="11"/>
  <c r="H185" i="11"/>
  <c r="T185" i="11"/>
  <c r="X185" i="11"/>
  <c r="U185" i="11"/>
  <c r="Q185" i="11"/>
  <c r="P185" i="11"/>
  <c r="N185" i="11"/>
  <c r="M185" i="11"/>
  <c r="L185" i="11"/>
  <c r="O185" i="11" s="1"/>
  <c r="V185" i="11"/>
  <c r="S185" i="11"/>
  <c r="W185" i="11" s="1"/>
  <c r="K186" i="11"/>
  <c r="H186" i="11"/>
  <c r="T186" i="11"/>
  <c r="X186" i="11"/>
  <c r="U186" i="11"/>
  <c r="Q186" i="11"/>
  <c r="P186" i="11"/>
  <c r="N186" i="11"/>
  <c r="M186" i="11"/>
  <c r="L186" i="11"/>
  <c r="O186" i="11" s="1"/>
  <c r="V186" i="11"/>
  <c r="S186" i="11"/>
  <c r="W186" i="11" s="1"/>
  <c r="K187" i="11"/>
  <c r="H187" i="11"/>
  <c r="T187" i="11"/>
  <c r="X187" i="11"/>
  <c r="U187" i="11"/>
  <c r="Q187" i="11"/>
  <c r="P187" i="11"/>
  <c r="N187" i="11"/>
  <c r="M187" i="11"/>
  <c r="L187" i="11"/>
  <c r="O187" i="11" s="1"/>
  <c r="V187" i="11"/>
  <c r="S187" i="11"/>
  <c r="W187" i="11" s="1"/>
  <c r="K188" i="11"/>
  <c r="H188" i="11"/>
  <c r="T188" i="11"/>
  <c r="X188" i="11"/>
  <c r="U188" i="11"/>
  <c r="Q188" i="11"/>
  <c r="P188" i="11"/>
  <c r="N188" i="11"/>
  <c r="M188" i="11"/>
  <c r="L188" i="11"/>
  <c r="O188" i="11" s="1"/>
  <c r="V188" i="11"/>
  <c r="S188" i="11"/>
  <c r="W188" i="11" s="1"/>
  <c r="K189" i="11"/>
  <c r="H189" i="11"/>
  <c r="T189" i="11"/>
  <c r="X189" i="11"/>
  <c r="U189" i="11"/>
  <c r="Q189" i="11"/>
  <c r="P189" i="11"/>
  <c r="N189" i="11"/>
  <c r="M189" i="11"/>
  <c r="L189" i="11"/>
  <c r="O189" i="11" s="1"/>
  <c r="V189" i="11"/>
  <c r="S189" i="11"/>
  <c r="W189" i="11" s="1"/>
  <c r="K190" i="11"/>
  <c r="H190" i="11"/>
  <c r="T190" i="11"/>
  <c r="X190" i="11"/>
  <c r="U190" i="11"/>
  <c r="Q190" i="11"/>
  <c r="P190" i="11"/>
  <c r="N190" i="11"/>
  <c r="M190" i="11"/>
  <c r="L190" i="11"/>
  <c r="O190" i="11" s="1"/>
  <c r="V190" i="11"/>
  <c r="S190" i="11"/>
  <c r="W190" i="11" s="1"/>
  <c r="K191" i="11"/>
  <c r="H191" i="11"/>
  <c r="T191" i="11"/>
  <c r="X191" i="11"/>
  <c r="U191" i="11"/>
  <c r="Q191" i="11"/>
  <c r="P191" i="11"/>
  <c r="N191" i="11"/>
  <c r="M191" i="11"/>
  <c r="L191" i="11"/>
  <c r="O191" i="11" s="1"/>
  <c r="V191" i="11"/>
  <c r="S191" i="11"/>
  <c r="W191" i="11" s="1"/>
  <c r="K192" i="11"/>
  <c r="H192" i="11"/>
  <c r="T192" i="11"/>
  <c r="X192" i="11"/>
  <c r="U192" i="11"/>
  <c r="Q192" i="11"/>
  <c r="P192" i="11"/>
  <c r="N192" i="11"/>
  <c r="M192" i="11"/>
  <c r="L192" i="11"/>
  <c r="O192" i="11" s="1"/>
  <c r="V192" i="11"/>
  <c r="S192" i="11"/>
  <c r="W192" i="11" s="1"/>
  <c r="K193" i="11"/>
  <c r="H193" i="11"/>
  <c r="T193" i="11"/>
  <c r="X193" i="11"/>
  <c r="U193" i="11"/>
  <c r="Q193" i="11"/>
  <c r="P193" i="11"/>
  <c r="N193" i="11"/>
  <c r="M193" i="11"/>
  <c r="L193" i="11"/>
  <c r="O193" i="11" s="1"/>
  <c r="V193" i="11"/>
  <c r="S193" i="11"/>
  <c r="W193" i="11" s="1"/>
  <c r="K194" i="11"/>
  <c r="H194" i="11"/>
  <c r="T194" i="11"/>
  <c r="X194" i="11"/>
  <c r="U194" i="11"/>
  <c r="Q194" i="11"/>
  <c r="P194" i="11"/>
  <c r="N194" i="11"/>
  <c r="M194" i="11"/>
  <c r="L194" i="11"/>
  <c r="O194" i="11" s="1"/>
  <c r="V194" i="11"/>
  <c r="S194" i="11"/>
  <c r="W194" i="11" s="1"/>
  <c r="K195" i="11"/>
  <c r="H195" i="11"/>
  <c r="T195" i="11"/>
  <c r="X195" i="11"/>
  <c r="U195" i="11"/>
  <c r="Q195" i="11"/>
  <c r="P195" i="11"/>
  <c r="N195" i="11"/>
  <c r="M195" i="11"/>
  <c r="L195" i="11"/>
  <c r="O195" i="11" s="1"/>
  <c r="V195" i="11"/>
  <c r="S195" i="11"/>
  <c r="W195" i="11" s="1"/>
  <c r="K196" i="11"/>
  <c r="H196" i="11"/>
  <c r="T196" i="11"/>
  <c r="X196" i="11"/>
  <c r="U196" i="11"/>
  <c r="Q196" i="11"/>
  <c r="P196" i="11"/>
  <c r="N196" i="11"/>
  <c r="M196" i="11"/>
  <c r="L196" i="11"/>
  <c r="O196" i="11" s="1"/>
  <c r="V196" i="11"/>
  <c r="S196" i="11"/>
  <c r="W196" i="11" s="1"/>
  <c r="K197" i="11"/>
  <c r="H197" i="11"/>
  <c r="T197" i="11"/>
  <c r="X197" i="11"/>
  <c r="U197" i="11"/>
  <c r="Q197" i="11"/>
  <c r="P197" i="11"/>
  <c r="N197" i="11"/>
  <c r="M197" i="11"/>
  <c r="L197" i="11"/>
  <c r="O197" i="11" s="1"/>
  <c r="V197" i="11"/>
  <c r="S197" i="11"/>
  <c r="W197" i="11" s="1"/>
  <c r="K198" i="11"/>
  <c r="H198" i="11"/>
  <c r="T198" i="11"/>
  <c r="X198" i="11"/>
  <c r="U198" i="11"/>
  <c r="Q198" i="11"/>
  <c r="P198" i="11"/>
  <c r="N198" i="11"/>
  <c r="M198" i="11"/>
  <c r="L198" i="11"/>
  <c r="O198" i="11" s="1"/>
  <c r="V198" i="11"/>
  <c r="S198" i="11"/>
  <c r="W198" i="11" s="1"/>
  <c r="K199" i="11"/>
  <c r="H199" i="11"/>
  <c r="T199" i="11"/>
  <c r="X199" i="11"/>
  <c r="U199" i="11"/>
  <c r="Q199" i="11"/>
  <c r="P199" i="11"/>
  <c r="N199" i="11"/>
  <c r="M199" i="11"/>
  <c r="L199" i="11"/>
  <c r="O199" i="11" s="1"/>
  <c r="V199" i="11"/>
  <c r="S199" i="11"/>
  <c r="W199" i="11" s="1"/>
  <c r="K200" i="11"/>
  <c r="H200" i="11"/>
  <c r="T200" i="11"/>
  <c r="X200" i="11"/>
  <c r="U200" i="11"/>
  <c r="Q200" i="11"/>
  <c r="P200" i="11"/>
  <c r="N200" i="11"/>
  <c r="M200" i="11"/>
  <c r="L200" i="11"/>
  <c r="O200" i="11" s="1"/>
  <c r="V200" i="11"/>
  <c r="S200" i="11"/>
  <c r="W200" i="11" s="1"/>
  <c r="K201" i="11"/>
  <c r="H201" i="11"/>
  <c r="T201" i="11"/>
  <c r="X201" i="11"/>
  <c r="U201" i="11"/>
  <c r="Q201" i="11"/>
  <c r="P201" i="11"/>
  <c r="N201" i="11"/>
  <c r="M201" i="11"/>
  <c r="L201" i="11"/>
  <c r="O201" i="11" s="1"/>
  <c r="V201" i="11"/>
  <c r="S201" i="11"/>
  <c r="W201" i="11" s="1"/>
  <c r="K202" i="11"/>
  <c r="H202" i="11"/>
  <c r="T202" i="11"/>
  <c r="X202" i="11"/>
  <c r="U202" i="11"/>
  <c r="Q202" i="11"/>
  <c r="P202" i="11"/>
  <c r="N202" i="11"/>
  <c r="M202" i="11"/>
  <c r="L202" i="11"/>
  <c r="O202" i="11" s="1"/>
  <c r="V202" i="11"/>
  <c r="S202" i="11"/>
  <c r="W202" i="11" s="1"/>
  <c r="K203" i="11"/>
  <c r="H203" i="11"/>
  <c r="T203" i="11"/>
  <c r="X203" i="11"/>
  <c r="U203" i="11"/>
  <c r="Q203" i="11"/>
  <c r="P203" i="11"/>
  <c r="N203" i="11"/>
  <c r="M203" i="11"/>
  <c r="L203" i="11"/>
  <c r="O203" i="11" s="1"/>
  <c r="V203" i="11"/>
  <c r="S203" i="11"/>
  <c r="W203" i="11" s="1"/>
  <c r="K204" i="11"/>
  <c r="H204" i="11"/>
  <c r="T204" i="11"/>
  <c r="X204" i="11"/>
  <c r="U204" i="11"/>
  <c r="Q204" i="11"/>
  <c r="P204" i="11"/>
  <c r="N204" i="11"/>
  <c r="M204" i="11"/>
  <c r="L204" i="11"/>
  <c r="O204" i="11" s="1"/>
  <c r="V204" i="11"/>
  <c r="S204" i="11"/>
  <c r="W204" i="11" s="1"/>
  <c r="K205" i="11"/>
  <c r="H205" i="11"/>
  <c r="T205" i="11"/>
  <c r="X205" i="11"/>
  <c r="U205" i="11"/>
  <c r="Q205" i="11"/>
  <c r="P205" i="11"/>
  <c r="N205" i="11"/>
  <c r="M205" i="11"/>
  <c r="L205" i="11"/>
  <c r="O205" i="11" s="1"/>
  <c r="V205" i="11"/>
  <c r="S205" i="11"/>
  <c r="W205" i="11" s="1"/>
  <c r="K206" i="11"/>
  <c r="H206" i="11"/>
  <c r="T206" i="11"/>
  <c r="X206" i="11"/>
  <c r="U206" i="11"/>
  <c r="Q206" i="11"/>
  <c r="P206" i="11"/>
  <c r="N206" i="11"/>
  <c r="M206" i="11"/>
  <c r="L206" i="11"/>
  <c r="O206" i="11" s="1"/>
  <c r="V206" i="11"/>
  <c r="S206" i="11"/>
  <c r="W206" i="11" s="1"/>
  <c r="K207" i="11"/>
  <c r="H207" i="11"/>
  <c r="T207" i="11"/>
  <c r="X207" i="11"/>
  <c r="U207" i="11"/>
  <c r="Q207" i="11"/>
  <c r="P207" i="11"/>
  <c r="N207" i="11"/>
  <c r="M207" i="11"/>
  <c r="L207" i="11"/>
  <c r="O207" i="11" s="1"/>
  <c r="V207" i="11"/>
  <c r="S207" i="11"/>
  <c r="W207" i="11" s="1"/>
  <c r="K208" i="11"/>
  <c r="H208" i="11"/>
  <c r="T208" i="11"/>
  <c r="X208" i="11"/>
  <c r="U208" i="11"/>
  <c r="Q208" i="11"/>
  <c r="P208" i="11"/>
  <c r="N208" i="11"/>
  <c r="M208" i="11"/>
  <c r="L208" i="11"/>
  <c r="O208" i="11" s="1"/>
  <c r="V208" i="11"/>
  <c r="S208" i="11"/>
  <c r="W208" i="11" s="1"/>
  <c r="K209" i="11"/>
  <c r="H209" i="11"/>
  <c r="T209" i="11"/>
  <c r="X209" i="11"/>
  <c r="U209" i="11"/>
  <c r="Q209" i="11"/>
  <c r="P209" i="11"/>
  <c r="N209" i="11"/>
  <c r="M209" i="11"/>
  <c r="L209" i="11"/>
  <c r="O209" i="11" s="1"/>
  <c r="V209" i="11"/>
  <c r="S209" i="11"/>
  <c r="W209" i="11" s="1"/>
  <c r="K210" i="11"/>
  <c r="H210" i="11"/>
  <c r="T210" i="11"/>
  <c r="X210" i="11"/>
  <c r="U210" i="11"/>
  <c r="Q210" i="11"/>
  <c r="P210" i="11"/>
  <c r="N210" i="11"/>
  <c r="M210" i="11"/>
  <c r="L210" i="11"/>
  <c r="O210" i="11" s="1"/>
  <c r="V210" i="11"/>
  <c r="S210" i="11"/>
  <c r="W210" i="11" s="1"/>
  <c r="K211" i="11"/>
  <c r="H211" i="11"/>
  <c r="T211" i="11"/>
  <c r="X211" i="11"/>
  <c r="U211" i="11"/>
  <c r="Q211" i="11"/>
  <c r="P211" i="11"/>
  <c r="N211" i="11"/>
  <c r="M211" i="11"/>
  <c r="L211" i="11"/>
  <c r="O211" i="11" s="1"/>
  <c r="V211" i="11"/>
  <c r="S211" i="11"/>
  <c r="W211" i="11" s="1"/>
  <c r="K212" i="11"/>
  <c r="H212" i="11"/>
  <c r="T212" i="11"/>
  <c r="X212" i="11"/>
  <c r="U212" i="11"/>
  <c r="Q212" i="11"/>
  <c r="P212" i="11"/>
  <c r="N212" i="11"/>
  <c r="M212" i="11"/>
  <c r="L212" i="11"/>
  <c r="O212" i="11" s="1"/>
  <c r="V212" i="11"/>
  <c r="S212" i="11"/>
  <c r="W212" i="11" s="1"/>
  <c r="K213" i="11"/>
  <c r="H213" i="11"/>
  <c r="T213" i="11"/>
  <c r="X213" i="11"/>
  <c r="U213" i="11"/>
  <c r="Q213" i="11"/>
  <c r="P213" i="11"/>
  <c r="N213" i="11"/>
  <c r="M213" i="11"/>
  <c r="L213" i="11"/>
  <c r="O213" i="11" s="1"/>
  <c r="V213" i="11"/>
  <c r="S213" i="11"/>
  <c r="W213" i="11" s="1"/>
  <c r="K214" i="11"/>
  <c r="H214" i="11"/>
  <c r="T214" i="11"/>
  <c r="X214" i="11"/>
  <c r="U214" i="11"/>
  <c r="Q214" i="11"/>
  <c r="P214" i="11"/>
  <c r="N214" i="11"/>
  <c r="M214" i="11"/>
  <c r="L214" i="11"/>
  <c r="O214" i="11" s="1"/>
  <c r="V214" i="11"/>
  <c r="S214" i="11"/>
  <c r="W214" i="11" s="1"/>
  <c r="K215" i="11"/>
  <c r="H215" i="11"/>
  <c r="T215" i="11"/>
  <c r="X215" i="11"/>
  <c r="U215" i="11"/>
  <c r="Q215" i="11"/>
  <c r="P215" i="11"/>
  <c r="N215" i="11"/>
  <c r="M215" i="11"/>
  <c r="L215" i="11"/>
  <c r="O215" i="11" s="1"/>
  <c r="V215" i="11"/>
  <c r="S215" i="11"/>
  <c r="W215" i="11" s="1"/>
  <c r="K216" i="11"/>
  <c r="H216" i="11"/>
  <c r="T216" i="11"/>
  <c r="X216" i="11"/>
  <c r="U216" i="11"/>
  <c r="Q216" i="11"/>
  <c r="P216" i="11"/>
  <c r="N216" i="11"/>
  <c r="M216" i="11"/>
  <c r="L216" i="11"/>
  <c r="O216" i="11" s="1"/>
  <c r="V216" i="11"/>
  <c r="S216" i="11"/>
  <c r="W216" i="11" s="1"/>
  <c r="K217" i="11"/>
  <c r="H217" i="11"/>
  <c r="T217" i="11"/>
  <c r="X217" i="11"/>
  <c r="U217" i="11"/>
  <c r="Q217" i="11"/>
  <c r="P217" i="11"/>
  <c r="N217" i="11"/>
  <c r="M217" i="11"/>
  <c r="L217" i="11"/>
  <c r="O217" i="11" s="1"/>
  <c r="V217" i="11"/>
  <c r="S217" i="11"/>
  <c r="W217" i="11" s="1"/>
  <c r="K218" i="11"/>
  <c r="H218" i="11"/>
  <c r="T218" i="11"/>
  <c r="X218" i="11"/>
  <c r="U218" i="11"/>
  <c r="Q218" i="11"/>
  <c r="P218" i="11"/>
  <c r="N218" i="11"/>
  <c r="M218" i="11"/>
  <c r="L218" i="11"/>
  <c r="O218" i="11" s="1"/>
  <c r="V218" i="11"/>
  <c r="S218" i="11"/>
  <c r="W218" i="11" s="1"/>
  <c r="K219" i="11"/>
  <c r="H219" i="11"/>
  <c r="T219" i="11"/>
  <c r="X219" i="11"/>
  <c r="U219" i="11"/>
  <c r="Q219" i="11"/>
  <c r="P219" i="11"/>
  <c r="N219" i="11"/>
  <c r="M219" i="11"/>
  <c r="L219" i="11"/>
  <c r="O219" i="11" s="1"/>
  <c r="V219" i="11"/>
  <c r="S219" i="11"/>
  <c r="W219" i="11" s="1"/>
  <c r="K220" i="11"/>
  <c r="H220" i="11"/>
  <c r="T220" i="11"/>
  <c r="X220" i="11"/>
  <c r="U220" i="11"/>
  <c r="Q220" i="11"/>
  <c r="P220" i="11"/>
  <c r="N220" i="11"/>
  <c r="M220" i="11"/>
  <c r="L220" i="11"/>
  <c r="O220" i="11" s="1"/>
  <c r="V220" i="11"/>
  <c r="S220" i="11"/>
  <c r="W220" i="11" s="1"/>
  <c r="K221" i="11"/>
  <c r="H221" i="11"/>
  <c r="T221" i="11"/>
  <c r="X221" i="11"/>
  <c r="U221" i="11"/>
  <c r="Q221" i="11"/>
  <c r="P221" i="11"/>
  <c r="N221" i="11"/>
  <c r="M221" i="11"/>
  <c r="L221" i="11"/>
  <c r="O221" i="11" s="1"/>
  <c r="V221" i="11"/>
  <c r="S221" i="11"/>
  <c r="W221" i="11" s="1"/>
  <c r="K222" i="11"/>
  <c r="H222" i="11"/>
  <c r="T222" i="11"/>
  <c r="X222" i="11"/>
  <c r="U222" i="11"/>
  <c r="Q222" i="11"/>
  <c r="P222" i="11"/>
  <c r="N222" i="11"/>
  <c r="M222" i="11"/>
  <c r="L222" i="11"/>
  <c r="O222" i="11" s="1"/>
  <c r="V222" i="11"/>
  <c r="S222" i="11"/>
  <c r="W222" i="11" s="1"/>
  <c r="K223" i="11"/>
  <c r="H223" i="11"/>
  <c r="T223" i="11"/>
  <c r="X223" i="11"/>
  <c r="U223" i="11"/>
  <c r="Q223" i="11"/>
  <c r="P223" i="11"/>
  <c r="N223" i="11"/>
  <c r="M223" i="11"/>
  <c r="L223" i="11"/>
  <c r="O223" i="11" s="1"/>
  <c r="V223" i="11"/>
  <c r="S223" i="11"/>
  <c r="W223" i="11" s="1"/>
  <c r="K224" i="11"/>
  <c r="H224" i="11"/>
  <c r="T224" i="11"/>
  <c r="X224" i="11"/>
  <c r="U224" i="11"/>
  <c r="Q224" i="11"/>
  <c r="P224" i="11"/>
  <c r="N224" i="11"/>
  <c r="M224" i="11"/>
  <c r="L224" i="11"/>
  <c r="O224" i="11" s="1"/>
  <c r="V224" i="11"/>
  <c r="S224" i="11"/>
  <c r="W224" i="11" s="1"/>
  <c r="K225" i="11"/>
  <c r="H225" i="11"/>
  <c r="T225" i="11"/>
  <c r="X225" i="11"/>
  <c r="U225" i="11"/>
  <c r="Q225" i="11"/>
  <c r="P225" i="11"/>
  <c r="N225" i="11"/>
  <c r="M225" i="11"/>
  <c r="L225" i="11"/>
  <c r="O225" i="11" s="1"/>
  <c r="V225" i="11"/>
  <c r="S225" i="11"/>
  <c r="W225" i="11" s="1"/>
  <c r="K226" i="11"/>
  <c r="H226" i="11"/>
  <c r="T226" i="11"/>
  <c r="X226" i="11"/>
  <c r="U226" i="11"/>
  <c r="Q226" i="11"/>
  <c r="P226" i="11"/>
  <c r="N226" i="11"/>
  <c r="M226" i="11"/>
  <c r="L226" i="11"/>
  <c r="O226" i="11" s="1"/>
  <c r="V226" i="11"/>
  <c r="S226" i="11"/>
  <c r="W226" i="11" s="1"/>
  <c r="K227" i="11"/>
  <c r="H227" i="11"/>
  <c r="T227" i="11"/>
  <c r="X227" i="11"/>
  <c r="U227" i="11"/>
  <c r="Q227" i="11"/>
  <c r="P227" i="11"/>
  <c r="N227" i="11"/>
  <c r="M227" i="11"/>
  <c r="L227" i="11"/>
  <c r="O227" i="11" s="1"/>
  <c r="V227" i="11"/>
  <c r="S227" i="11"/>
  <c r="W227" i="11" s="1"/>
  <c r="K228" i="11"/>
  <c r="H228" i="11"/>
  <c r="T228" i="11"/>
  <c r="X228" i="11"/>
  <c r="U228" i="11"/>
  <c r="Q228" i="11"/>
  <c r="P228" i="11"/>
  <c r="N228" i="11"/>
  <c r="M228" i="11"/>
  <c r="L228" i="11"/>
  <c r="O228" i="11" s="1"/>
  <c r="V228" i="11"/>
  <c r="S228" i="11"/>
  <c r="W228" i="11" s="1"/>
  <c r="K229" i="11"/>
  <c r="H229" i="11"/>
  <c r="T229" i="11"/>
  <c r="X229" i="11"/>
  <c r="U229" i="11"/>
  <c r="Q229" i="11"/>
  <c r="P229" i="11"/>
  <c r="N229" i="11"/>
  <c r="M229" i="11"/>
  <c r="L229" i="11"/>
  <c r="O229" i="11" s="1"/>
  <c r="V229" i="11"/>
  <c r="S229" i="11"/>
  <c r="W229" i="11" s="1"/>
  <c r="K230" i="11"/>
  <c r="H230" i="11"/>
  <c r="T230" i="11"/>
  <c r="X230" i="11"/>
  <c r="U230" i="11"/>
  <c r="Q230" i="11"/>
  <c r="P230" i="11"/>
  <c r="N230" i="11"/>
  <c r="M230" i="11"/>
  <c r="L230" i="11"/>
  <c r="O230" i="11" s="1"/>
  <c r="V230" i="11"/>
  <c r="S230" i="11"/>
  <c r="W230" i="11" s="1"/>
  <c r="K231" i="11"/>
  <c r="H231" i="11"/>
  <c r="T231" i="11"/>
  <c r="X231" i="11"/>
  <c r="U231" i="11"/>
  <c r="Q231" i="11"/>
  <c r="P231" i="11"/>
  <c r="N231" i="11"/>
  <c r="M231" i="11"/>
  <c r="L231" i="11"/>
  <c r="O231" i="11" s="1"/>
  <c r="V231" i="11"/>
  <c r="S231" i="11"/>
  <c r="W231" i="11" s="1"/>
  <c r="K232" i="11"/>
  <c r="H232" i="11"/>
  <c r="T232" i="11"/>
  <c r="X232" i="11"/>
  <c r="U232" i="11"/>
  <c r="Q232" i="11"/>
  <c r="P232" i="11"/>
  <c r="N232" i="11"/>
  <c r="M232" i="11"/>
  <c r="L232" i="11"/>
  <c r="O232" i="11" s="1"/>
  <c r="V232" i="11"/>
  <c r="S232" i="11"/>
  <c r="W232" i="11" s="1"/>
  <c r="K233" i="11"/>
  <c r="H233" i="11"/>
  <c r="T233" i="11"/>
  <c r="X233" i="11"/>
  <c r="U233" i="11"/>
  <c r="Q233" i="11"/>
  <c r="P233" i="11"/>
  <c r="N233" i="11"/>
  <c r="M233" i="11"/>
  <c r="L233" i="11"/>
  <c r="O233" i="11" s="1"/>
  <c r="V233" i="11"/>
  <c r="S233" i="11"/>
  <c r="W233" i="11" s="1"/>
  <c r="K234" i="11"/>
  <c r="H234" i="11"/>
  <c r="T234" i="11"/>
  <c r="X234" i="11"/>
  <c r="U234" i="11"/>
  <c r="Q234" i="11"/>
  <c r="P234" i="11"/>
  <c r="N234" i="11"/>
  <c r="M234" i="11"/>
  <c r="L234" i="11"/>
  <c r="O234" i="11" s="1"/>
  <c r="V234" i="11"/>
  <c r="S234" i="11"/>
  <c r="W234" i="11" s="1"/>
  <c r="K235" i="11"/>
  <c r="H235" i="11"/>
  <c r="T235" i="11"/>
  <c r="X235" i="11"/>
  <c r="U235" i="11"/>
  <c r="Q235" i="11"/>
  <c r="P235" i="11"/>
  <c r="N235" i="11"/>
  <c r="M235" i="11"/>
  <c r="L235" i="11"/>
  <c r="O235" i="11" s="1"/>
  <c r="V235" i="11"/>
  <c r="S235" i="11"/>
  <c r="W235" i="11" s="1"/>
  <c r="K236" i="11"/>
  <c r="H236" i="11"/>
  <c r="T236" i="11"/>
  <c r="X236" i="11"/>
  <c r="U236" i="11"/>
  <c r="Q236" i="11"/>
  <c r="P236" i="11"/>
  <c r="N236" i="11"/>
  <c r="M236" i="11"/>
  <c r="L236" i="11"/>
  <c r="O236" i="11" s="1"/>
  <c r="V236" i="11"/>
  <c r="S236" i="11"/>
  <c r="W236" i="11" s="1"/>
  <c r="K237" i="11"/>
  <c r="H237" i="11"/>
  <c r="T237" i="11"/>
  <c r="X237" i="11"/>
  <c r="U237" i="11"/>
  <c r="Q237" i="11"/>
  <c r="P237" i="11"/>
  <c r="N237" i="11"/>
  <c r="M237" i="11"/>
  <c r="L237" i="11"/>
  <c r="O237" i="11" s="1"/>
  <c r="V237" i="11"/>
  <c r="S237" i="11"/>
  <c r="W237" i="11" s="1"/>
  <c r="K238" i="11"/>
  <c r="H238" i="11"/>
  <c r="T238" i="11"/>
  <c r="X238" i="11"/>
  <c r="U238" i="11"/>
  <c r="Q238" i="11"/>
  <c r="P238" i="11"/>
  <c r="N238" i="11"/>
  <c r="M238" i="11"/>
  <c r="L238" i="11"/>
  <c r="O238" i="11" s="1"/>
  <c r="V238" i="11"/>
  <c r="S238" i="11"/>
  <c r="W238" i="11" s="1"/>
  <c r="K239" i="11"/>
  <c r="H239" i="11"/>
  <c r="T239" i="11"/>
  <c r="X239" i="11"/>
  <c r="U239" i="11"/>
  <c r="Q239" i="11"/>
  <c r="P239" i="11"/>
  <c r="N239" i="11"/>
  <c r="M239" i="11"/>
  <c r="L239" i="11"/>
  <c r="O239" i="11" s="1"/>
  <c r="V239" i="11"/>
  <c r="S239" i="11"/>
  <c r="W239" i="11" s="1"/>
  <c r="K240" i="11"/>
  <c r="H240" i="11"/>
  <c r="T240" i="11"/>
  <c r="X240" i="11"/>
  <c r="U240" i="11"/>
  <c r="Q240" i="11"/>
  <c r="P240" i="11"/>
  <c r="N240" i="11"/>
  <c r="M240" i="11"/>
  <c r="L240" i="11"/>
  <c r="O240" i="11" s="1"/>
  <c r="V240" i="11"/>
  <c r="S240" i="11"/>
  <c r="W240" i="11" s="1"/>
  <c r="K241" i="11"/>
  <c r="H241" i="11"/>
  <c r="T241" i="11"/>
  <c r="X241" i="11"/>
  <c r="U241" i="11"/>
  <c r="Q241" i="11"/>
  <c r="P241" i="11"/>
  <c r="N241" i="11"/>
  <c r="M241" i="11"/>
  <c r="L241" i="11"/>
  <c r="O241" i="11" s="1"/>
  <c r="V241" i="11"/>
  <c r="S241" i="11"/>
  <c r="W241" i="11" s="1"/>
  <c r="K242" i="11"/>
  <c r="H242" i="11"/>
  <c r="T242" i="11"/>
  <c r="X242" i="11"/>
  <c r="U242" i="11"/>
  <c r="Q242" i="11"/>
  <c r="P242" i="11"/>
  <c r="N242" i="11"/>
  <c r="M242" i="11"/>
  <c r="L242" i="11"/>
  <c r="O242" i="11" s="1"/>
  <c r="V242" i="11"/>
  <c r="S242" i="11"/>
  <c r="W242" i="11" s="1"/>
  <c r="K243" i="11"/>
  <c r="H243" i="11"/>
  <c r="T243" i="11"/>
  <c r="X243" i="11"/>
  <c r="U243" i="11"/>
  <c r="Q243" i="11"/>
  <c r="P243" i="11"/>
  <c r="N243" i="11"/>
  <c r="M243" i="11"/>
  <c r="L243" i="11"/>
  <c r="O243" i="11" s="1"/>
  <c r="V243" i="11"/>
  <c r="S243" i="11"/>
  <c r="W243" i="11" s="1"/>
  <c r="K244" i="11"/>
  <c r="H244" i="11"/>
  <c r="T244" i="11"/>
  <c r="X244" i="11"/>
  <c r="U244" i="11"/>
  <c r="Q244" i="11"/>
  <c r="P244" i="11"/>
  <c r="N244" i="11"/>
  <c r="M244" i="11"/>
  <c r="L244" i="11"/>
  <c r="O244" i="11" s="1"/>
  <c r="V244" i="11"/>
  <c r="S244" i="11"/>
  <c r="W244" i="11" s="1"/>
  <c r="K245" i="11"/>
  <c r="H245" i="11"/>
  <c r="T245" i="11"/>
  <c r="X245" i="11"/>
  <c r="U245" i="11"/>
  <c r="Q245" i="11"/>
  <c r="P245" i="11"/>
  <c r="N245" i="11"/>
  <c r="M245" i="11"/>
  <c r="L245" i="11"/>
  <c r="O245" i="11" s="1"/>
  <c r="V245" i="11"/>
  <c r="S245" i="11"/>
  <c r="W245" i="11" s="1"/>
  <c r="K246" i="11"/>
  <c r="H246" i="11"/>
  <c r="T246" i="11"/>
  <c r="X246" i="11"/>
  <c r="U246" i="11"/>
  <c r="Q246" i="11"/>
  <c r="P246" i="11"/>
  <c r="N246" i="11"/>
  <c r="M246" i="11"/>
  <c r="L246" i="11"/>
  <c r="O246" i="11" s="1"/>
  <c r="V246" i="11"/>
  <c r="S246" i="11"/>
  <c r="W246" i="11" s="1"/>
  <c r="K247" i="11"/>
  <c r="H247" i="11"/>
  <c r="T247" i="11"/>
  <c r="X247" i="11"/>
  <c r="U247" i="11"/>
  <c r="Q247" i="11"/>
  <c r="P247" i="11"/>
  <c r="N247" i="11"/>
  <c r="M247" i="11"/>
  <c r="L247" i="11"/>
  <c r="O247" i="11" s="1"/>
  <c r="V247" i="11"/>
  <c r="S247" i="11"/>
  <c r="W247" i="11" s="1"/>
  <c r="K248" i="11"/>
  <c r="H248" i="11"/>
  <c r="T248" i="11"/>
  <c r="X248" i="11"/>
  <c r="U248" i="11"/>
  <c r="Q248" i="11"/>
  <c r="P248" i="11"/>
  <c r="N248" i="11"/>
  <c r="M248" i="11"/>
  <c r="L248" i="11"/>
  <c r="O248" i="11" s="1"/>
  <c r="V248" i="11"/>
  <c r="S248" i="11"/>
  <c r="W248" i="11" s="1"/>
  <c r="K249" i="11"/>
  <c r="H249" i="11"/>
  <c r="T249" i="11"/>
  <c r="X249" i="11"/>
  <c r="U249" i="11"/>
  <c r="Q249" i="11"/>
  <c r="P249" i="11"/>
  <c r="N249" i="11"/>
  <c r="M249" i="11"/>
  <c r="L249" i="11"/>
  <c r="O249" i="11" s="1"/>
  <c r="V249" i="11"/>
  <c r="S249" i="11"/>
  <c r="W249" i="11" s="1"/>
  <c r="K250" i="11"/>
  <c r="H250" i="11"/>
  <c r="T250" i="11"/>
  <c r="X250" i="11"/>
  <c r="U250" i="11"/>
  <c r="Q250" i="11"/>
  <c r="P250" i="11"/>
  <c r="N250" i="11"/>
  <c r="M250" i="11"/>
  <c r="L250" i="11"/>
  <c r="O250" i="11" s="1"/>
  <c r="V250" i="11"/>
  <c r="S250" i="11"/>
  <c r="W250" i="11" s="1"/>
  <c r="K6" i="10"/>
  <c r="H6" i="10"/>
  <c r="T6" i="10"/>
  <c r="X6" i="10"/>
  <c r="U6" i="10"/>
  <c r="Q6" i="10"/>
  <c r="P6" i="10"/>
  <c r="N6" i="10"/>
  <c r="M6" i="10"/>
  <c r="L6" i="10"/>
  <c r="O6" i="10" s="1"/>
  <c r="V6" i="10"/>
  <c r="S6" i="10"/>
  <c r="W6" i="10" s="1"/>
  <c r="K7" i="10"/>
  <c r="H7" i="10"/>
  <c r="T7" i="10"/>
  <c r="X7" i="10"/>
  <c r="U7" i="10"/>
  <c r="Q7" i="10"/>
  <c r="P7" i="10"/>
  <c r="N7" i="10"/>
  <c r="M7" i="10"/>
  <c r="L7" i="10"/>
  <c r="O7" i="10" s="1"/>
  <c r="V7" i="10"/>
  <c r="S7" i="10"/>
  <c r="W7" i="10" s="1"/>
  <c r="K8" i="10"/>
  <c r="H8" i="10"/>
  <c r="T8" i="10"/>
  <c r="X8" i="10"/>
  <c r="U8" i="10"/>
  <c r="Q8" i="10"/>
  <c r="P8" i="10"/>
  <c r="N8" i="10"/>
  <c r="M8" i="10"/>
  <c r="L8" i="10"/>
  <c r="O8" i="10" s="1"/>
  <c r="V8" i="10"/>
  <c r="S8" i="10"/>
  <c r="W8" i="10" s="1"/>
  <c r="K9" i="10"/>
  <c r="H9" i="10"/>
  <c r="T9" i="10"/>
  <c r="X9" i="10"/>
  <c r="U9" i="10"/>
  <c r="Q9" i="10"/>
  <c r="P9" i="10"/>
  <c r="N9" i="10"/>
  <c r="M9" i="10"/>
  <c r="L9" i="10"/>
  <c r="O9" i="10" s="1"/>
  <c r="V9" i="10"/>
  <c r="S9" i="10"/>
  <c r="W9" i="10" s="1"/>
  <c r="K10" i="10"/>
  <c r="H10" i="10"/>
  <c r="T10" i="10"/>
  <c r="X10" i="10"/>
  <c r="U10" i="10"/>
  <c r="Q10" i="10"/>
  <c r="P10" i="10"/>
  <c r="N10" i="10"/>
  <c r="M10" i="10"/>
  <c r="L10" i="10"/>
  <c r="O10" i="10" s="1"/>
  <c r="V10" i="10"/>
  <c r="S10" i="10"/>
  <c r="W10" i="10" s="1"/>
  <c r="K11" i="10"/>
  <c r="H11" i="10"/>
  <c r="T11" i="10"/>
  <c r="X11" i="10"/>
  <c r="U11" i="10"/>
  <c r="Q11" i="10"/>
  <c r="P11" i="10"/>
  <c r="N11" i="10"/>
  <c r="M11" i="10"/>
  <c r="L11" i="10"/>
  <c r="O11" i="10" s="1"/>
  <c r="V11" i="10"/>
  <c r="S11" i="10"/>
  <c r="W11" i="10" s="1"/>
  <c r="K12" i="10"/>
  <c r="H12" i="10"/>
  <c r="T12" i="10"/>
  <c r="X12" i="10"/>
  <c r="U12" i="10"/>
  <c r="Q12" i="10"/>
  <c r="P12" i="10"/>
  <c r="N12" i="10"/>
  <c r="M12" i="10"/>
  <c r="L12" i="10"/>
  <c r="O12" i="10" s="1"/>
  <c r="V12" i="10"/>
  <c r="S12" i="10"/>
  <c r="W12" i="10" s="1"/>
  <c r="K13" i="10"/>
  <c r="H13" i="10"/>
  <c r="T13" i="10"/>
  <c r="X13" i="10"/>
  <c r="U13" i="10"/>
  <c r="Q13" i="10"/>
  <c r="P13" i="10"/>
  <c r="N13" i="10"/>
  <c r="M13" i="10"/>
  <c r="L13" i="10"/>
  <c r="O13" i="10" s="1"/>
  <c r="V13" i="10"/>
  <c r="S13" i="10"/>
  <c r="W13" i="10" s="1"/>
  <c r="K14" i="10"/>
  <c r="H14" i="10"/>
  <c r="T14" i="10"/>
  <c r="X14" i="10"/>
  <c r="U14" i="10"/>
  <c r="Q14" i="10"/>
  <c r="P14" i="10"/>
  <c r="N14" i="10"/>
  <c r="M14" i="10"/>
  <c r="L14" i="10"/>
  <c r="O14" i="10" s="1"/>
  <c r="V14" i="10"/>
  <c r="S14" i="10"/>
  <c r="W14" i="10" s="1"/>
  <c r="K15" i="10"/>
  <c r="H15" i="10"/>
  <c r="T15" i="10"/>
  <c r="X15" i="10"/>
  <c r="U15" i="10"/>
  <c r="Q15" i="10"/>
  <c r="P15" i="10"/>
  <c r="N15" i="10"/>
  <c r="M15" i="10"/>
  <c r="L15" i="10"/>
  <c r="O15" i="10" s="1"/>
  <c r="V15" i="10"/>
  <c r="S15" i="10"/>
  <c r="W15" i="10" s="1"/>
  <c r="K16" i="10"/>
  <c r="H16" i="10"/>
  <c r="T16" i="10"/>
  <c r="X16" i="10"/>
  <c r="U16" i="10"/>
  <c r="Q16" i="10"/>
  <c r="P16" i="10"/>
  <c r="N16" i="10"/>
  <c r="M16" i="10"/>
  <c r="L16" i="10"/>
  <c r="O16" i="10" s="1"/>
  <c r="V16" i="10"/>
  <c r="S16" i="10"/>
  <c r="W16" i="10" s="1"/>
  <c r="K17" i="10"/>
  <c r="H17" i="10"/>
  <c r="T17" i="10"/>
  <c r="X17" i="10"/>
  <c r="U17" i="10"/>
  <c r="Q17" i="10"/>
  <c r="P17" i="10"/>
  <c r="N17" i="10"/>
  <c r="M17" i="10"/>
  <c r="L17" i="10"/>
  <c r="O17" i="10" s="1"/>
  <c r="V17" i="10"/>
  <c r="S17" i="10"/>
  <c r="W17" i="10" s="1"/>
  <c r="K18" i="10"/>
  <c r="H18" i="10"/>
  <c r="T18" i="10"/>
  <c r="X18" i="10"/>
  <c r="U18" i="10"/>
  <c r="Q18" i="10"/>
  <c r="P18" i="10"/>
  <c r="N18" i="10"/>
  <c r="M18" i="10"/>
  <c r="L18" i="10"/>
  <c r="O18" i="10" s="1"/>
  <c r="V18" i="10"/>
  <c r="S18" i="10"/>
  <c r="W18" i="10" s="1"/>
  <c r="K19" i="10"/>
  <c r="H19" i="10"/>
  <c r="T19" i="10"/>
  <c r="X19" i="10"/>
  <c r="U19" i="10"/>
  <c r="Q19" i="10"/>
  <c r="P19" i="10"/>
  <c r="N19" i="10"/>
  <c r="M19" i="10"/>
  <c r="L19" i="10"/>
  <c r="O19" i="10" s="1"/>
  <c r="V19" i="10"/>
  <c r="S19" i="10"/>
  <c r="W19" i="10" s="1"/>
  <c r="K20" i="10"/>
  <c r="H20" i="10"/>
  <c r="T20" i="10"/>
  <c r="X20" i="10"/>
  <c r="U20" i="10"/>
  <c r="Q20" i="10"/>
  <c r="P20" i="10"/>
  <c r="N20" i="10"/>
  <c r="M20" i="10"/>
  <c r="L20" i="10"/>
  <c r="O20" i="10" s="1"/>
  <c r="V20" i="10"/>
  <c r="S20" i="10"/>
  <c r="W20" i="10" s="1"/>
  <c r="K21" i="10"/>
  <c r="H21" i="10"/>
  <c r="T21" i="10"/>
  <c r="X21" i="10"/>
  <c r="U21" i="10"/>
  <c r="Q21" i="10"/>
  <c r="P21" i="10"/>
  <c r="N21" i="10"/>
  <c r="M21" i="10"/>
  <c r="L21" i="10"/>
  <c r="O21" i="10" s="1"/>
  <c r="V21" i="10"/>
  <c r="S21" i="10"/>
  <c r="W21" i="10" s="1"/>
  <c r="K22" i="10"/>
  <c r="H22" i="10"/>
  <c r="T22" i="10"/>
  <c r="X22" i="10"/>
  <c r="U22" i="10"/>
  <c r="Q22" i="10"/>
  <c r="P22" i="10"/>
  <c r="N22" i="10"/>
  <c r="M22" i="10"/>
  <c r="L22" i="10"/>
  <c r="O22" i="10" s="1"/>
  <c r="V22" i="10"/>
  <c r="S22" i="10"/>
  <c r="W22" i="10" s="1"/>
  <c r="K23" i="10"/>
  <c r="H23" i="10"/>
  <c r="T23" i="10"/>
  <c r="X23" i="10"/>
  <c r="U23" i="10"/>
  <c r="Q23" i="10"/>
  <c r="P23" i="10"/>
  <c r="N23" i="10"/>
  <c r="M23" i="10"/>
  <c r="L23" i="10"/>
  <c r="O23" i="10" s="1"/>
  <c r="V23" i="10"/>
  <c r="S23" i="10"/>
  <c r="W23" i="10" s="1"/>
  <c r="K24" i="10"/>
  <c r="H24" i="10"/>
  <c r="T24" i="10"/>
  <c r="X24" i="10"/>
  <c r="U24" i="10"/>
  <c r="Q24" i="10"/>
  <c r="P24" i="10"/>
  <c r="N24" i="10"/>
  <c r="M24" i="10"/>
  <c r="L24" i="10"/>
  <c r="O24" i="10" s="1"/>
  <c r="V24" i="10"/>
  <c r="S24" i="10"/>
  <c r="W24" i="10" s="1"/>
  <c r="K25" i="10"/>
  <c r="H25" i="10"/>
  <c r="T25" i="10"/>
  <c r="X25" i="10"/>
  <c r="U25" i="10"/>
  <c r="Q25" i="10"/>
  <c r="P25" i="10"/>
  <c r="N25" i="10"/>
  <c r="M25" i="10"/>
  <c r="L25" i="10"/>
  <c r="O25" i="10" s="1"/>
  <c r="V25" i="10"/>
  <c r="S25" i="10"/>
  <c r="W25" i="10" s="1"/>
  <c r="K26" i="10"/>
  <c r="H26" i="10"/>
  <c r="T26" i="10"/>
  <c r="X26" i="10"/>
  <c r="U26" i="10"/>
  <c r="Q26" i="10"/>
  <c r="P26" i="10"/>
  <c r="N26" i="10"/>
  <c r="M26" i="10"/>
  <c r="L26" i="10"/>
  <c r="O26" i="10" s="1"/>
  <c r="V26" i="10"/>
  <c r="S26" i="10"/>
  <c r="W26" i="10" s="1"/>
  <c r="K27" i="10"/>
  <c r="H27" i="10"/>
  <c r="T27" i="10"/>
  <c r="X27" i="10"/>
  <c r="U27" i="10"/>
  <c r="Q27" i="10"/>
  <c r="P27" i="10"/>
  <c r="N27" i="10"/>
  <c r="M27" i="10"/>
  <c r="L27" i="10"/>
  <c r="O27" i="10" s="1"/>
  <c r="V27" i="10"/>
  <c r="S27" i="10"/>
  <c r="W27" i="10" s="1"/>
  <c r="K28" i="10"/>
  <c r="H28" i="10"/>
  <c r="T28" i="10"/>
  <c r="X28" i="10"/>
  <c r="U28" i="10"/>
  <c r="Q28" i="10"/>
  <c r="P28" i="10"/>
  <c r="N28" i="10"/>
  <c r="M28" i="10"/>
  <c r="L28" i="10"/>
  <c r="O28" i="10" s="1"/>
  <c r="V28" i="10"/>
  <c r="S28" i="10"/>
  <c r="W28" i="10" s="1"/>
  <c r="K29" i="10"/>
  <c r="H29" i="10"/>
  <c r="T29" i="10"/>
  <c r="X29" i="10"/>
  <c r="U29" i="10"/>
  <c r="Q29" i="10"/>
  <c r="P29" i="10"/>
  <c r="N29" i="10"/>
  <c r="M29" i="10"/>
  <c r="L29" i="10"/>
  <c r="O29" i="10" s="1"/>
  <c r="V29" i="10"/>
  <c r="S29" i="10"/>
  <c r="W29" i="10" s="1"/>
  <c r="K30" i="10"/>
  <c r="H30" i="10"/>
  <c r="T30" i="10"/>
  <c r="X30" i="10"/>
  <c r="U30" i="10"/>
  <c r="Q30" i="10"/>
  <c r="P30" i="10"/>
  <c r="N30" i="10"/>
  <c r="M30" i="10"/>
  <c r="L30" i="10"/>
  <c r="O30" i="10" s="1"/>
  <c r="V30" i="10"/>
  <c r="S30" i="10"/>
  <c r="W30" i="10" s="1"/>
  <c r="K31" i="10"/>
  <c r="H31" i="10"/>
  <c r="T31" i="10"/>
  <c r="X31" i="10"/>
  <c r="U31" i="10"/>
  <c r="Q31" i="10"/>
  <c r="P31" i="10"/>
  <c r="N31" i="10"/>
  <c r="M31" i="10"/>
  <c r="L31" i="10"/>
  <c r="O31" i="10" s="1"/>
  <c r="V31" i="10"/>
  <c r="S31" i="10"/>
  <c r="W31" i="10" s="1"/>
  <c r="K32" i="10"/>
  <c r="H32" i="10"/>
  <c r="T32" i="10"/>
  <c r="X32" i="10"/>
  <c r="U32" i="10"/>
  <c r="Q32" i="10"/>
  <c r="P32" i="10"/>
  <c r="N32" i="10"/>
  <c r="M32" i="10"/>
  <c r="L32" i="10"/>
  <c r="O32" i="10" s="1"/>
  <c r="V32" i="10"/>
  <c r="S32" i="10"/>
  <c r="W32" i="10" s="1"/>
  <c r="K33" i="10"/>
  <c r="H33" i="10"/>
  <c r="T33" i="10"/>
  <c r="X33" i="10"/>
  <c r="U33" i="10"/>
  <c r="Q33" i="10"/>
  <c r="P33" i="10"/>
  <c r="N33" i="10"/>
  <c r="M33" i="10"/>
  <c r="L33" i="10"/>
  <c r="O33" i="10" s="1"/>
  <c r="V33" i="10"/>
  <c r="S33" i="10"/>
  <c r="W33" i="10" s="1"/>
  <c r="K34" i="10"/>
  <c r="H34" i="10"/>
  <c r="T34" i="10"/>
  <c r="X34" i="10"/>
  <c r="U34" i="10"/>
  <c r="Q34" i="10"/>
  <c r="P34" i="10"/>
  <c r="N34" i="10"/>
  <c r="M34" i="10"/>
  <c r="L34" i="10"/>
  <c r="O34" i="10" s="1"/>
  <c r="V34" i="10"/>
  <c r="S34" i="10"/>
  <c r="W34" i="10" s="1"/>
  <c r="K35" i="10"/>
  <c r="H35" i="10"/>
  <c r="T35" i="10"/>
  <c r="X35" i="10"/>
  <c r="U35" i="10"/>
  <c r="Q35" i="10"/>
  <c r="P35" i="10"/>
  <c r="N35" i="10"/>
  <c r="M35" i="10"/>
  <c r="L35" i="10"/>
  <c r="O35" i="10" s="1"/>
  <c r="V35" i="10"/>
  <c r="S35" i="10"/>
  <c r="W35" i="10" s="1"/>
  <c r="K36" i="10"/>
  <c r="H36" i="10"/>
  <c r="T36" i="10"/>
  <c r="X36" i="10"/>
  <c r="U36" i="10"/>
  <c r="Q36" i="10"/>
  <c r="P36" i="10"/>
  <c r="N36" i="10"/>
  <c r="M36" i="10"/>
  <c r="L36" i="10"/>
  <c r="O36" i="10" s="1"/>
  <c r="V36" i="10"/>
  <c r="S36" i="10"/>
  <c r="W36" i="10" s="1"/>
  <c r="K37" i="10"/>
  <c r="H37" i="10"/>
  <c r="T37" i="10"/>
  <c r="X37" i="10"/>
  <c r="U37" i="10"/>
  <c r="Q37" i="10"/>
  <c r="P37" i="10"/>
  <c r="N37" i="10"/>
  <c r="M37" i="10"/>
  <c r="L37" i="10"/>
  <c r="O37" i="10" s="1"/>
  <c r="V37" i="10"/>
  <c r="S37" i="10"/>
  <c r="W37" i="10" s="1"/>
  <c r="K38" i="10"/>
  <c r="H38" i="10"/>
  <c r="T38" i="10"/>
  <c r="X38" i="10"/>
  <c r="U38" i="10"/>
  <c r="Q38" i="10"/>
  <c r="P38" i="10"/>
  <c r="N38" i="10"/>
  <c r="M38" i="10"/>
  <c r="L38" i="10"/>
  <c r="O38" i="10" s="1"/>
  <c r="V38" i="10"/>
  <c r="S38" i="10"/>
  <c r="W38" i="10" s="1"/>
  <c r="K39" i="10"/>
  <c r="H39" i="10"/>
  <c r="T39" i="10"/>
  <c r="X39" i="10"/>
  <c r="U39" i="10"/>
  <c r="Q39" i="10"/>
  <c r="P39" i="10"/>
  <c r="N39" i="10"/>
  <c r="M39" i="10"/>
  <c r="L39" i="10"/>
  <c r="O39" i="10" s="1"/>
  <c r="V39" i="10"/>
  <c r="S39" i="10"/>
  <c r="W39" i="10" s="1"/>
  <c r="K40" i="10"/>
  <c r="H40" i="10"/>
  <c r="T40" i="10"/>
  <c r="X40" i="10"/>
  <c r="U40" i="10"/>
  <c r="Q40" i="10"/>
  <c r="P40" i="10"/>
  <c r="N40" i="10"/>
  <c r="M40" i="10"/>
  <c r="L40" i="10"/>
  <c r="O40" i="10" s="1"/>
  <c r="V40" i="10"/>
  <c r="S40" i="10"/>
  <c r="W40" i="10" s="1"/>
  <c r="K41" i="10"/>
  <c r="H41" i="10"/>
  <c r="T41" i="10"/>
  <c r="X41" i="10"/>
  <c r="U41" i="10"/>
  <c r="Q41" i="10"/>
  <c r="P41" i="10"/>
  <c r="N41" i="10"/>
  <c r="M41" i="10"/>
  <c r="L41" i="10"/>
  <c r="O41" i="10" s="1"/>
  <c r="V41" i="10"/>
  <c r="S41" i="10"/>
  <c r="W41" i="10" s="1"/>
  <c r="K42" i="10"/>
  <c r="H42" i="10"/>
  <c r="T42" i="10"/>
  <c r="X42" i="10"/>
  <c r="U42" i="10"/>
  <c r="Q42" i="10"/>
  <c r="P42" i="10"/>
  <c r="N42" i="10"/>
  <c r="M42" i="10"/>
  <c r="L42" i="10"/>
  <c r="O42" i="10" s="1"/>
  <c r="V42" i="10"/>
  <c r="S42" i="10"/>
  <c r="W42" i="10" s="1"/>
  <c r="K43" i="10"/>
  <c r="H43" i="10"/>
  <c r="T43" i="10"/>
  <c r="X43" i="10"/>
  <c r="U43" i="10"/>
  <c r="Q43" i="10"/>
  <c r="P43" i="10"/>
  <c r="N43" i="10"/>
  <c r="M43" i="10"/>
  <c r="L43" i="10"/>
  <c r="O43" i="10" s="1"/>
  <c r="V43" i="10"/>
  <c r="S43" i="10"/>
  <c r="W43" i="10" s="1"/>
  <c r="K44" i="10"/>
  <c r="H44" i="10"/>
  <c r="T44" i="10"/>
  <c r="X44" i="10"/>
  <c r="U44" i="10"/>
  <c r="Q44" i="10"/>
  <c r="P44" i="10"/>
  <c r="N44" i="10"/>
  <c r="M44" i="10"/>
  <c r="L44" i="10"/>
  <c r="O44" i="10" s="1"/>
  <c r="V44" i="10"/>
  <c r="S44" i="10"/>
  <c r="W44" i="10" s="1"/>
  <c r="K45" i="10"/>
  <c r="H45" i="10"/>
  <c r="T45" i="10"/>
  <c r="X45" i="10"/>
  <c r="U45" i="10"/>
  <c r="Q45" i="10"/>
  <c r="P45" i="10"/>
  <c r="N45" i="10"/>
  <c r="M45" i="10"/>
  <c r="L45" i="10"/>
  <c r="O45" i="10" s="1"/>
  <c r="V45" i="10"/>
  <c r="S45" i="10"/>
  <c r="W45" i="10" s="1"/>
  <c r="K46" i="10"/>
  <c r="H46" i="10"/>
  <c r="T46" i="10"/>
  <c r="X46" i="10"/>
  <c r="U46" i="10"/>
  <c r="Q46" i="10"/>
  <c r="P46" i="10"/>
  <c r="N46" i="10"/>
  <c r="M46" i="10"/>
  <c r="L46" i="10"/>
  <c r="O46" i="10" s="1"/>
  <c r="V46" i="10"/>
  <c r="S46" i="10"/>
  <c r="W46" i="10" s="1"/>
  <c r="K47" i="10"/>
  <c r="H47" i="10"/>
  <c r="T47" i="10"/>
  <c r="X47" i="10"/>
  <c r="U47" i="10"/>
  <c r="Q47" i="10"/>
  <c r="P47" i="10"/>
  <c r="N47" i="10"/>
  <c r="M47" i="10"/>
  <c r="L47" i="10"/>
  <c r="O47" i="10" s="1"/>
  <c r="V47" i="10"/>
  <c r="S47" i="10"/>
  <c r="W47" i="10" s="1"/>
  <c r="K48" i="10"/>
  <c r="H48" i="10"/>
  <c r="T48" i="10"/>
  <c r="X48" i="10"/>
  <c r="U48" i="10"/>
  <c r="Q48" i="10"/>
  <c r="P48" i="10"/>
  <c r="N48" i="10"/>
  <c r="M48" i="10"/>
  <c r="L48" i="10"/>
  <c r="O48" i="10" s="1"/>
  <c r="V48" i="10"/>
  <c r="S48" i="10"/>
  <c r="W48" i="10" s="1"/>
  <c r="K49" i="10"/>
  <c r="H49" i="10"/>
  <c r="T49" i="10"/>
  <c r="X49" i="10"/>
  <c r="U49" i="10"/>
  <c r="Q49" i="10"/>
  <c r="P49" i="10"/>
  <c r="N49" i="10"/>
  <c r="M49" i="10"/>
  <c r="L49" i="10"/>
  <c r="O49" i="10" s="1"/>
  <c r="V49" i="10"/>
  <c r="S49" i="10"/>
  <c r="W49" i="10" s="1"/>
  <c r="K50" i="10"/>
  <c r="H50" i="10"/>
  <c r="T50" i="10"/>
  <c r="X50" i="10"/>
  <c r="U50" i="10"/>
  <c r="Q50" i="10"/>
  <c r="P50" i="10"/>
  <c r="N50" i="10"/>
  <c r="M50" i="10"/>
  <c r="L50" i="10"/>
  <c r="O50" i="10" s="1"/>
  <c r="V50" i="10"/>
  <c r="S50" i="10"/>
  <c r="W50" i="10" s="1"/>
  <c r="K51" i="10"/>
  <c r="H51" i="10"/>
  <c r="T51" i="10"/>
  <c r="X51" i="10"/>
  <c r="U51" i="10"/>
  <c r="Q51" i="10"/>
  <c r="P51" i="10"/>
  <c r="N51" i="10"/>
  <c r="M51" i="10"/>
  <c r="L51" i="10"/>
  <c r="O51" i="10" s="1"/>
  <c r="V51" i="10"/>
  <c r="S51" i="10"/>
  <c r="W51" i="10" s="1"/>
  <c r="K52" i="10"/>
  <c r="H52" i="10"/>
  <c r="T52" i="10"/>
  <c r="X52" i="10"/>
  <c r="U52" i="10"/>
  <c r="Q52" i="10"/>
  <c r="P52" i="10"/>
  <c r="N52" i="10"/>
  <c r="M52" i="10"/>
  <c r="L52" i="10"/>
  <c r="O52" i="10" s="1"/>
  <c r="V52" i="10"/>
  <c r="S52" i="10"/>
  <c r="W52" i="10" s="1"/>
  <c r="K53" i="10"/>
  <c r="H53" i="10"/>
  <c r="T53" i="10"/>
  <c r="X53" i="10"/>
  <c r="U53" i="10"/>
  <c r="Q53" i="10"/>
  <c r="P53" i="10"/>
  <c r="N53" i="10"/>
  <c r="M53" i="10"/>
  <c r="L53" i="10"/>
  <c r="O53" i="10" s="1"/>
  <c r="V53" i="10"/>
  <c r="S53" i="10"/>
  <c r="W53" i="10" s="1"/>
  <c r="K54" i="10"/>
  <c r="H54" i="10"/>
  <c r="T54" i="10"/>
  <c r="X54" i="10"/>
  <c r="U54" i="10"/>
  <c r="Q54" i="10"/>
  <c r="P54" i="10"/>
  <c r="N54" i="10"/>
  <c r="M54" i="10"/>
  <c r="L54" i="10"/>
  <c r="O54" i="10" s="1"/>
  <c r="V54" i="10"/>
  <c r="S54" i="10"/>
  <c r="W54" i="10" s="1"/>
  <c r="K55" i="10"/>
  <c r="H55" i="10"/>
  <c r="T55" i="10"/>
  <c r="X55" i="10"/>
  <c r="U55" i="10"/>
  <c r="Q55" i="10"/>
  <c r="P55" i="10"/>
  <c r="N55" i="10"/>
  <c r="M55" i="10"/>
  <c r="L55" i="10"/>
  <c r="O55" i="10" s="1"/>
  <c r="V55" i="10"/>
  <c r="S55" i="10"/>
  <c r="W55" i="10" s="1"/>
  <c r="K56" i="10"/>
  <c r="H56" i="10"/>
  <c r="T56" i="10"/>
  <c r="X56" i="10"/>
  <c r="U56" i="10"/>
  <c r="Q56" i="10"/>
  <c r="P56" i="10"/>
  <c r="N56" i="10"/>
  <c r="M56" i="10"/>
  <c r="L56" i="10"/>
  <c r="O56" i="10" s="1"/>
  <c r="V56" i="10"/>
  <c r="S56" i="10"/>
  <c r="W56" i="10" s="1"/>
  <c r="K57" i="10"/>
  <c r="H57" i="10"/>
  <c r="T57" i="10"/>
  <c r="X57" i="10"/>
  <c r="U57" i="10"/>
  <c r="Q57" i="10"/>
  <c r="P57" i="10"/>
  <c r="N57" i="10"/>
  <c r="M57" i="10"/>
  <c r="L57" i="10"/>
  <c r="O57" i="10" s="1"/>
  <c r="V57" i="10"/>
  <c r="S57" i="10"/>
  <c r="W57" i="10" s="1"/>
  <c r="K58" i="10"/>
  <c r="H58" i="10"/>
  <c r="T58" i="10"/>
  <c r="X58" i="10"/>
  <c r="U58" i="10"/>
  <c r="Q58" i="10"/>
  <c r="P58" i="10"/>
  <c r="N58" i="10"/>
  <c r="M58" i="10"/>
  <c r="L58" i="10"/>
  <c r="O58" i="10" s="1"/>
  <c r="V58" i="10"/>
  <c r="S58" i="10"/>
  <c r="W58" i="10" s="1"/>
  <c r="K59" i="10"/>
  <c r="H59" i="10"/>
  <c r="T59" i="10"/>
  <c r="X59" i="10"/>
  <c r="U59" i="10"/>
  <c r="Q59" i="10"/>
  <c r="P59" i="10"/>
  <c r="N59" i="10"/>
  <c r="M59" i="10"/>
  <c r="L59" i="10"/>
  <c r="O59" i="10" s="1"/>
  <c r="V59" i="10"/>
  <c r="S59" i="10"/>
  <c r="W59" i="10" s="1"/>
  <c r="K60" i="10"/>
  <c r="H60" i="10"/>
  <c r="T60" i="10"/>
  <c r="X60" i="10"/>
  <c r="U60" i="10"/>
  <c r="Q60" i="10"/>
  <c r="P60" i="10"/>
  <c r="N60" i="10"/>
  <c r="M60" i="10"/>
  <c r="L60" i="10"/>
  <c r="O60" i="10" s="1"/>
  <c r="V60" i="10"/>
  <c r="S60" i="10"/>
  <c r="W60" i="10" s="1"/>
  <c r="K61" i="10"/>
  <c r="H61" i="10"/>
  <c r="T61" i="10"/>
  <c r="X61" i="10"/>
  <c r="U61" i="10"/>
  <c r="Q61" i="10"/>
  <c r="P61" i="10"/>
  <c r="N61" i="10"/>
  <c r="M61" i="10"/>
  <c r="L61" i="10"/>
  <c r="O61" i="10" s="1"/>
  <c r="V61" i="10"/>
  <c r="S61" i="10"/>
  <c r="W61" i="10" s="1"/>
  <c r="K62" i="10"/>
  <c r="H62" i="10"/>
  <c r="T62" i="10"/>
  <c r="X62" i="10"/>
  <c r="U62" i="10"/>
  <c r="Q62" i="10"/>
  <c r="P62" i="10"/>
  <c r="N62" i="10"/>
  <c r="M62" i="10"/>
  <c r="L62" i="10"/>
  <c r="O62" i="10" s="1"/>
  <c r="V62" i="10"/>
  <c r="S62" i="10"/>
  <c r="W62" i="10" s="1"/>
  <c r="K63" i="10"/>
  <c r="H63" i="10"/>
  <c r="T63" i="10"/>
  <c r="X63" i="10"/>
  <c r="U63" i="10"/>
  <c r="Q63" i="10"/>
  <c r="P63" i="10"/>
  <c r="N63" i="10"/>
  <c r="M63" i="10"/>
  <c r="L63" i="10"/>
  <c r="O63" i="10" s="1"/>
  <c r="V63" i="10"/>
  <c r="S63" i="10"/>
  <c r="W63" i="10" s="1"/>
  <c r="K64" i="10"/>
  <c r="H64" i="10"/>
  <c r="T64" i="10"/>
  <c r="X64" i="10"/>
  <c r="U64" i="10"/>
  <c r="Q64" i="10"/>
  <c r="P64" i="10"/>
  <c r="N64" i="10"/>
  <c r="M64" i="10"/>
  <c r="L64" i="10"/>
  <c r="O64" i="10" s="1"/>
  <c r="V64" i="10"/>
  <c r="S64" i="10"/>
  <c r="W64" i="10" s="1"/>
  <c r="K65" i="10"/>
  <c r="H65" i="10"/>
  <c r="T65" i="10"/>
  <c r="X65" i="10"/>
  <c r="U65" i="10"/>
  <c r="Q65" i="10"/>
  <c r="P65" i="10"/>
  <c r="N65" i="10"/>
  <c r="M65" i="10"/>
  <c r="L65" i="10"/>
  <c r="O65" i="10" s="1"/>
  <c r="V65" i="10"/>
  <c r="S65" i="10"/>
  <c r="W65" i="10" s="1"/>
  <c r="K66" i="10"/>
  <c r="H66" i="10"/>
  <c r="T66" i="10"/>
  <c r="X66" i="10"/>
  <c r="U66" i="10"/>
  <c r="Q66" i="10"/>
  <c r="P66" i="10"/>
  <c r="N66" i="10"/>
  <c r="M66" i="10"/>
  <c r="L66" i="10"/>
  <c r="O66" i="10" s="1"/>
  <c r="V66" i="10"/>
  <c r="S66" i="10"/>
  <c r="W66" i="10" s="1"/>
  <c r="K67" i="10"/>
  <c r="H67" i="10"/>
  <c r="T67" i="10"/>
  <c r="X67" i="10"/>
  <c r="U67" i="10"/>
  <c r="Q67" i="10"/>
  <c r="P67" i="10"/>
  <c r="N67" i="10"/>
  <c r="M67" i="10"/>
  <c r="L67" i="10"/>
  <c r="O67" i="10" s="1"/>
  <c r="V67" i="10"/>
  <c r="S67" i="10"/>
  <c r="W67" i="10" s="1"/>
  <c r="K68" i="10"/>
  <c r="H68" i="10"/>
  <c r="T68" i="10"/>
  <c r="X68" i="10"/>
  <c r="U68" i="10"/>
  <c r="Q68" i="10"/>
  <c r="P68" i="10"/>
  <c r="N68" i="10"/>
  <c r="M68" i="10"/>
  <c r="L68" i="10"/>
  <c r="O68" i="10" s="1"/>
  <c r="V68" i="10"/>
  <c r="S68" i="10"/>
  <c r="W68" i="10" s="1"/>
  <c r="K69" i="10"/>
  <c r="H69" i="10"/>
  <c r="T69" i="10"/>
  <c r="X69" i="10"/>
  <c r="U69" i="10"/>
  <c r="Q69" i="10"/>
  <c r="P69" i="10"/>
  <c r="N69" i="10"/>
  <c r="M69" i="10"/>
  <c r="L69" i="10"/>
  <c r="O69" i="10" s="1"/>
  <c r="V69" i="10"/>
  <c r="S69" i="10"/>
  <c r="W69" i="10" s="1"/>
  <c r="K70" i="10"/>
  <c r="H70" i="10"/>
  <c r="T70" i="10"/>
  <c r="X70" i="10"/>
  <c r="U70" i="10"/>
  <c r="Q70" i="10"/>
  <c r="P70" i="10"/>
  <c r="N70" i="10"/>
  <c r="M70" i="10"/>
  <c r="L70" i="10"/>
  <c r="O70" i="10" s="1"/>
  <c r="V70" i="10"/>
  <c r="S70" i="10"/>
  <c r="W70" i="10" s="1"/>
  <c r="K71" i="10"/>
  <c r="H71" i="10"/>
  <c r="T71" i="10"/>
  <c r="X71" i="10"/>
  <c r="U71" i="10"/>
  <c r="Q71" i="10"/>
  <c r="P71" i="10"/>
  <c r="N71" i="10"/>
  <c r="M71" i="10"/>
  <c r="L71" i="10"/>
  <c r="O71" i="10" s="1"/>
  <c r="V71" i="10"/>
  <c r="S71" i="10"/>
  <c r="W71" i="10" s="1"/>
  <c r="K72" i="10"/>
  <c r="H72" i="10"/>
  <c r="T72" i="10"/>
  <c r="X72" i="10"/>
  <c r="U72" i="10"/>
  <c r="Q72" i="10"/>
  <c r="P72" i="10"/>
  <c r="N72" i="10"/>
  <c r="M72" i="10"/>
  <c r="L72" i="10"/>
  <c r="O72" i="10" s="1"/>
  <c r="V72" i="10"/>
  <c r="S72" i="10"/>
  <c r="W72" i="10" s="1"/>
  <c r="K73" i="10"/>
  <c r="H73" i="10"/>
  <c r="T73" i="10"/>
  <c r="X73" i="10"/>
  <c r="U73" i="10"/>
  <c r="Q73" i="10"/>
  <c r="P73" i="10"/>
  <c r="N73" i="10"/>
  <c r="M73" i="10"/>
  <c r="L73" i="10"/>
  <c r="O73" i="10" s="1"/>
  <c r="V73" i="10"/>
  <c r="S73" i="10"/>
  <c r="W73" i="10" s="1"/>
  <c r="K74" i="10"/>
  <c r="H74" i="10"/>
  <c r="T74" i="10"/>
  <c r="X74" i="10"/>
  <c r="U74" i="10"/>
  <c r="Q74" i="10"/>
  <c r="P74" i="10"/>
  <c r="N74" i="10"/>
  <c r="M74" i="10"/>
  <c r="L74" i="10"/>
  <c r="O74" i="10" s="1"/>
  <c r="V74" i="10"/>
  <c r="S74" i="10"/>
  <c r="W74" i="10" s="1"/>
  <c r="K75" i="10"/>
  <c r="H75" i="10"/>
  <c r="T75" i="10"/>
  <c r="X75" i="10"/>
  <c r="U75" i="10"/>
  <c r="Q75" i="10"/>
  <c r="P75" i="10"/>
  <c r="N75" i="10"/>
  <c r="M75" i="10"/>
  <c r="L75" i="10"/>
  <c r="O75" i="10" s="1"/>
  <c r="V75" i="10"/>
  <c r="S75" i="10"/>
  <c r="W75" i="10" s="1"/>
  <c r="K76" i="10"/>
  <c r="H76" i="10"/>
  <c r="T76" i="10"/>
  <c r="X76" i="10"/>
  <c r="U76" i="10"/>
  <c r="Q76" i="10"/>
  <c r="P76" i="10"/>
  <c r="N76" i="10"/>
  <c r="M76" i="10"/>
  <c r="L76" i="10"/>
  <c r="O76" i="10" s="1"/>
  <c r="V76" i="10"/>
  <c r="S76" i="10"/>
  <c r="W76" i="10" s="1"/>
  <c r="K77" i="10"/>
  <c r="H77" i="10"/>
  <c r="T77" i="10"/>
  <c r="X77" i="10"/>
  <c r="U77" i="10"/>
  <c r="Q77" i="10"/>
  <c r="P77" i="10"/>
  <c r="N77" i="10"/>
  <c r="M77" i="10"/>
  <c r="L77" i="10"/>
  <c r="O77" i="10" s="1"/>
  <c r="V77" i="10"/>
  <c r="S77" i="10"/>
  <c r="W77" i="10" s="1"/>
  <c r="K78" i="10"/>
  <c r="H78" i="10"/>
  <c r="T78" i="10"/>
  <c r="X78" i="10"/>
  <c r="U78" i="10"/>
  <c r="Q78" i="10"/>
  <c r="P78" i="10"/>
  <c r="N78" i="10"/>
  <c r="M78" i="10"/>
  <c r="L78" i="10"/>
  <c r="O78" i="10" s="1"/>
  <c r="V78" i="10"/>
  <c r="S78" i="10"/>
  <c r="W78" i="10" s="1"/>
  <c r="K79" i="10"/>
  <c r="H79" i="10"/>
  <c r="T79" i="10"/>
  <c r="X79" i="10"/>
  <c r="U79" i="10"/>
  <c r="Q79" i="10"/>
  <c r="P79" i="10"/>
  <c r="N79" i="10"/>
  <c r="M79" i="10"/>
  <c r="L79" i="10"/>
  <c r="O79" i="10" s="1"/>
  <c r="V79" i="10"/>
  <c r="S79" i="10"/>
  <c r="W79" i="10" s="1"/>
  <c r="K80" i="10"/>
  <c r="H80" i="10"/>
  <c r="T80" i="10"/>
  <c r="X80" i="10"/>
  <c r="U80" i="10"/>
  <c r="Q80" i="10"/>
  <c r="P80" i="10"/>
  <c r="N80" i="10"/>
  <c r="M80" i="10"/>
  <c r="L80" i="10"/>
  <c r="O80" i="10" s="1"/>
  <c r="V80" i="10"/>
  <c r="S80" i="10"/>
  <c r="W80" i="10" s="1"/>
  <c r="K81" i="10"/>
  <c r="H81" i="10"/>
  <c r="T81" i="10"/>
  <c r="X81" i="10"/>
  <c r="U81" i="10"/>
  <c r="Q81" i="10"/>
  <c r="P81" i="10"/>
  <c r="N81" i="10"/>
  <c r="M81" i="10"/>
  <c r="L81" i="10"/>
  <c r="O81" i="10" s="1"/>
  <c r="V81" i="10"/>
  <c r="S81" i="10"/>
  <c r="W81" i="10" s="1"/>
  <c r="K82" i="10"/>
  <c r="H82" i="10"/>
  <c r="T82" i="10"/>
  <c r="X82" i="10"/>
  <c r="U82" i="10"/>
  <c r="Q82" i="10"/>
  <c r="P82" i="10"/>
  <c r="N82" i="10"/>
  <c r="M82" i="10"/>
  <c r="L82" i="10"/>
  <c r="O82" i="10" s="1"/>
  <c r="V82" i="10"/>
  <c r="S82" i="10"/>
  <c r="W82" i="10" s="1"/>
  <c r="K83" i="10"/>
  <c r="H83" i="10"/>
  <c r="T83" i="10"/>
  <c r="X83" i="10"/>
  <c r="U83" i="10"/>
  <c r="Q83" i="10"/>
  <c r="P83" i="10"/>
  <c r="N83" i="10"/>
  <c r="M83" i="10"/>
  <c r="L83" i="10"/>
  <c r="O83" i="10" s="1"/>
  <c r="V83" i="10"/>
  <c r="S83" i="10"/>
  <c r="W83" i="10" s="1"/>
  <c r="K84" i="10"/>
  <c r="H84" i="10"/>
  <c r="T84" i="10"/>
  <c r="X84" i="10"/>
  <c r="U84" i="10"/>
  <c r="Q84" i="10"/>
  <c r="P84" i="10"/>
  <c r="N84" i="10"/>
  <c r="M84" i="10"/>
  <c r="L84" i="10"/>
  <c r="O84" i="10" s="1"/>
  <c r="V84" i="10"/>
  <c r="S84" i="10"/>
  <c r="W84" i="10" s="1"/>
  <c r="K85" i="10"/>
  <c r="H85" i="10"/>
  <c r="T85" i="10"/>
  <c r="X85" i="10"/>
  <c r="U85" i="10"/>
  <c r="Q85" i="10"/>
  <c r="P85" i="10"/>
  <c r="N85" i="10"/>
  <c r="M85" i="10"/>
  <c r="L85" i="10"/>
  <c r="O85" i="10" s="1"/>
  <c r="V85" i="10"/>
  <c r="S85" i="10"/>
  <c r="W85" i="10" s="1"/>
  <c r="K86" i="10"/>
  <c r="H86" i="10"/>
  <c r="T86" i="10"/>
  <c r="X86" i="10"/>
  <c r="U86" i="10"/>
  <c r="Q86" i="10"/>
  <c r="P86" i="10"/>
  <c r="N86" i="10"/>
  <c r="M86" i="10"/>
  <c r="L86" i="10"/>
  <c r="O86" i="10" s="1"/>
  <c r="V86" i="10"/>
  <c r="S86" i="10"/>
  <c r="W86" i="10" s="1"/>
  <c r="K87" i="10"/>
  <c r="H87" i="10"/>
  <c r="T87" i="10"/>
  <c r="X87" i="10"/>
  <c r="U87" i="10"/>
  <c r="Q87" i="10"/>
  <c r="P87" i="10"/>
  <c r="N87" i="10"/>
  <c r="M87" i="10"/>
  <c r="L87" i="10"/>
  <c r="O87" i="10" s="1"/>
  <c r="V87" i="10"/>
  <c r="S87" i="10"/>
  <c r="W87" i="10" s="1"/>
  <c r="K88" i="10"/>
  <c r="H88" i="10"/>
  <c r="T88" i="10"/>
  <c r="X88" i="10"/>
  <c r="U88" i="10"/>
  <c r="Q88" i="10"/>
  <c r="P88" i="10"/>
  <c r="N88" i="10"/>
  <c r="M88" i="10"/>
  <c r="L88" i="10"/>
  <c r="O88" i="10" s="1"/>
  <c r="V88" i="10"/>
  <c r="S88" i="10"/>
  <c r="W88" i="10" s="1"/>
  <c r="K89" i="10"/>
  <c r="H89" i="10"/>
  <c r="T89" i="10"/>
  <c r="X89" i="10"/>
  <c r="U89" i="10"/>
  <c r="Q89" i="10"/>
  <c r="P89" i="10"/>
  <c r="N89" i="10"/>
  <c r="M89" i="10"/>
  <c r="L89" i="10"/>
  <c r="O89" i="10" s="1"/>
  <c r="V89" i="10"/>
  <c r="S89" i="10"/>
  <c r="W89" i="10" s="1"/>
  <c r="K90" i="10"/>
  <c r="H90" i="10"/>
  <c r="T90" i="10"/>
  <c r="X90" i="10"/>
  <c r="U90" i="10"/>
  <c r="Q90" i="10"/>
  <c r="P90" i="10"/>
  <c r="N90" i="10"/>
  <c r="M90" i="10"/>
  <c r="L90" i="10"/>
  <c r="O90" i="10" s="1"/>
  <c r="V90" i="10"/>
  <c r="S90" i="10"/>
  <c r="W90" i="10" s="1"/>
  <c r="K91" i="10"/>
  <c r="H91" i="10"/>
  <c r="T91" i="10"/>
  <c r="X91" i="10"/>
  <c r="U91" i="10"/>
  <c r="Q91" i="10"/>
  <c r="P91" i="10"/>
  <c r="N91" i="10"/>
  <c r="M91" i="10"/>
  <c r="L91" i="10"/>
  <c r="O91" i="10" s="1"/>
  <c r="V91" i="10"/>
  <c r="S91" i="10"/>
  <c r="W91" i="10" s="1"/>
  <c r="K92" i="10"/>
  <c r="H92" i="10"/>
  <c r="T92" i="10"/>
  <c r="X92" i="10"/>
  <c r="U92" i="10"/>
  <c r="Q92" i="10"/>
  <c r="P92" i="10"/>
  <c r="N92" i="10"/>
  <c r="M92" i="10"/>
  <c r="L92" i="10"/>
  <c r="O92" i="10" s="1"/>
  <c r="V92" i="10"/>
  <c r="S92" i="10"/>
  <c r="W92" i="10" s="1"/>
  <c r="K93" i="10"/>
  <c r="H93" i="10"/>
  <c r="T93" i="10"/>
  <c r="X93" i="10"/>
  <c r="U93" i="10"/>
  <c r="Q93" i="10"/>
  <c r="P93" i="10"/>
  <c r="N93" i="10"/>
  <c r="M93" i="10"/>
  <c r="L93" i="10"/>
  <c r="O93" i="10" s="1"/>
  <c r="V93" i="10"/>
  <c r="S93" i="10"/>
  <c r="W93" i="10" s="1"/>
  <c r="K94" i="10"/>
  <c r="H94" i="10"/>
  <c r="T94" i="10"/>
  <c r="X94" i="10"/>
  <c r="U94" i="10"/>
  <c r="Q94" i="10"/>
  <c r="P94" i="10"/>
  <c r="N94" i="10"/>
  <c r="M94" i="10"/>
  <c r="L94" i="10"/>
  <c r="O94" i="10" s="1"/>
  <c r="V94" i="10"/>
  <c r="S94" i="10"/>
  <c r="W94" i="10" s="1"/>
  <c r="K95" i="10"/>
  <c r="H95" i="10"/>
  <c r="T95" i="10"/>
  <c r="X95" i="10"/>
  <c r="U95" i="10"/>
  <c r="Q95" i="10"/>
  <c r="P95" i="10"/>
  <c r="N95" i="10"/>
  <c r="M95" i="10"/>
  <c r="L95" i="10"/>
  <c r="O95" i="10" s="1"/>
  <c r="V95" i="10"/>
  <c r="S95" i="10"/>
  <c r="W95" i="10" s="1"/>
  <c r="K96" i="10"/>
  <c r="H96" i="10"/>
  <c r="T96" i="10"/>
  <c r="X96" i="10"/>
  <c r="U96" i="10"/>
  <c r="Q96" i="10"/>
  <c r="P96" i="10"/>
  <c r="N96" i="10"/>
  <c r="M96" i="10"/>
  <c r="L96" i="10"/>
  <c r="O96" i="10" s="1"/>
  <c r="V96" i="10"/>
  <c r="S96" i="10"/>
  <c r="W96" i="10" s="1"/>
  <c r="K97" i="10"/>
  <c r="H97" i="10"/>
  <c r="T97" i="10"/>
  <c r="X97" i="10"/>
  <c r="U97" i="10"/>
  <c r="Q97" i="10"/>
  <c r="P97" i="10"/>
  <c r="N97" i="10"/>
  <c r="M97" i="10"/>
  <c r="L97" i="10"/>
  <c r="O97" i="10" s="1"/>
  <c r="V97" i="10"/>
  <c r="S97" i="10"/>
  <c r="W97" i="10" s="1"/>
  <c r="K98" i="10"/>
  <c r="H98" i="10"/>
  <c r="T98" i="10"/>
  <c r="X98" i="10"/>
  <c r="U98" i="10"/>
  <c r="Q98" i="10"/>
  <c r="P98" i="10"/>
  <c r="N98" i="10"/>
  <c r="M98" i="10"/>
  <c r="L98" i="10"/>
  <c r="O98" i="10" s="1"/>
  <c r="V98" i="10"/>
  <c r="S98" i="10"/>
  <c r="W98" i="10" s="1"/>
  <c r="K99" i="10"/>
  <c r="H99" i="10"/>
  <c r="T99" i="10"/>
  <c r="X99" i="10"/>
  <c r="U99" i="10"/>
  <c r="Q99" i="10"/>
  <c r="P99" i="10"/>
  <c r="N99" i="10"/>
  <c r="M99" i="10"/>
  <c r="L99" i="10"/>
  <c r="O99" i="10" s="1"/>
  <c r="V99" i="10"/>
  <c r="S99" i="10"/>
  <c r="W99" i="10" s="1"/>
  <c r="K100" i="10"/>
  <c r="H100" i="10"/>
  <c r="T100" i="10"/>
  <c r="X100" i="10"/>
  <c r="U100" i="10"/>
  <c r="Q100" i="10"/>
  <c r="P100" i="10"/>
  <c r="N100" i="10"/>
  <c r="M100" i="10"/>
  <c r="L100" i="10"/>
  <c r="O100" i="10" s="1"/>
  <c r="V100" i="10"/>
  <c r="S100" i="10"/>
  <c r="W100" i="10" s="1"/>
  <c r="K101" i="10"/>
  <c r="H101" i="10"/>
  <c r="T101" i="10"/>
  <c r="X101" i="10"/>
  <c r="U101" i="10"/>
  <c r="Q101" i="10"/>
  <c r="P101" i="10"/>
  <c r="N101" i="10"/>
  <c r="M101" i="10"/>
  <c r="L101" i="10"/>
  <c r="O101" i="10" s="1"/>
  <c r="V101" i="10"/>
  <c r="S101" i="10"/>
  <c r="W101" i="10" s="1"/>
  <c r="K102" i="10"/>
  <c r="H102" i="10"/>
  <c r="T102" i="10"/>
  <c r="X102" i="10"/>
  <c r="U102" i="10"/>
  <c r="Q102" i="10"/>
  <c r="P102" i="10"/>
  <c r="N102" i="10"/>
  <c r="M102" i="10"/>
  <c r="L102" i="10"/>
  <c r="O102" i="10" s="1"/>
  <c r="V102" i="10"/>
  <c r="S102" i="10"/>
  <c r="W102" i="10" s="1"/>
  <c r="K103" i="10"/>
  <c r="H103" i="10"/>
  <c r="T103" i="10"/>
  <c r="X103" i="10"/>
  <c r="U103" i="10"/>
  <c r="Q103" i="10"/>
  <c r="P103" i="10"/>
  <c r="N103" i="10"/>
  <c r="M103" i="10"/>
  <c r="L103" i="10"/>
  <c r="O103" i="10" s="1"/>
  <c r="V103" i="10"/>
  <c r="S103" i="10"/>
  <c r="W103" i="10" s="1"/>
  <c r="K104" i="10"/>
  <c r="H104" i="10"/>
  <c r="T104" i="10"/>
  <c r="X104" i="10"/>
  <c r="U104" i="10"/>
  <c r="Q104" i="10"/>
  <c r="P104" i="10"/>
  <c r="N104" i="10"/>
  <c r="M104" i="10"/>
  <c r="L104" i="10"/>
  <c r="O104" i="10" s="1"/>
  <c r="V104" i="10"/>
  <c r="S104" i="10"/>
  <c r="W104" i="10" s="1"/>
  <c r="K105" i="10"/>
  <c r="H105" i="10"/>
  <c r="T105" i="10"/>
  <c r="X105" i="10"/>
  <c r="U105" i="10"/>
  <c r="Q105" i="10"/>
  <c r="P105" i="10"/>
  <c r="N105" i="10"/>
  <c r="M105" i="10"/>
  <c r="L105" i="10"/>
  <c r="O105" i="10" s="1"/>
  <c r="V105" i="10"/>
  <c r="S105" i="10"/>
  <c r="W105" i="10" s="1"/>
  <c r="K106" i="10"/>
  <c r="H106" i="10"/>
  <c r="T106" i="10"/>
  <c r="X106" i="10"/>
  <c r="U106" i="10"/>
  <c r="Q106" i="10"/>
  <c r="P106" i="10"/>
  <c r="N106" i="10"/>
  <c r="M106" i="10"/>
  <c r="L106" i="10"/>
  <c r="O106" i="10" s="1"/>
  <c r="V106" i="10"/>
  <c r="S106" i="10"/>
  <c r="W106" i="10" s="1"/>
  <c r="K107" i="10"/>
  <c r="H107" i="10"/>
  <c r="T107" i="10"/>
  <c r="X107" i="10"/>
  <c r="U107" i="10"/>
  <c r="Q107" i="10"/>
  <c r="P107" i="10"/>
  <c r="N107" i="10"/>
  <c r="M107" i="10"/>
  <c r="L107" i="10"/>
  <c r="O107" i="10" s="1"/>
  <c r="V107" i="10"/>
  <c r="S107" i="10"/>
  <c r="W107" i="10" s="1"/>
  <c r="K108" i="10"/>
  <c r="H108" i="10"/>
  <c r="T108" i="10"/>
  <c r="X108" i="10"/>
  <c r="U108" i="10"/>
  <c r="Q108" i="10"/>
  <c r="P108" i="10"/>
  <c r="N108" i="10"/>
  <c r="M108" i="10"/>
  <c r="L108" i="10"/>
  <c r="O108" i="10" s="1"/>
  <c r="V108" i="10"/>
  <c r="S108" i="10"/>
  <c r="W108" i="10" s="1"/>
  <c r="K109" i="10"/>
  <c r="H109" i="10"/>
  <c r="T109" i="10"/>
  <c r="X109" i="10"/>
  <c r="U109" i="10"/>
  <c r="Q109" i="10"/>
  <c r="P109" i="10"/>
  <c r="N109" i="10"/>
  <c r="M109" i="10"/>
  <c r="L109" i="10"/>
  <c r="O109" i="10" s="1"/>
  <c r="V109" i="10"/>
  <c r="S109" i="10"/>
  <c r="W109" i="10" s="1"/>
  <c r="K110" i="10"/>
  <c r="H110" i="10"/>
  <c r="T110" i="10"/>
  <c r="X110" i="10"/>
  <c r="U110" i="10"/>
  <c r="Q110" i="10"/>
  <c r="P110" i="10"/>
  <c r="N110" i="10"/>
  <c r="M110" i="10"/>
  <c r="L110" i="10"/>
  <c r="O110" i="10" s="1"/>
  <c r="V110" i="10"/>
  <c r="S110" i="10"/>
  <c r="W110" i="10" s="1"/>
  <c r="K111" i="10"/>
  <c r="H111" i="10"/>
  <c r="T111" i="10"/>
  <c r="X111" i="10"/>
  <c r="U111" i="10"/>
  <c r="Q111" i="10"/>
  <c r="P111" i="10"/>
  <c r="N111" i="10"/>
  <c r="M111" i="10"/>
  <c r="L111" i="10"/>
  <c r="O111" i="10" s="1"/>
  <c r="V111" i="10"/>
  <c r="S111" i="10"/>
  <c r="W111" i="10" s="1"/>
  <c r="K112" i="10"/>
  <c r="H112" i="10"/>
  <c r="T112" i="10"/>
  <c r="X112" i="10"/>
  <c r="U112" i="10"/>
  <c r="Q112" i="10"/>
  <c r="P112" i="10"/>
  <c r="N112" i="10"/>
  <c r="M112" i="10"/>
  <c r="L112" i="10"/>
  <c r="O112" i="10" s="1"/>
  <c r="V112" i="10"/>
  <c r="S112" i="10"/>
  <c r="W112" i="10" s="1"/>
  <c r="K113" i="10"/>
  <c r="H113" i="10"/>
  <c r="T113" i="10"/>
  <c r="X113" i="10"/>
  <c r="U113" i="10"/>
  <c r="Q113" i="10"/>
  <c r="P113" i="10"/>
  <c r="N113" i="10"/>
  <c r="M113" i="10"/>
  <c r="L113" i="10"/>
  <c r="O113" i="10" s="1"/>
  <c r="V113" i="10"/>
  <c r="S113" i="10"/>
  <c r="W113" i="10" s="1"/>
  <c r="K114" i="10"/>
  <c r="H114" i="10"/>
  <c r="T114" i="10"/>
  <c r="X114" i="10"/>
  <c r="U114" i="10"/>
  <c r="Q114" i="10"/>
  <c r="P114" i="10"/>
  <c r="N114" i="10"/>
  <c r="M114" i="10"/>
  <c r="L114" i="10"/>
  <c r="O114" i="10" s="1"/>
  <c r="V114" i="10"/>
  <c r="S114" i="10"/>
  <c r="W114" i="10" s="1"/>
  <c r="K115" i="10"/>
  <c r="H115" i="10"/>
  <c r="T115" i="10"/>
  <c r="X115" i="10"/>
  <c r="U115" i="10"/>
  <c r="Q115" i="10"/>
  <c r="P115" i="10"/>
  <c r="N115" i="10"/>
  <c r="M115" i="10"/>
  <c r="L115" i="10"/>
  <c r="O115" i="10" s="1"/>
  <c r="V115" i="10"/>
  <c r="S115" i="10"/>
  <c r="W115" i="10" s="1"/>
  <c r="K116" i="10"/>
  <c r="H116" i="10"/>
  <c r="T116" i="10"/>
  <c r="X116" i="10"/>
  <c r="U116" i="10"/>
  <c r="Q116" i="10"/>
  <c r="P116" i="10"/>
  <c r="N116" i="10"/>
  <c r="M116" i="10"/>
  <c r="L116" i="10"/>
  <c r="O116" i="10" s="1"/>
  <c r="V116" i="10"/>
  <c r="S116" i="10"/>
  <c r="W116" i="10" s="1"/>
  <c r="K117" i="10"/>
  <c r="H117" i="10"/>
  <c r="T117" i="10"/>
  <c r="X117" i="10"/>
  <c r="U117" i="10"/>
  <c r="Q117" i="10"/>
  <c r="P117" i="10"/>
  <c r="N117" i="10"/>
  <c r="M117" i="10"/>
  <c r="L117" i="10"/>
  <c r="O117" i="10" s="1"/>
  <c r="V117" i="10"/>
  <c r="S117" i="10"/>
  <c r="W117" i="10" s="1"/>
  <c r="K118" i="10"/>
  <c r="H118" i="10"/>
  <c r="T118" i="10"/>
  <c r="X118" i="10"/>
  <c r="U118" i="10"/>
  <c r="Q118" i="10"/>
  <c r="P118" i="10"/>
  <c r="N118" i="10"/>
  <c r="M118" i="10"/>
  <c r="L118" i="10"/>
  <c r="O118" i="10" s="1"/>
  <c r="V118" i="10"/>
  <c r="S118" i="10"/>
  <c r="W118" i="10" s="1"/>
  <c r="K119" i="10"/>
  <c r="H119" i="10"/>
  <c r="T119" i="10"/>
  <c r="X119" i="10"/>
  <c r="U119" i="10"/>
  <c r="Q119" i="10"/>
  <c r="P119" i="10"/>
  <c r="N119" i="10"/>
  <c r="M119" i="10"/>
  <c r="L119" i="10"/>
  <c r="O119" i="10" s="1"/>
  <c r="V119" i="10"/>
  <c r="S119" i="10"/>
  <c r="W119" i="10" s="1"/>
  <c r="K120" i="10"/>
  <c r="H120" i="10"/>
  <c r="T120" i="10"/>
  <c r="X120" i="10"/>
  <c r="U120" i="10"/>
  <c r="Q120" i="10"/>
  <c r="P120" i="10"/>
  <c r="N120" i="10"/>
  <c r="M120" i="10"/>
  <c r="L120" i="10"/>
  <c r="O120" i="10" s="1"/>
  <c r="V120" i="10"/>
  <c r="S120" i="10"/>
  <c r="W120" i="10" s="1"/>
  <c r="K121" i="10"/>
  <c r="H121" i="10"/>
  <c r="T121" i="10"/>
  <c r="X121" i="10"/>
  <c r="U121" i="10"/>
  <c r="Q121" i="10"/>
  <c r="P121" i="10"/>
  <c r="N121" i="10"/>
  <c r="M121" i="10"/>
  <c r="L121" i="10"/>
  <c r="O121" i="10" s="1"/>
  <c r="V121" i="10"/>
  <c r="S121" i="10"/>
  <c r="W121" i="10" s="1"/>
  <c r="K122" i="10"/>
  <c r="H122" i="10"/>
  <c r="T122" i="10"/>
  <c r="X122" i="10"/>
  <c r="U122" i="10"/>
  <c r="Q122" i="10"/>
  <c r="P122" i="10"/>
  <c r="N122" i="10"/>
  <c r="M122" i="10"/>
  <c r="L122" i="10"/>
  <c r="O122" i="10" s="1"/>
  <c r="V122" i="10"/>
  <c r="S122" i="10"/>
  <c r="W122" i="10" s="1"/>
  <c r="K123" i="10"/>
  <c r="H123" i="10"/>
  <c r="T123" i="10"/>
  <c r="X123" i="10"/>
  <c r="U123" i="10"/>
  <c r="Q123" i="10"/>
  <c r="P123" i="10"/>
  <c r="N123" i="10"/>
  <c r="M123" i="10"/>
  <c r="L123" i="10"/>
  <c r="O123" i="10" s="1"/>
  <c r="V123" i="10"/>
  <c r="S123" i="10"/>
  <c r="W123" i="10" s="1"/>
  <c r="K124" i="10"/>
  <c r="H124" i="10"/>
  <c r="T124" i="10"/>
  <c r="X124" i="10"/>
  <c r="U124" i="10"/>
  <c r="Q124" i="10"/>
  <c r="P124" i="10"/>
  <c r="N124" i="10"/>
  <c r="M124" i="10"/>
  <c r="L124" i="10"/>
  <c r="O124" i="10" s="1"/>
  <c r="V124" i="10"/>
  <c r="S124" i="10"/>
  <c r="W124" i="10" s="1"/>
  <c r="K125" i="10"/>
  <c r="H125" i="10"/>
  <c r="T125" i="10"/>
  <c r="X125" i="10"/>
  <c r="U125" i="10"/>
  <c r="Q125" i="10"/>
  <c r="P125" i="10"/>
  <c r="N125" i="10"/>
  <c r="M125" i="10"/>
  <c r="L125" i="10"/>
  <c r="O125" i="10" s="1"/>
  <c r="V125" i="10"/>
  <c r="S125" i="10"/>
  <c r="W125" i="10" s="1"/>
  <c r="K126" i="10"/>
  <c r="H126" i="10"/>
  <c r="T126" i="10"/>
  <c r="X126" i="10"/>
  <c r="U126" i="10"/>
  <c r="Q126" i="10"/>
  <c r="P126" i="10"/>
  <c r="N126" i="10"/>
  <c r="M126" i="10"/>
  <c r="L126" i="10"/>
  <c r="O126" i="10" s="1"/>
  <c r="V126" i="10"/>
  <c r="S126" i="10"/>
  <c r="W126" i="10" s="1"/>
  <c r="K127" i="10"/>
  <c r="H127" i="10"/>
  <c r="T127" i="10"/>
  <c r="X127" i="10"/>
  <c r="U127" i="10"/>
  <c r="Q127" i="10"/>
  <c r="P127" i="10"/>
  <c r="N127" i="10"/>
  <c r="M127" i="10"/>
  <c r="L127" i="10"/>
  <c r="O127" i="10" s="1"/>
  <c r="V127" i="10"/>
  <c r="S127" i="10"/>
  <c r="W127" i="10" s="1"/>
  <c r="K128" i="10"/>
  <c r="H128" i="10"/>
  <c r="T128" i="10"/>
  <c r="X128" i="10"/>
  <c r="U128" i="10"/>
  <c r="Q128" i="10"/>
  <c r="P128" i="10"/>
  <c r="N128" i="10"/>
  <c r="M128" i="10"/>
  <c r="L128" i="10"/>
  <c r="O128" i="10" s="1"/>
  <c r="V128" i="10"/>
  <c r="S128" i="10"/>
  <c r="W128" i="10" s="1"/>
  <c r="K129" i="10"/>
  <c r="H129" i="10"/>
  <c r="T129" i="10"/>
  <c r="X129" i="10"/>
  <c r="U129" i="10"/>
  <c r="Q129" i="10"/>
  <c r="P129" i="10"/>
  <c r="N129" i="10"/>
  <c r="M129" i="10"/>
  <c r="L129" i="10"/>
  <c r="O129" i="10" s="1"/>
  <c r="V129" i="10"/>
  <c r="S129" i="10"/>
  <c r="W129" i="10" s="1"/>
  <c r="K130" i="10"/>
  <c r="H130" i="10"/>
  <c r="T130" i="10"/>
  <c r="X130" i="10"/>
  <c r="U130" i="10"/>
  <c r="Q130" i="10"/>
  <c r="P130" i="10"/>
  <c r="N130" i="10"/>
  <c r="M130" i="10"/>
  <c r="L130" i="10"/>
  <c r="O130" i="10" s="1"/>
  <c r="V130" i="10"/>
  <c r="S130" i="10"/>
  <c r="W130" i="10" s="1"/>
  <c r="K131" i="10"/>
  <c r="H131" i="10"/>
  <c r="T131" i="10"/>
  <c r="X131" i="10"/>
  <c r="U131" i="10"/>
  <c r="Q131" i="10"/>
  <c r="P131" i="10"/>
  <c r="N131" i="10"/>
  <c r="M131" i="10"/>
  <c r="L131" i="10"/>
  <c r="O131" i="10" s="1"/>
  <c r="V131" i="10"/>
  <c r="S131" i="10"/>
  <c r="W131" i="10" s="1"/>
  <c r="K132" i="10"/>
  <c r="H132" i="10"/>
  <c r="T132" i="10"/>
  <c r="X132" i="10"/>
  <c r="U132" i="10"/>
  <c r="Q132" i="10"/>
  <c r="P132" i="10"/>
  <c r="N132" i="10"/>
  <c r="M132" i="10"/>
  <c r="L132" i="10"/>
  <c r="O132" i="10" s="1"/>
  <c r="V132" i="10"/>
  <c r="S132" i="10"/>
  <c r="W132" i="10" s="1"/>
  <c r="K133" i="10"/>
  <c r="H133" i="10"/>
  <c r="T133" i="10"/>
  <c r="X133" i="10"/>
  <c r="U133" i="10"/>
  <c r="Q133" i="10"/>
  <c r="P133" i="10"/>
  <c r="N133" i="10"/>
  <c r="M133" i="10"/>
  <c r="L133" i="10"/>
  <c r="O133" i="10" s="1"/>
  <c r="V133" i="10"/>
  <c r="S133" i="10"/>
  <c r="W133" i="10" s="1"/>
  <c r="K134" i="10"/>
  <c r="H134" i="10"/>
  <c r="T134" i="10"/>
  <c r="X134" i="10"/>
  <c r="U134" i="10"/>
  <c r="Q134" i="10"/>
  <c r="P134" i="10"/>
  <c r="N134" i="10"/>
  <c r="M134" i="10"/>
  <c r="L134" i="10"/>
  <c r="O134" i="10" s="1"/>
  <c r="V134" i="10"/>
  <c r="S134" i="10"/>
  <c r="W134" i="10" s="1"/>
  <c r="K135" i="10"/>
  <c r="H135" i="10"/>
  <c r="T135" i="10"/>
  <c r="X135" i="10"/>
  <c r="U135" i="10"/>
  <c r="Q135" i="10"/>
  <c r="P135" i="10"/>
  <c r="N135" i="10"/>
  <c r="M135" i="10"/>
  <c r="L135" i="10"/>
  <c r="O135" i="10" s="1"/>
  <c r="V135" i="10"/>
  <c r="S135" i="10"/>
  <c r="W135" i="10" s="1"/>
  <c r="K136" i="10"/>
  <c r="H136" i="10"/>
  <c r="T136" i="10"/>
  <c r="X136" i="10"/>
  <c r="U136" i="10"/>
  <c r="Q136" i="10"/>
  <c r="P136" i="10"/>
  <c r="N136" i="10"/>
  <c r="M136" i="10"/>
  <c r="L136" i="10"/>
  <c r="O136" i="10" s="1"/>
  <c r="V136" i="10"/>
  <c r="S136" i="10"/>
  <c r="W136" i="10" s="1"/>
  <c r="K137" i="10"/>
  <c r="H137" i="10"/>
  <c r="T137" i="10"/>
  <c r="X137" i="10"/>
  <c r="U137" i="10"/>
  <c r="Q137" i="10"/>
  <c r="P137" i="10"/>
  <c r="N137" i="10"/>
  <c r="M137" i="10"/>
  <c r="L137" i="10"/>
  <c r="O137" i="10" s="1"/>
  <c r="V137" i="10"/>
  <c r="S137" i="10"/>
  <c r="W137" i="10" s="1"/>
  <c r="K138" i="10"/>
  <c r="H138" i="10"/>
  <c r="T138" i="10"/>
  <c r="X138" i="10"/>
  <c r="U138" i="10"/>
  <c r="Q138" i="10"/>
  <c r="P138" i="10"/>
  <c r="N138" i="10"/>
  <c r="M138" i="10"/>
  <c r="L138" i="10"/>
  <c r="O138" i="10" s="1"/>
  <c r="V138" i="10"/>
  <c r="S138" i="10"/>
  <c r="W138" i="10" s="1"/>
  <c r="K139" i="10"/>
  <c r="H139" i="10"/>
  <c r="T139" i="10"/>
  <c r="X139" i="10"/>
  <c r="U139" i="10"/>
  <c r="Q139" i="10"/>
  <c r="P139" i="10"/>
  <c r="N139" i="10"/>
  <c r="M139" i="10"/>
  <c r="L139" i="10"/>
  <c r="O139" i="10" s="1"/>
  <c r="V139" i="10"/>
  <c r="S139" i="10"/>
  <c r="W139" i="10" s="1"/>
  <c r="K140" i="10"/>
  <c r="H140" i="10"/>
  <c r="T140" i="10"/>
  <c r="X140" i="10"/>
  <c r="U140" i="10"/>
  <c r="Q140" i="10"/>
  <c r="P140" i="10"/>
  <c r="N140" i="10"/>
  <c r="M140" i="10"/>
  <c r="L140" i="10"/>
  <c r="O140" i="10" s="1"/>
  <c r="V140" i="10"/>
  <c r="S140" i="10"/>
  <c r="W140" i="10" s="1"/>
  <c r="K141" i="10"/>
  <c r="H141" i="10"/>
  <c r="T141" i="10"/>
  <c r="X141" i="10"/>
  <c r="U141" i="10"/>
  <c r="Q141" i="10"/>
  <c r="P141" i="10"/>
  <c r="N141" i="10"/>
  <c r="M141" i="10"/>
  <c r="L141" i="10"/>
  <c r="O141" i="10" s="1"/>
  <c r="V141" i="10"/>
  <c r="S141" i="10"/>
  <c r="W141" i="10" s="1"/>
  <c r="K142" i="10"/>
  <c r="H142" i="10"/>
  <c r="T142" i="10"/>
  <c r="X142" i="10"/>
  <c r="U142" i="10"/>
  <c r="Q142" i="10"/>
  <c r="P142" i="10"/>
  <c r="N142" i="10"/>
  <c r="M142" i="10"/>
  <c r="L142" i="10"/>
  <c r="O142" i="10" s="1"/>
  <c r="V142" i="10"/>
  <c r="S142" i="10"/>
  <c r="W142" i="10" s="1"/>
  <c r="K143" i="10"/>
  <c r="H143" i="10"/>
  <c r="T143" i="10"/>
  <c r="X143" i="10"/>
  <c r="U143" i="10"/>
  <c r="Q143" i="10"/>
  <c r="P143" i="10"/>
  <c r="N143" i="10"/>
  <c r="M143" i="10"/>
  <c r="L143" i="10"/>
  <c r="O143" i="10" s="1"/>
  <c r="V143" i="10"/>
  <c r="S143" i="10"/>
  <c r="W143" i="10" s="1"/>
  <c r="K144" i="10"/>
  <c r="H144" i="10"/>
  <c r="T144" i="10"/>
  <c r="X144" i="10"/>
  <c r="U144" i="10"/>
  <c r="Q144" i="10"/>
  <c r="P144" i="10"/>
  <c r="N144" i="10"/>
  <c r="M144" i="10"/>
  <c r="L144" i="10"/>
  <c r="O144" i="10" s="1"/>
  <c r="V144" i="10"/>
  <c r="S144" i="10"/>
  <c r="W144" i="10" s="1"/>
  <c r="K145" i="10"/>
  <c r="H145" i="10"/>
  <c r="T145" i="10"/>
  <c r="X145" i="10"/>
  <c r="U145" i="10"/>
  <c r="Q145" i="10"/>
  <c r="P145" i="10"/>
  <c r="N145" i="10"/>
  <c r="M145" i="10"/>
  <c r="L145" i="10"/>
  <c r="O145" i="10" s="1"/>
  <c r="V145" i="10"/>
  <c r="S145" i="10"/>
  <c r="W145" i="10" s="1"/>
  <c r="K146" i="10"/>
  <c r="H146" i="10"/>
  <c r="T146" i="10"/>
  <c r="X146" i="10"/>
  <c r="U146" i="10"/>
  <c r="Q146" i="10"/>
  <c r="P146" i="10"/>
  <c r="N146" i="10"/>
  <c r="M146" i="10"/>
  <c r="L146" i="10"/>
  <c r="O146" i="10" s="1"/>
  <c r="V146" i="10"/>
  <c r="S146" i="10"/>
  <c r="W146" i="10" s="1"/>
  <c r="K147" i="10"/>
  <c r="H147" i="10"/>
  <c r="T147" i="10"/>
  <c r="X147" i="10"/>
  <c r="U147" i="10"/>
  <c r="Q147" i="10"/>
  <c r="P147" i="10"/>
  <c r="N147" i="10"/>
  <c r="M147" i="10"/>
  <c r="L147" i="10"/>
  <c r="O147" i="10" s="1"/>
  <c r="V147" i="10"/>
  <c r="S147" i="10"/>
  <c r="W147" i="10" s="1"/>
  <c r="K148" i="10"/>
  <c r="H148" i="10"/>
  <c r="T148" i="10"/>
  <c r="X148" i="10"/>
  <c r="U148" i="10"/>
  <c r="Q148" i="10"/>
  <c r="P148" i="10"/>
  <c r="N148" i="10"/>
  <c r="M148" i="10"/>
  <c r="L148" i="10"/>
  <c r="O148" i="10" s="1"/>
  <c r="V148" i="10"/>
  <c r="S148" i="10"/>
  <c r="W148" i="10" s="1"/>
  <c r="K149" i="10"/>
  <c r="H149" i="10"/>
  <c r="T149" i="10"/>
  <c r="X149" i="10"/>
  <c r="U149" i="10"/>
  <c r="Q149" i="10"/>
  <c r="P149" i="10"/>
  <c r="N149" i="10"/>
  <c r="M149" i="10"/>
  <c r="L149" i="10"/>
  <c r="O149" i="10" s="1"/>
  <c r="V149" i="10"/>
  <c r="S149" i="10"/>
  <c r="W149" i="10" s="1"/>
  <c r="K150" i="10"/>
  <c r="H150" i="10"/>
  <c r="T150" i="10"/>
  <c r="X150" i="10"/>
  <c r="U150" i="10"/>
  <c r="Q150" i="10"/>
  <c r="P150" i="10"/>
  <c r="N150" i="10"/>
  <c r="M150" i="10"/>
  <c r="L150" i="10"/>
  <c r="O150" i="10" s="1"/>
  <c r="V150" i="10"/>
  <c r="S150" i="10"/>
  <c r="W150" i="10" s="1"/>
  <c r="K151" i="10"/>
  <c r="H151" i="10"/>
  <c r="T151" i="10"/>
  <c r="X151" i="10"/>
  <c r="U151" i="10"/>
  <c r="Q151" i="10"/>
  <c r="P151" i="10"/>
  <c r="N151" i="10"/>
  <c r="M151" i="10"/>
  <c r="L151" i="10"/>
  <c r="O151" i="10" s="1"/>
  <c r="V151" i="10"/>
  <c r="S151" i="10"/>
  <c r="W151" i="10" s="1"/>
  <c r="K152" i="10"/>
  <c r="H152" i="10"/>
  <c r="T152" i="10"/>
  <c r="X152" i="10"/>
  <c r="U152" i="10"/>
  <c r="Q152" i="10"/>
  <c r="P152" i="10"/>
  <c r="N152" i="10"/>
  <c r="M152" i="10"/>
  <c r="L152" i="10"/>
  <c r="O152" i="10" s="1"/>
  <c r="V152" i="10"/>
  <c r="S152" i="10"/>
  <c r="W152" i="10" s="1"/>
  <c r="K153" i="10"/>
  <c r="H153" i="10"/>
  <c r="T153" i="10"/>
  <c r="X153" i="10"/>
  <c r="U153" i="10"/>
  <c r="Q153" i="10"/>
  <c r="P153" i="10"/>
  <c r="N153" i="10"/>
  <c r="M153" i="10"/>
  <c r="L153" i="10"/>
  <c r="O153" i="10" s="1"/>
  <c r="V153" i="10"/>
  <c r="S153" i="10"/>
  <c r="W153" i="10" s="1"/>
  <c r="K154" i="10"/>
  <c r="H154" i="10"/>
  <c r="T154" i="10"/>
  <c r="X154" i="10"/>
  <c r="U154" i="10"/>
  <c r="Q154" i="10"/>
  <c r="P154" i="10"/>
  <c r="N154" i="10"/>
  <c r="M154" i="10"/>
  <c r="L154" i="10"/>
  <c r="O154" i="10" s="1"/>
  <c r="V154" i="10"/>
  <c r="S154" i="10"/>
  <c r="W154" i="10" s="1"/>
  <c r="K155" i="10"/>
  <c r="H155" i="10"/>
  <c r="T155" i="10"/>
  <c r="X155" i="10"/>
  <c r="U155" i="10"/>
  <c r="Q155" i="10"/>
  <c r="P155" i="10"/>
  <c r="N155" i="10"/>
  <c r="M155" i="10"/>
  <c r="L155" i="10"/>
  <c r="O155" i="10" s="1"/>
  <c r="V155" i="10"/>
  <c r="S155" i="10"/>
  <c r="W155" i="10" s="1"/>
  <c r="K156" i="10"/>
  <c r="H156" i="10"/>
  <c r="T156" i="10"/>
  <c r="X156" i="10"/>
  <c r="U156" i="10"/>
  <c r="Q156" i="10"/>
  <c r="P156" i="10"/>
  <c r="N156" i="10"/>
  <c r="M156" i="10"/>
  <c r="L156" i="10"/>
  <c r="O156" i="10" s="1"/>
  <c r="V156" i="10"/>
  <c r="S156" i="10"/>
  <c r="W156" i="10" s="1"/>
  <c r="K157" i="10"/>
  <c r="H157" i="10"/>
  <c r="T157" i="10"/>
  <c r="X157" i="10"/>
  <c r="U157" i="10"/>
  <c r="Q157" i="10"/>
  <c r="P157" i="10"/>
  <c r="N157" i="10"/>
  <c r="M157" i="10"/>
  <c r="L157" i="10"/>
  <c r="O157" i="10" s="1"/>
  <c r="V157" i="10"/>
  <c r="S157" i="10"/>
  <c r="W157" i="10" s="1"/>
  <c r="K158" i="10"/>
  <c r="H158" i="10"/>
  <c r="T158" i="10"/>
  <c r="X158" i="10"/>
  <c r="U158" i="10"/>
  <c r="Q158" i="10"/>
  <c r="P158" i="10"/>
  <c r="N158" i="10"/>
  <c r="M158" i="10"/>
  <c r="L158" i="10"/>
  <c r="O158" i="10" s="1"/>
  <c r="V158" i="10"/>
  <c r="S158" i="10"/>
  <c r="W158" i="10" s="1"/>
  <c r="K159" i="10"/>
  <c r="H159" i="10"/>
  <c r="T159" i="10"/>
  <c r="X159" i="10"/>
  <c r="U159" i="10"/>
  <c r="Q159" i="10"/>
  <c r="P159" i="10"/>
  <c r="N159" i="10"/>
  <c r="M159" i="10"/>
  <c r="L159" i="10"/>
  <c r="O159" i="10" s="1"/>
  <c r="V159" i="10"/>
  <c r="S159" i="10"/>
  <c r="W159" i="10" s="1"/>
  <c r="K160" i="10"/>
  <c r="H160" i="10"/>
  <c r="T160" i="10"/>
  <c r="X160" i="10"/>
  <c r="U160" i="10"/>
  <c r="Q160" i="10"/>
  <c r="P160" i="10"/>
  <c r="N160" i="10"/>
  <c r="M160" i="10"/>
  <c r="L160" i="10"/>
  <c r="O160" i="10" s="1"/>
  <c r="V160" i="10"/>
  <c r="S160" i="10"/>
  <c r="W160" i="10" s="1"/>
  <c r="K161" i="10"/>
  <c r="H161" i="10"/>
  <c r="T161" i="10"/>
  <c r="X161" i="10"/>
  <c r="U161" i="10"/>
  <c r="Q161" i="10"/>
  <c r="P161" i="10"/>
  <c r="N161" i="10"/>
  <c r="M161" i="10"/>
  <c r="L161" i="10"/>
  <c r="O161" i="10" s="1"/>
  <c r="V161" i="10"/>
  <c r="S161" i="10"/>
  <c r="W161" i="10" s="1"/>
  <c r="K162" i="10"/>
  <c r="H162" i="10"/>
  <c r="T162" i="10"/>
  <c r="X162" i="10"/>
  <c r="U162" i="10"/>
  <c r="Q162" i="10"/>
  <c r="P162" i="10"/>
  <c r="N162" i="10"/>
  <c r="M162" i="10"/>
  <c r="L162" i="10"/>
  <c r="O162" i="10" s="1"/>
  <c r="V162" i="10"/>
  <c r="S162" i="10"/>
  <c r="W162" i="10" s="1"/>
  <c r="K163" i="10"/>
  <c r="H163" i="10"/>
  <c r="T163" i="10"/>
  <c r="X163" i="10"/>
  <c r="U163" i="10"/>
  <c r="Q163" i="10"/>
  <c r="P163" i="10"/>
  <c r="N163" i="10"/>
  <c r="M163" i="10"/>
  <c r="L163" i="10"/>
  <c r="O163" i="10" s="1"/>
  <c r="V163" i="10"/>
  <c r="S163" i="10"/>
  <c r="W163" i="10" s="1"/>
  <c r="K164" i="10"/>
  <c r="H164" i="10"/>
  <c r="T164" i="10"/>
  <c r="X164" i="10"/>
  <c r="U164" i="10"/>
  <c r="Q164" i="10"/>
  <c r="P164" i="10"/>
  <c r="N164" i="10"/>
  <c r="M164" i="10"/>
  <c r="L164" i="10"/>
  <c r="O164" i="10" s="1"/>
  <c r="V164" i="10"/>
  <c r="S164" i="10"/>
  <c r="W164" i="10" s="1"/>
  <c r="K165" i="10"/>
  <c r="H165" i="10"/>
  <c r="T165" i="10"/>
  <c r="X165" i="10"/>
  <c r="U165" i="10"/>
  <c r="Q165" i="10"/>
  <c r="P165" i="10"/>
  <c r="N165" i="10"/>
  <c r="M165" i="10"/>
  <c r="L165" i="10"/>
  <c r="O165" i="10" s="1"/>
  <c r="V165" i="10"/>
  <c r="S165" i="10"/>
  <c r="W165" i="10" s="1"/>
  <c r="K166" i="10"/>
  <c r="H166" i="10"/>
  <c r="T166" i="10"/>
  <c r="X166" i="10"/>
  <c r="U166" i="10"/>
  <c r="Q166" i="10"/>
  <c r="P166" i="10"/>
  <c r="N166" i="10"/>
  <c r="M166" i="10"/>
  <c r="L166" i="10"/>
  <c r="O166" i="10" s="1"/>
  <c r="V166" i="10"/>
  <c r="S166" i="10"/>
  <c r="W166" i="10" s="1"/>
  <c r="K167" i="10"/>
  <c r="H167" i="10"/>
  <c r="T167" i="10"/>
  <c r="X167" i="10"/>
  <c r="U167" i="10"/>
  <c r="Q167" i="10"/>
  <c r="P167" i="10"/>
  <c r="N167" i="10"/>
  <c r="M167" i="10"/>
  <c r="L167" i="10"/>
  <c r="O167" i="10" s="1"/>
  <c r="V167" i="10"/>
  <c r="S167" i="10"/>
  <c r="W167" i="10" s="1"/>
  <c r="K168" i="10"/>
  <c r="H168" i="10"/>
  <c r="T168" i="10"/>
  <c r="X168" i="10"/>
  <c r="U168" i="10"/>
  <c r="Q168" i="10"/>
  <c r="P168" i="10"/>
  <c r="N168" i="10"/>
  <c r="M168" i="10"/>
  <c r="L168" i="10"/>
  <c r="O168" i="10" s="1"/>
  <c r="V168" i="10"/>
  <c r="S168" i="10"/>
  <c r="W168" i="10" s="1"/>
  <c r="K169" i="10"/>
  <c r="H169" i="10"/>
  <c r="T169" i="10"/>
  <c r="X169" i="10"/>
  <c r="U169" i="10"/>
  <c r="Q169" i="10"/>
  <c r="P169" i="10"/>
  <c r="N169" i="10"/>
  <c r="M169" i="10"/>
  <c r="L169" i="10"/>
  <c r="O169" i="10" s="1"/>
  <c r="V169" i="10"/>
  <c r="S169" i="10"/>
  <c r="W169" i="10" s="1"/>
  <c r="K170" i="10"/>
  <c r="H170" i="10"/>
  <c r="T170" i="10"/>
  <c r="X170" i="10"/>
  <c r="U170" i="10"/>
  <c r="Q170" i="10"/>
  <c r="P170" i="10"/>
  <c r="N170" i="10"/>
  <c r="M170" i="10"/>
  <c r="L170" i="10"/>
  <c r="O170" i="10" s="1"/>
  <c r="V170" i="10"/>
  <c r="S170" i="10"/>
  <c r="W170" i="10" s="1"/>
  <c r="K171" i="10"/>
  <c r="H171" i="10"/>
  <c r="T171" i="10"/>
  <c r="X171" i="10"/>
  <c r="U171" i="10"/>
  <c r="Q171" i="10"/>
  <c r="P171" i="10"/>
  <c r="N171" i="10"/>
  <c r="M171" i="10"/>
  <c r="L171" i="10"/>
  <c r="O171" i="10" s="1"/>
  <c r="V171" i="10"/>
  <c r="S171" i="10"/>
  <c r="W171" i="10" s="1"/>
  <c r="K172" i="10"/>
  <c r="H172" i="10"/>
  <c r="T172" i="10"/>
  <c r="X172" i="10"/>
  <c r="U172" i="10"/>
  <c r="Q172" i="10"/>
  <c r="P172" i="10"/>
  <c r="N172" i="10"/>
  <c r="M172" i="10"/>
  <c r="L172" i="10"/>
  <c r="O172" i="10" s="1"/>
  <c r="V172" i="10"/>
  <c r="S172" i="10"/>
  <c r="W172" i="10" s="1"/>
  <c r="K173" i="10"/>
  <c r="H173" i="10"/>
  <c r="T173" i="10"/>
  <c r="X173" i="10"/>
  <c r="U173" i="10"/>
  <c r="Q173" i="10"/>
  <c r="P173" i="10"/>
  <c r="N173" i="10"/>
  <c r="M173" i="10"/>
  <c r="L173" i="10"/>
  <c r="O173" i="10" s="1"/>
  <c r="V173" i="10"/>
  <c r="S173" i="10"/>
  <c r="W173" i="10" s="1"/>
  <c r="K174" i="10"/>
  <c r="H174" i="10"/>
  <c r="T174" i="10"/>
  <c r="X174" i="10"/>
  <c r="U174" i="10"/>
  <c r="Q174" i="10"/>
  <c r="P174" i="10"/>
  <c r="N174" i="10"/>
  <c r="M174" i="10"/>
  <c r="L174" i="10"/>
  <c r="O174" i="10" s="1"/>
  <c r="V174" i="10"/>
  <c r="S174" i="10"/>
  <c r="W174" i="10" s="1"/>
  <c r="K175" i="10"/>
  <c r="H175" i="10"/>
  <c r="T175" i="10"/>
  <c r="X175" i="10"/>
  <c r="U175" i="10"/>
  <c r="Q175" i="10"/>
  <c r="P175" i="10"/>
  <c r="N175" i="10"/>
  <c r="M175" i="10"/>
  <c r="L175" i="10"/>
  <c r="O175" i="10" s="1"/>
  <c r="V175" i="10"/>
  <c r="S175" i="10"/>
  <c r="W175" i="10" s="1"/>
  <c r="K176" i="10"/>
  <c r="H176" i="10"/>
  <c r="T176" i="10"/>
  <c r="X176" i="10"/>
  <c r="U176" i="10"/>
  <c r="Q176" i="10"/>
  <c r="P176" i="10"/>
  <c r="N176" i="10"/>
  <c r="M176" i="10"/>
  <c r="L176" i="10"/>
  <c r="O176" i="10" s="1"/>
  <c r="V176" i="10"/>
  <c r="S176" i="10"/>
  <c r="W176" i="10" s="1"/>
  <c r="K177" i="10"/>
  <c r="H177" i="10"/>
  <c r="T177" i="10"/>
  <c r="X177" i="10"/>
  <c r="U177" i="10"/>
  <c r="Q177" i="10"/>
  <c r="P177" i="10"/>
  <c r="N177" i="10"/>
  <c r="M177" i="10"/>
  <c r="L177" i="10"/>
  <c r="O177" i="10" s="1"/>
  <c r="V177" i="10"/>
  <c r="S177" i="10"/>
  <c r="W177" i="10" s="1"/>
  <c r="K178" i="10"/>
  <c r="H178" i="10"/>
  <c r="T178" i="10"/>
  <c r="X178" i="10"/>
  <c r="U178" i="10"/>
  <c r="Q178" i="10"/>
  <c r="P178" i="10"/>
  <c r="N178" i="10"/>
  <c r="M178" i="10"/>
  <c r="L178" i="10"/>
  <c r="O178" i="10" s="1"/>
  <c r="V178" i="10"/>
  <c r="S178" i="10"/>
  <c r="W178" i="10" s="1"/>
  <c r="K179" i="10"/>
  <c r="H179" i="10"/>
  <c r="T179" i="10"/>
  <c r="X179" i="10"/>
  <c r="U179" i="10"/>
  <c r="Q179" i="10"/>
  <c r="P179" i="10"/>
  <c r="N179" i="10"/>
  <c r="M179" i="10"/>
  <c r="L179" i="10"/>
  <c r="O179" i="10" s="1"/>
  <c r="V179" i="10"/>
  <c r="S179" i="10"/>
  <c r="W179" i="10" s="1"/>
  <c r="K180" i="10"/>
  <c r="H180" i="10"/>
  <c r="T180" i="10"/>
  <c r="X180" i="10"/>
  <c r="U180" i="10"/>
  <c r="Q180" i="10"/>
  <c r="P180" i="10"/>
  <c r="N180" i="10"/>
  <c r="M180" i="10"/>
  <c r="L180" i="10"/>
  <c r="O180" i="10" s="1"/>
  <c r="V180" i="10"/>
  <c r="S180" i="10"/>
  <c r="W180" i="10" s="1"/>
  <c r="K181" i="10"/>
  <c r="H181" i="10"/>
  <c r="T181" i="10"/>
  <c r="X181" i="10"/>
  <c r="U181" i="10"/>
  <c r="Q181" i="10"/>
  <c r="P181" i="10"/>
  <c r="N181" i="10"/>
  <c r="M181" i="10"/>
  <c r="L181" i="10"/>
  <c r="O181" i="10" s="1"/>
  <c r="V181" i="10"/>
  <c r="S181" i="10"/>
  <c r="W181" i="10" s="1"/>
  <c r="K182" i="10"/>
  <c r="H182" i="10"/>
  <c r="T182" i="10"/>
  <c r="X182" i="10"/>
  <c r="U182" i="10"/>
  <c r="Q182" i="10"/>
  <c r="P182" i="10"/>
  <c r="N182" i="10"/>
  <c r="M182" i="10"/>
  <c r="L182" i="10"/>
  <c r="O182" i="10" s="1"/>
  <c r="V182" i="10"/>
  <c r="S182" i="10"/>
  <c r="W182" i="10" s="1"/>
  <c r="K183" i="10"/>
  <c r="H183" i="10"/>
  <c r="T183" i="10"/>
  <c r="X183" i="10"/>
  <c r="U183" i="10"/>
  <c r="Q183" i="10"/>
  <c r="P183" i="10"/>
  <c r="N183" i="10"/>
  <c r="M183" i="10"/>
  <c r="L183" i="10"/>
  <c r="O183" i="10" s="1"/>
  <c r="V183" i="10"/>
  <c r="S183" i="10"/>
  <c r="W183" i="10" s="1"/>
  <c r="K184" i="10"/>
  <c r="H184" i="10"/>
  <c r="T184" i="10"/>
  <c r="X184" i="10"/>
  <c r="U184" i="10"/>
  <c r="Q184" i="10"/>
  <c r="P184" i="10"/>
  <c r="N184" i="10"/>
  <c r="M184" i="10"/>
  <c r="L184" i="10"/>
  <c r="O184" i="10" s="1"/>
  <c r="V184" i="10"/>
  <c r="S184" i="10"/>
  <c r="W184" i="10" s="1"/>
  <c r="K185" i="10"/>
  <c r="H185" i="10"/>
  <c r="T185" i="10"/>
  <c r="X185" i="10"/>
  <c r="U185" i="10"/>
  <c r="Q185" i="10"/>
  <c r="P185" i="10"/>
  <c r="N185" i="10"/>
  <c r="M185" i="10"/>
  <c r="L185" i="10"/>
  <c r="O185" i="10" s="1"/>
  <c r="V185" i="10"/>
  <c r="S185" i="10"/>
  <c r="W185" i="10" s="1"/>
  <c r="K186" i="10"/>
  <c r="H186" i="10"/>
  <c r="T186" i="10"/>
  <c r="X186" i="10"/>
  <c r="U186" i="10"/>
  <c r="Q186" i="10"/>
  <c r="P186" i="10"/>
  <c r="N186" i="10"/>
  <c r="M186" i="10"/>
  <c r="L186" i="10"/>
  <c r="O186" i="10" s="1"/>
  <c r="V186" i="10"/>
  <c r="S186" i="10"/>
  <c r="W186" i="10" s="1"/>
  <c r="K187" i="10"/>
  <c r="H187" i="10"/>
  <c r="T187" i="10"/>
  <c r="X187" i="10"/>
  <c r="U187" i="10"/>
  <c r="Q187" i="10"/>
  <c r="P187" i="10"/>
  <c r="N187" i="10"/>
  <c r="M187" i="10"/>
  <c r="L187" i="10"/>
  <c r="O187" i="10" s="1"/>
  <c r="V187" i="10"/>
  <c r="S187" i="10"/>
  <c r="W187" i="10" s="1"/>
  <c r="K188" i="10"/>
  <c r="H188" i="10"/>
  <c r="T188" i="10"/>
  <c r="X188" i="10"/>
  <c r="U188" i="10"/>
  <c r="Q188" i="10"/>
  <c r="P188" i="10"/>
  <c r="N188" i="10"/>
  <c r="M188" i="10"/>
  <c r="L188" i="10"/>
  <c r="O188" i="10" s="1"/>
  <c r="V188" i="10"/>
  <c r="S188" i="10"/>
  <c r="W188" i="10" s="1"/>
  <c r="K189" i="10"/>
  <c r="H189" i="10"/>
  <c r="T189" i="10"/>
  <c r="X189" i="10"/>
  <c r="U189" i="10"/>
  <c r="Q189" i="10"/>
  <c r="P189" i="10"/>
  <c r="N189" i="10"/>
  <c r="M189" i="10"/>
  <c r="L189" i="10"/>
  <c r="O189" i="10" s="1"/>
  <c r="V189" i="10"/>
  <c r="S189" i="10"/>
  <c r="W189" i="10" s="1"/>
  <c r="K190" i="10"/>
  <c r="H190" i="10"/>
  <c r="T190" i="10"/>
  <c r="X190" i="10"/>
  <c r="U190" i="10"/>
  <c r="Q190" i="10"/>
  <c r="P190" i="10"/>
  <c r="N190" i="10"/>
  <c r="M190" i="10"/>
  <c r="L190" i="10"/>
  <c r="O190" i="10" s="1"/>
  <c r="V190" i="10"/>
  <c r="S190" i="10"/>
  <c r="W190" i="10" s="1"/>
  <c r="K191" i="10"/>
  <c r="H191" i="10"/>
  <c r="T191" i="10"/>
  <c r="X191" i="10"/>
  <c r="U191" i="10"/>
  <c r="Q191" i="10"/>
  <c r="P191" i="10"/>
  <c r="N191" i="10"/>
  <c r="M191" i="10"/>
  <c r="L191" i="10"/>
  <c r="O191" i="10" s="1"/>
  <c r="V191" i="10"/>
  <c r="S191" i="10"/>
  <c r="W191" i="10" s="1"/>
  <c r="K192" i="10"/>
  <c r="H192" i="10"/>
  <c r="T192" i="10"/>
  <c r="X192" i="10"/>
  <c r="U192" i="10"/>
  <c r="Q192" i="10"/>
  <c r="P192" i="10"/>
  <c r="N192" i="10"/>
  <c r="M192" i="10"/>
  <c r="L192" i="10"/>
  <c r="O192" i="10" s="1"/>
  <c r="V192" i="10"/>
  <c r="S192" i="10"/>
  <c r="W192" i="10" s="1"/>
  <c r="K193" i="10"/>
  <c r="H193" i="10"/>
  <c r="T193" i="10"/>
  <c r="X193" i="10"/>
  <c r="U193" i="10"/>
  <c r="Q193" i="10"/>
  <c r="P193" i="10"/>
  <c r="N193" i="10"/>
  <c r="M193" i="10"/>
  <c r="L193" i="10"/>
  <c r="O193" i="10" s="1"/>
  <c r="V193" i="10"/>
  <c r="S193" i="10"/>
  <c r="W193" i="10" s="1"/>
  <c r="K194" i="10"/>
  <c r="H194" i="10"/>
  <c r="T194" i="10"/>
  <c r="X194" i="10"/>
  <c r="U194" i="10"/>
  <c r="Q194" i="10"/>
  <c r="P194" i="10"/>
  <c r="N194" i="10"/>
  <c r="M194" i="10"/>
  <c r="L194" i="10"/>
  <c r="O194" i="10" s="1"/>
  <c r="V194" i="10"/>
  <c r="S194" i="10"/>
  <c r="W194" i="10" s="1"/>
  <c r="K195" i="10"/>
  <c r="H195" i="10"/>
  <c r="T195" i="10"/>
  <c r="X195" i="10"/>
  <c r="U195" i="10"/>
  <c r="Q195" i="10"/>
  <c r="P195" i="10"/>
  <c r="N195" i="10"/>
  <c r="M195" i="10"/>
  <c r="L195" i="10"/>
  <c r="O195" i="10" s="1"/>
  <c r="V195" i="10"/>
  <c r="S195" i="10"/>
  <c r="W195" i="10" s="1"/>
  <c r="K196" i="10"/>
  <c r="H196" i="10"/>
  <c r="T196" i="10"/>
  <c r="X196" i="10"/>
  <c r="U196" i="10"/>
  <c r="Q196" i="10"/>
  <c r="P196" i="10"/>
  <c r="N196" i="10"/>
  <c r="M196" i="10"/>
  <c r="L196" i="10"/>
  <c r="O196" i="10" s="1"/>
  <c r="V196" i="10"/>
  <c r="S196" i="10"/>
  <c r="W196" i="10" s="1"/>
  <c r="K197" i="10"/>
  <c r="H197" i="10"/>
  <c r="T197" i="10"/>
  <c r="X197" i="10"/>
  <c r="U197" i="10"/>
  <c r="Q197" i="10"/>
  <c r="P197" i="10"/>
  <c r="N197" i="10"/>
  <c r="M197" i="10"/>
  <c r="L197" i="10"/>
  <c r="O197" i="10" s="1"/>
  <c r="V197" i="10"/>
  <c r="S197" i="10"/>
  <c r="W197" i="10" s="1"/>
  <c r="K198" i="10"/>
  <c r="H198" i="10"/>
  <c r="T198" i="10"/>
  <c r="X198" i="10"/>
  <c r="U198" i="10"/>
  <c r="Q198" i="10"/>
  <c r="P198" i="10"/>
  <c r="N198" i="10"/>
  <c r="M198" i="10"/>
  <c r="L198" i="10"/>
  <c r="O198" i="10" s="1"/>
  <c r="V198" i="10"/>
  <c r="S198" i="10"/>
  <c r="W198" i="10" s="1"/>
  <c r="K199" i="10"/>
  <c r="H199" i="10"/>
  <c r="T199" i="10"/>
  <c r="X199" i="10"/>
  <c r="U199" i="10"/>
  <c r="Q199" i="10"/>
  <c r="P199" i="10"/>
  <c r="N199" i="10"/>
  <c r="M199" i="10"/>
  <c r="L199" i="10"/>
  <c r="O199" i="10" s="1"/>
  <c r="V199" i="10"/>
  <c r="S199" i="10"/>
  <c r="W199" i="10" s="1"/>
  <c r="K200" i="10"/>
  <c r="H200" i="10"/>
  <c r="T200" i="10"/>
  <c r="X200" i="10"/>
  <c r="U200" i="10"/>
  <c r="Q200" i="10"/>
  <c r="P200" i="10"/>
  <c r="N200" i="10"/>
  <c r="M200" i="10"/>
  <c r="L200" i="10"/>
  <c r="O200" i="10" s="1"/>
  <c r="V200" i="10"/>
  <c r="S200" i="10"/>
  <c r="W200" i="10" s="1"/>
  <c r="K201" i="10"/>
  <c r="H201" i="10"/>
  <c r="T201" i="10"/>
  <c r="X201" i="10"/>
  <c r="U201" i="10"/>
  <c r="Q201" i="10"/>
  <c r="P201" i="10"/>
  <c r="N201" i="10"/>
  <c r="M201" i="10"/>
  <c r="L201" i="10"/>
  <c r="O201" i="10" s="1"/>
  <c r="V201" i="10"/>
  <c r="S201" i="10"/>
  <c r="W201" i="10" s="1"/>
  <c r="K202" i="10"/>
  <c r="H202" i="10"/>
  <c r="T202" i="10"/>
  <c r="X202" i="10"/>
  <c r="U202" i="10"/>
  <c r="Q202" i="10"/>
  <c r="P202" i="10"/>
  <c r="N202" i="10"/>
  <c r="M202" i="10"/>
  <c r="L202" i="10"/>
  <c r="O202" i="10" s="1"/>
  <c r="V202" i="10"/>
  <c r="S202" i="10"/>
  <c r="W202" i="10" s="1"/>
  <c r="K203" i="10"/>
  <c r="H203" i="10"/>
  <c r="T203" i="10"/>
  <c r="X203" i="10"/>
  <c r="U203" i="10"/>
  <c r="Q203" i="10"/>
  <c r="P203" i="10"/>
  <c r="N203" i="10"/>
  <c r="M203" i="10"/>
  <c r="L203" i="10"/>
  <c r="O203" i="10" s="1"/>
  <c r="V203" i="10"/>
  <c r="S203" i="10"/>
  <c r="W203" i="10" s="1"/>
  <c r="K204" i="10"/>
  <c r="H204" i="10"/>
  <c r="T204" i="10"/>
  <c r="X204" i="10"/>
  <c r="U204" i="10"/>
  <c r="Q204" i="10"/>
  <c r="P204" i="10"/>
  <c r="N204" i="10"/>
  <c r="M204" i="10"/>
  <c r="L204" i="10"/>
  <c r="O204" i="10" s="1"/>
  <c r="V204" i="10"/>
  <c r="S204" i="10"/>
  <c r="W204" i="10" s="1"/>
  <c r="K205" i="10"/>
  <c r="H205" i="10"/>
  <c r="T205" i="10"/>
  <c r="X205" i="10"/>
  <c r="U205" i="10"/>
  <c r="Q205" i="10"/>
  <c r="P205" i="10"/>
  <c r="N205" i="10"/>
  <c r="M205" i="10"/>
  <c r="L205" i="10"/>
  <c r="O205" i="10" s="1"/>
  <c r="V205" i="10"/>
  <c r="S205" i="10"/>
  <c r="W205" i="10" s="1"/>
  <c r="K206" i="10"/>
  <c r="H206" i="10"/>
  <c r="T206" i="10"/>
  <c r="X206" i="10"/>
  <c r="U206" i="10"/>
  <c r="Q206" i="10"/>
  <c r="P206" i="10"/>
  <c r="N206" i="10"/>
  <c r="M206" i="10"/>
  <c r="L206" i="10"/>
  <c r="O206" i="10" s="1"/>
  <c r="V206" i="10"/>
  <c r="S206" i="10"/>
  <c r="W206" i="10" s="1"/>
  <c r="K207" i="10"/>
  <c r="H207" i="10"/>
  <c r="T207" i="10"/>
  <c r="X207" i="10"/>
  <c r="U207" i="10"/>
  <c r="Q207" i="10"/>
  <c r="P207" i="10"/>
  <c r="N207" i="10"/>
  <c r="M207" i="10"/>
  <c r="L207" i="10"/>
  <c r="O207" i="10" s="1"/>
  <c r="V207" i="10"/>
  <c r="S207" i="10"/>
  <c r="W207" i="10" s="1"/>
  <c r="K208" i="10"/>
  <c r="H208" i="10"/>
  <c r="T208" i="10"/>
  <c r="X208" i="10"/>
  <c r="U208" i="10"/>
  <c r="Q208" i="10"/>
  <c r="P208" i="10"/>
  <c r="N208" i="10"/>
  <c r="M208" i="10"/>
  <c r="L208" i="10"/>
  <c r="O208" i="10" s="1"/>
  <c r="V208" i="10"/>
  <c r="S208" i="10"/>
  <c r="W208" i="10" s="1"/>
  <c r="K209" i="10"/>
  <c r="H209" i="10"/>
  <c r="T209" i="10"/>
  <c r="X209" i="10"/>
  <c r="U209" i="10"/>
  <c r="Q209" i="10"/>
  <c r="P209" i="10"/>
  <c r="N209" i="10"/>
  <c r="M209" i="10"/>
  <c r="L209" i="10"/>
  <c r="O209" i="10" s="1"/>
  <c r="V209" i="10"/>
  <c r="S209" i="10"/>
  <c r="W209" i="10" s="1"/>
  <c r="K210" i="10"/>
  <c r="H210" i="10"/>
  <c r="T210" i="10"/>
  <c r="X210" i="10"/>
  <c r="U210" i="10"/>
  <c r="Q210" i="10"/>
  <c r="P210" i="10"/>
  <c r="N210" i="10"/>
  <c r="M210" i="10"/>
  <c r="L210" i="10"/>
  <c r="O210" i="10" s="1"/>
  <c r="V210" i="10"/>
  <c r="S210" i="10"/>
  <c r="W210" i="10" s="1"/>
  <c r="K211" i="10"/>
  <c r="H211" i="10"/>
  <c r="T211" i="10"/>
  <c r="X211" i="10"/>
  <c r="U211" i="10"/>
  <c r="Q211" i="10"/>
  <c r="P211" i="10"/>
  <c r="N211" i="10"/>
  <c r="M211" i="10"/>
  <c r="L211" i="10"/>
  <c r="O211" i="10" s="1"/>
  <c r="V211" i="10"/>
  <c r="S211" i="10"/>
  <c r="W211" i="10" s="1"/>
  <c r="K212" i="10"/>
  <c r="H212" i="10"/>
  <c r="T212" i="10"/>
  <c r="X212" i="10"/>
  <c r="U212" i="10"/>
  <c r="Q212" i="10"/>
  <c r="P212" i="10"/>
  <c r="N212" i="10"/>
  <c r="M212" i="10"/>
  <c r="L212" i="10"/>
  <c r="O212" i="10" s="1"/>
  <c r="V212" i="10"/>
  <c r="S212" i="10"/>
  <c r="W212" i="10" s="1"/>
  <c r="K213" i="10"/>
  <c r="H213" i="10"/>
  <c r="T213" i="10"/>
  <c r="X213" i="10"/>
  <c r="U213" i="10"/>
  <c r="Q213" i="10"/>
  <c r="P213" i="10"/>
  <c r="N213" i="10"/>
  <c r="M213" i="10"/>
  <c r="L213" i="10"/>
  <c r="O213" i="10" s="1"/>
  <c r="V213" i="10"/>
  <c r="S213" i="10"/>
  <c r="W213" i="10" s="1"/>
  <c r="K214" i="10"/>
  <c r="H214" i="10"/>
  <c r="T214" i="10"/>
  <c r="X214" i="10"/>
  <c r="U214" i="10"/>
  <c r="Q214" i="10"/>
  <c r="P214" i="10"/>
  <c r="N214" i="10"/>
  <c r="M214" i="10"/>
  <c r="L214" i="10"/>
  <c r="O214" i="10" s="1"/>
  <c r="V214" i="10"/>
  <c r="S214" i="10"/>
  <c r="W214" i="10" s="1"/>
  <c r="K215" i="10"/>
  <c r="H215" i="10"/>
  <c r="T215" i="10"/>
  <c r="X215" i="10"/>
  <c r="U215" i="10"/>
  <c r="Q215" i="10"/>
  <c r="P215" i="10"/>
  <c r="N215" i="10"/>
  <c r="M215" i="10"/>
  <c r="L215" i="10"/>
  <c r="O215" i="10" s="1"/>
  <c r="V215" i="10"/>
  <c r="S215" i="10"/>
  <c r="W215" i="10" s="1"/>
  <c r="K216" i="10"/>
  <c r="H216" i="10"/>
  <c r="T216" i="10"/>
  <c r="X216" i="10"/>
  <c r="U216" i="10"/>
  <c r="Q216" i="10"/>
  <c r="P216" i="10"/>
  <c r="N216" i="10"/>
  <c r="M216" i="10"/>
  <c r="L216" i="10"/>
  <c r="O216" i="10" s="1"/>
  <c r="V216" i="10"/>
  <c r="S216" i="10"/>
  <c r="W216" i="10" s="1"/>
  <c r="K217" i="10"/>
  <c r="H217" i="10"/>
  <c r="T217" i="10"/>
  <c r="X217" i="10"/>
  <c r="U217" i="10"/>
  <c r="Q217" i="10"/>
  <c r="P217" i="10"/>
  <c r="N217" i="10"/>
  <c r="M217" i="10"/>
  <c r="L217" i="10"/>
  <c r="O217" i="10" s="1"/>
  <c r="V217" i="10"/>
  <c r="S217" i="10"/>
  <c r="W217" i="10" s="1"/>
  <c r="K218" i="10"/>
  <c r="H218" i="10"/>
  <c r="T218" i="10"/>
  <c r="X218" i="10"/>
  <c r="U218" i="10"/>
  <c r="Q218" i="10"/>
  <c r="P218" i="10"/>
  <c r="N218" i="10"/>
  <c r="M218" i="10"/>
  <c r="L218" i="10"/>
  <c r="O218" i="10" s="1"/>
  <c r="V218" i="10"/>
  <c r="S218" i="10"/>
  <c r="W218" i="10" s="1"/>
  <c r="K219" i="10"/>
  <c r="H219" i="10"/>
  <c r="T219" i="10"/>
  <c r="X219" i="10"/>
  <c r="U219" i="10"/>
  <c r="Q219" i="10"/>
  <c r="P219" i="10"/>
  <c r="N219" i="10"/>
  <c r="M219" i="10"/>
  <c r="L219" i="10"/>
  <c r="O219" i="10" s="1"/>
  <c r="V219" i="10"/>
  <c r="S219" i="10"/>
  <c r="W219" i="10" s="1"/>
  <c r="K220" i="10"/>
  <c r="H220" i="10"/>
  <c r="T220" i="10"/>
  <c r="X220" i="10"/>
  <c r="U220" i="10"/>
  <c r="Q220" i="10"/>
  <c r="P220" i="10"/>
  <c r="N220" i="10"/>
  <c r="M220" i="10"/>
  <c r="L220" i="10"/>
  <c r="O220" i="10" s="1"/>
  <c r="V220" i="10"/>
  <c r="S220" i="10"/>
  <c r="W220" i="10" s="1"/>
  <c r="K221" i="10"/>
  <c r="H221" i="10"/>
  <c r="T221" i="10"/>
  <c r="X221" i="10"/>
  <c r="U221" i="10"/>
  <c r="Q221" i="10"/>
  <c r="P221" i="10"/>
  <c r="N221" i="10"/>
  <c r="M221" i="10"/>
  <c r="L221" i="10"/>
  <c r="O221" i="10" s="1"/>
  <c r="V221" i="10"/>
  <c r="S221" i="10"/>
  <c r="W221" i="10" s="1"/>
  <c r="K222" i="10"/>
  <c r="H222" i="10"/>
  <c r="T222" i="10"/>
  <c r="X222" i="10"/>
  <c r="U222" i="10"/>
  <c r="Q222" i="10"/>
  <c r="P222" i="10"/>
  <c r="N222" i="10"/>
  <c r="M222" i="10"/>
  <c r="L222" i="10"/>
  <c r="O222" i="10" s="1"/>
  <c r="V222" i="10"/>
  <c r="S222" i="10"/>
  <c r="W222" i="10" s="1"/>
  <c r="K223" i="10"/>
  <c r="H223" i="10"/>
  <c r="T223" i="10"/>
  <c r="X223" i="10"/>
  <c r="U223" i="10"/>
  <c r="Q223" i="10"/>
  <c r="P223" i="10"/>
  <c r="N223" i="10"/>
  <c r="M223" i="10"/>
  <c r="L223" i="10"/>
  <c r="O223" i="10" s="1"/>
  <c r="V223" i="10"/>
  <c r="S223" i="10"/>
  <c r="W223" i="10" s="1"/>
  <c r="K224" i="10"/>
  <c r="H224" i="10"/>
  <c r="T224" i="10"/>
  <c r="X224" i="10"/>
  <c r="U224" i="10"/>
  <c r="Q224" i="10"/>
  <c r="P224" i="10"/>
  <c r="N224" i="10"/>
  <c r="M224" i="10"/>
  <c r="L224" i="10"/>
  <c r="O224" i="10" s="1"/>
  <c r="V224" i="10"/>
  <c r="S224" i="10"/>
  <c r="W224" i="10" s="1"/>
  <c r="K225" i="10"/>
  <c r="H225" i="10"/>
  <c r="T225" i="10"/>
  <c r="X225" i="10"/>
  <c r="U225" i="10"/>
  <c r="Q225" i="10"/>
  <c r="P225" i="10"/>
  <c r="N225" i="10"/>
  <c r="M225" i="10"/>
  <c r="L225" i="10"/>
  <c r="O225" i="10" s="1"/>
  <c r="V225" i="10"/>
  <c r="S225" i="10"/>
  <c r="W225" i="10" s="1"/>
  <c r="K226" i="10"/>
  <c r="H226" i="10"/>
  <c r="T226" i="10"/>
  <c r="X226" i="10"/>
  <c r="U226" i="10"/>
  <c r="Q226" i="10"/>
  <c r="P226" i="10"/>
  <c r="N226" i="10"/>
  <c r="M226" i="10"/>
  <c r="L226" i="10"/>
  <c r="O226" i="10" s="1"/>
  <c r="V226" i="10"/>
  <c r="S226" i="10"/>
  <c r="W226" i="10" s="1"/>
  <c r="K227" i="10"/>
  <c r="H227" i="10"/>
  <c r="T227" i="10"/>
  <c r="X227" i="10"/>
  <c r="U227" i="10"/>
  <c r="Q227" i="10"/>
  <c r="P227" i="10"/>
  <c r="N227" i="10"/>
  <c r="M227" i="10"/>
  <c r="L227" i="10"/>
  <c r="O227" i="10" s="1"/>
  <c r="V227" i="10"/>
  <c r="S227" i="10"/>
  <c r="W227" i="10" s="1"/>
  <c r="K228" i="10"/>
  <c r="H228" i="10"/>
  <c r="T228" i="10"/>
  <c r="X228" i="10"/>
  <c r="U228" i="10"/>
  <c r="Q228" i="10"/>
  <c r="P228" i="10"/>
  <c r="N228" i="10"/>
  <c r="M228" i="10"/>
  <c r="L228" i="10"/>
  <c r="O228" i="10" s="1"/>
  <c r="V228" i="10"/>
  <c r="S228" i="10"/>
  <c r="W228" i="10" s="1"/>
  <c r="K229" i="10"/>
  <c r="H229" i="10"/>
  <c r="T229" i="10"/>
  <c r="X229" i="10"/>
  <c r="U229" i="10"/>
  <c r="Q229" i="10"/>
  <c r="P229" i="10"/>
  <c r="N229" i="10"/>
  <c r="M229" i="10"/>
  <c r="L229" i="10"/>
  <c r="O229" i="10" s="1"/>
  <c r="V229" i="10"/>
  <c r="S229" i="10"/>
  <c r="W229" i="10" s="1"/>
  <c r="K230" i="10"/>
  <c r="H230" i="10"/>
  <c r="T230" i="10"/>
  <c r="X230" i="10"/>
  <c r="U230" i="10"/>
  <c r="Q230" i="10"/>
  <c r="P230" i="10"/>
  <c r="N230" i="10"/>
  <c r="M230" i="10"/>
  <c r="L230" i="10"/>
  <c r="O230" i="10" s="1"/>
  <c r="V230" i="10"/>
  <c r="S230" i="10"/>
  <c r="W230" i="10" s="1"/>
  <c r="K231" i="10"/>
  <c r="H231" i="10"/>
  <c r="T231" i="10"/>
  <c r="X231" i="10"/>
  <c r="U231" i="10"/>
  <c r="Q231" i="10"/>
  <c r="P231" i="10"/>
  <c r="N231" i="10"/>
  <c r="M231" i="10"/>
  <c r="L231" i="10"/>
  <c r="O231" i="10" s="1"/>
  <c r="V231" i="10"/>
  <c r="S231" i="10"/>
  <c r="W231" i="10" s="1"/>
  <c r="K232" i="10"/>
  <c r="H232" i="10"/>
  <c r="T232" i="10"/>
  <c r="X232" i="10"/>
  <c r="U232" i="10"/>
  <c r="Q232" i="10"/>
  <c r="P232" i="10"/>
  <c r="N232" i="10"/>
  <c r="M232" i="10"/>
  <c r="L232" i="10"/>
  <c r="O232" i="10" s="1"/>
  <c r="V232" i="10"/>
  <c r="S232" i="10"/>
  <c r="W232" i="10" s="1"/>
  <c r="K233" i="10"/>
  <c r="H233" i="10"/>
  <c r="T233" i="10"/>
  <c r="X233" i="10"/>
  <c r="U233" i="10"/>
  <c r="Q233" i="10"/>
  <c r="P233" i="10"/>
  <c r="N233" i="10"/>
  <c r="M233" i="10"/>
  <c r="L233" i="10"/>
  <c r="O233" i="10" s="1"/>
  <c r="V233" i="10"/>
  <c r="S233" i="10"/>
  <c r="W233" i="10" s="1"/>
  <c r="K234" i="10"/>
  <c r="H234" i="10"/>
  <c r="T234" i="10"/>
  <c r="X234" i="10"/>
  <c r="U234" i="10"/>
  <c r="Q234" i="10"/>
  <c r="P234" i="10"/>
  <c r="N234" i="10"/>
  <c r="M234" i="10"/>
  <c r="L234" i="10"/>
  <c r="O234" i="10" s="1"/>
  <c r="V234" i="10"/>
  <c r="S234" i="10"/>
  <c r="W234" i="10" s="1"/>
  <c r="K235" i="10"/>
  <c r="H235" i="10"/>
  <c r="T235" i="10"/>
  <c r="X235" i="10"/>
  <c r="U235" i="10"/>
  <c r="Q235" i="10"/>
  <c r="P235" i="10"/>
  <c r="N235" i="10"/>
  <c r="M235" i="10"/>
  <c r="L235" i="10"/>
  <c r="O235" i="10" s="1"/>
  <c r="V235" i="10"/>
  <c r="S235" i="10"/>
  <c r="W235" i="10" s="1"/>
  <c r="K236" i="10"/>
  <c r="H236" i="10"/>
  <c r="T236" i="10"/>
  <c r="X236" i="10"/>
  <c r="U236" i="10"/>
  <c r="Q236" i="10"/>
  <c r="P236" i="10"/>
  <c r="N236" i="10"/>
  <c r="M236" i="10"/>
  <c r="L236" i="10"/>
  <c r="O236" i="10" s="1"/>
  <c r="V236" i="10"/>
  <c r="S236" i="10"/>
  <c r="W236" i="10" s="1"/>
  <c r="K237" i="10"/>
  <c r="H237" i="10"/>
  <c r="T237" i="10"/>
  <c r="X237" i="10"/>
  <c r="U237" i="10"/>
  <c r="Q237" i="10"/>
  <c r="P237" i="10"/>
  <c r="N237" i="10"/>
  <c r="M237" i="10"/>
  <c r="L237" i="10"/>
  <c r="O237" i="10" s="1"/>
  <c r="V237" i="10"/>
  <c r="S237" i="10"/>
  <c r="W237" i="10" s="1"/>
  <c r="K238" i="10"/>
  <c r="H238" i="10"/>
  <c r="T238" i="10"/>
  <c r="X238" i="10"/>
  <c r="U238" i="10"/>
  <c r="Q238" i="10"/>
  <c r="P238" i="10"/>
  <c r="N238" i="10"/>
  <c r="M238" i="10"/>
  <c r="L238" i="10"/>
  <c r="O238" i="10" s="1"/>
  <c r="V238" i="10"/>
  <c r="S238" i="10"/>
  <c r="W238" i="10" s="1"/>
  <c r="K239" i="10"/>
  <c r="H239" i="10"/>
  <c r="T239" i="10"/>
  <c r="X239" i="10"/>
  <c r="U239" i="10"/>
  <c r="Q239" i="10"/>
  <c r="P239" i="10"/>
  <c r="N239" i="10"/>
  <c r="M239" i="10"/>
  <c r="L239" i="10"/>
  <c r="O239" i="10" s="1"/>
  <c r="V239" i="10"/>
  <c r="S239" i="10"/>
  <c r="W239" i="10" s="1"/>
  <c r="K240" i="10"/>
  <c r="H240" i="10"/>
  <c r="T240" i="10"/>
  <c r="X240" i="10"/>
  <c r="U240" i="10"/>
  <c r="Q240" i="10"/>
  <c r="P240" i="10"/>
  <c r="N240" i="10"/>
  <c r="M240" i="10"/>
  <c r="L240" i="10"/>
  <c r="O240" i="10" s="1"/>
  <c r="V240" i="10"/>
  <c r="S240" i="10"/>
  <c r="W240" i="10" s="1"/>
  <c r="K241" i="10"/>
  <c r="H241" i="10"/>
  <c r="T241" i="10"/>
  <c r="X241" i="10"/>
  <c r="U241" i="10"/>
  <c r="Q241" i="10"/>
  <c r="P241" i="10"/>
  <c r="N241" i="10"/>
  <c r="M241" i="10"/>
  <c r="L241" i="10"/>
  <c r="O241" i="10" s="1"/>
  <c r="V241" i="10"/>
  <c r="S241" i="10"/>
  <c r="W241" i="10" s="1"/>
  <c r="K242" i="10"/>
  <c r="H242" i="10"/>
  <c r="T242" i="10"/>
  <c r="X242" i="10"/>
  <c r="U242" i="10"/>
  <c r="Q242" i="10"/>
  <c r="P242" i="10"/>
  <c r="N242" i="10"/>
  <c r="M242" i="10"/>
  <c r="L242" i="10"/>
  <c r="O242" i="10" s="1"/>
  <c r="V242" i="10"/>
  <c r="S242" i="10"/>
  <c r="W242" i="10" s="1"/>
  <c r="K243" i="10"/>
  <c r="H243" i="10"/>
  <c r="T243" i="10"/>
  <c r="X243" i="10"/>
  <c r="U243" i="10"/>
  <c r="Q243" i="10"/>
  <c r="P243" i="10"/>
  <c r="N243" i="10"/>
  <c r="M243" i="10"/>
  <c r="L243" i="10"/>
  <c r="O243" i="10" s="1"/>
  <c r="V243" i="10"/>
  <c r="S243" i="10"/>
  <c r="W243" i="10" s="1"/>
  <c r="K244" i="10"/>
  <c r="H244" i="10"/>
  <c r="T244" i="10"/>
  <c r="X244" i="10"/>
  <c r="U244" i="10"/>
  <c r="Q244" i="10"/>
  <c r="P244" i="10"/>
  <c r="N244" i="10"/>
  <c r="M244" i="10"/>
  <c r="L244" i="10"/>
  <c r="O244" i="10" s="1"/>
  <c r="V244" i="10"/>
  <c r="S244" i="10"/>
  <c r="W244" i="10" s="1"/>
  <c r="K245" i="10"/>
  <c r="H245" i="10"/>
  <c r="T245" i="10"/>
  <c r="X245" i="10"/>
  <c r="U245" i="10"/>
  <c r="Q245" i="10"/>
  <c r="P245" i="10"/>
  <c r="N245" i="10"/>
  <c r="M245" i="10"/>
  <c r="L245" i="10"/>
  <c r="O245" i="10" s="1"/>
  <c r="V245" i="10"/>
  <c r="S245" i="10"/>
  <c r="W245" i="10" s="1"/>
  <c r="K246" i="10"/>
  <c r="H246" i="10"/>
  <c r="T246" i="10"/>
  <c r="X246" i="10"/>
  <c r="U246" i="10"/>
  <c r="Q246" i="10"/>
  <c r="P246" i="10"/>
  <c r="N246" i="10"/>
  <c r="M246" i="10"/>
  <c r="L246" i="10"/>
  <c r="O246" i="10" s="1"/>
  <c r="V246" i="10"/>
  <c r="S246" i="10"/>
  <c r="W246" i="10" s="1"/>
  <c r="K247" i="10"/>
  <c r="H247" i="10"/>
  <c r="T247" i="10"/>
  <c r="X247" i="10"/>
  <c r="U247" i="10"/>
  <c r="Q247" i="10"/>
  <c r="P247" i="10"/>
  <c r="N247" i="10"/>
  <c r="M247" i="10"/>
  <c r="L247" i="10"/>
  <c r="O247" i="10" s="1"/>
  <c r="V247" i="10"/>
  <c r="S247" i="10"/>
  <c r="W247" i="10" s="1"/>
  <c r="K248" i="10"/>
  <c r="H248" i="10"/>
  <c r="T248" i="10"/>
  <c r="X248" i="10"/>
  <c r="U248" i="10"/>
  <c r="Q248" i="10"/>
  <c r="P248" i="10"/>
  <c r="N248" i="10"/>
  <c r="M248" i="10"/>
  <c r="L248" i="10"/>
  <c r="O248" i="10" s="1"/>
  <c r="V248" i="10"/>
  <c r="S248" i="10"/>
  <c r="W248" i="10" s="1"/>
  <c r="K249" i="10"/>
  <c r="H249" i="10"/>
  <c r="T249" i="10"/>
  <c r="X249" i="10"/>
  <c r="U249" i="10"/>
  <c r="Q249" i="10"/>
  <c r="P249" i="10"/>
  <c r="N249" i="10"/>
  <c r="M249" i="10"/>
  <c r="L249" i="10"/>
  <c r="O249" i="10" s="1"/>
  <c r="V249" i="10"/>
  <c r="S249" i="10"/>
  <c r="W249" i="10" s="1"/>
  <c r="K250" i="10"/>
  <c r="H250" i="10"/>
  <c r="T250" i="10"/>
  <c r="X250" i="10"/>
  <c r="U250" i="10"/>
  <c r="Q250" i="10"/>
  <c r="P250" i="10"/>
  <c r="N250" i="10"/>
  <c r="M250" i="10"/>
  <c r="L250" i="10"/>
  <c r="O250" i="10" s="1"/>
  <c r="V250" i="10"/>
  <c r="S250" i="10"/>
  <c r="W250" i="10" s="1"/>
  <c r="K141" i="8"/>
  <c r="H141" i="8"/>
  <c r="T141" i="8"/>
  <c r="X141" i="8"/>
  <c r="U141" i="8"/>
  <c r="Q141" i="8"/>
  <c r="P141" i="8"/>
  <c r="N141" i="8"/>
  <c r="M141" i="8"/>
  <c r="O141" i="8" s="1"/>
  <c r="L141" i="8"/>
  <c r="V141" i="8"/>
  <c r="S141" i="8"/>
  <c r="W141" i="8" s="1"/>
  <c r="K142" i="8"/>
  <c r="H142" i="8"/>
  <c r="T142" i="8"/>
  <c r="X142" i="8"/>
  <c r="U142" i="8"/>
  <c r="Q142" i="8"/>
  <c r="P142" i="8"/>
  <c r="N142" i="8"/>
  <c r="M142" i="8"/>
  <c r="O142" i="8" s="1"/>
  <c r="L142" i="8"/>
  <c r="V142" i="8"/>
  <c r="S142" i="8"/>
  <c r="W142" i="8" s="1"/>
  <c r="K144" i="8"/>
  <c r="H144" i="8"/>
  <c r="T144" i="8"/>
  <c r="X144" i="8"/>
  <c r="U144" i="8"/>
  <c r="Q144" i="8"/>
  <c r="P144" i="8"/>
  <c r="N144" i="8"/>
  <c r="M144" i="8"/>
  <c r="O144" i="8" s="1"/>
  <c r="L144" i="8"/>
  <c r="V144" i="8"/>
  <c r="S144" i="8"/>
  <c r="W144" i="8" s="1"/>
  <c r="K148" i="8"/>
  <c r="H148" i="8"/>
  <c r="T148" i="8"/>
  <c r="X148" i="8"/>
  <c r="U148" i="8"/>
  <c r="Q148" i="8"/>
  <c r="P148" i="8"/>
  <c r="N148" i="8"/>
  <c r="M148" i="8"/>
  <c r="O148" i="8" s="1"/>
  <c r="L148" i="8"/>
  <c r="V148" i="8"/>
  <c r="S148" i="8"/>
  <c r="W148" i="8" s="1"/>
  <c r="T6" i="8"/>
  <c r="U6" i="8"/>
  <c r="Q6" i="8"/>
  <c r="P6" i="8"/>
  <c r="N6" i="8"/>
  <c r="V6" i="8"/>
  <c r="S6" i="8"/>
  <c r="W6" i="8" s="1"/>
  <c r="K11" i="8"/>
  <c r="H11" i="8"/>
  <c r="T11" i="8"/>
  <c r="U11" i="8"/>
  <c r="Q11" i="8"/>
  <c r="P11" i="8"/>
  <c r="N11" i="8"/>
  <c r="M11" i="8"/>
  <c r="O11" i="8" s="1"/>
  <c r="L11" i="8"/>
  <c r="S11" i="8"/>
  <c r="W11" i="8" s="1"/>
  <c r="K17" i="8"/>
  <c r="H17" i="8"/>
  <c r="T17" i="8"/>
  <c r="X17" i="8"/>
  <c r="U17" i="8"/>
  <c r="Q17" i="8"/>
  <c r="P17" i="8"/>
  <c r="N17" i="8"/>
  <c r="M17" i="8"/>
  <c r="O17" i="8" s="1"/>
  <c r="L17" i="8"/>
  <c r="V17" i="8"/>
  <c r="S17" i="8"/>
  <c r="W17" i="8" s="1"/>
  <c r="K146" i="8"/>
  <c r="H146" i="8"/>
  <c r="T146" i="8"/>
  <c r="X146" i="8"/>
  <c r="U146" i="8"/>
  <c r="Q146" i="8"/>
  <c r="P146" i="8"/>
  <c r="N146" i="8"/>
  <c r="M146" i="8"/>
  <c r="O146" i="8" s="1"/>
  <c r="L146" i="8"/>
  <c r="V146" i="8"/>
  <c r="S146" i="8"/>
  <c r="W146" i="8" s="1"/>
  <c r="K150" i="8"/>
  <c r="H150" i="8"/>
  <c r="T150" i="8"/>
  <c r="X150" i="8"/>
  <c r="U150" i="8"/>
  <c r="Q150" i="8"/>
  <c r="P150" i="8"/>
  <c r="N150" i="8"/>
  <c r="M150" i="8"/>
  <c r="O150" i="8" s="1"/>
  <c r="L150" i="8"/>
  <c r="V150" i="8"/>
  <c r="S150" i="8"/>
  <c r="W150" i="8" s="1"/>
  <c r="K153" i="8"/>
  <c r="H153" i="8"/>
  <c r="T153" i="8"/>
  <c r="X153" i="8"/>
  <c r="U153" i="8"/>
  <c r="Q153" i="8"/>
  <c r="P153" i="8"/>
  <c r="N153" i="8"/>
  <c r="M153" i="8"/>
  <c r="O153" i="8" s="1"/>
  <c r="L153" i="8"/>
  <c r="V153" i="8"/>
  <c r="S153" i="8"/>
  <c r="W153" i="8" s="1"/>
  <c r="K156" i="8"/>
  <c r="H156" i="8"/>
  <c r="T156" i="8"/>
  <c r="X156" i="8"/>
  <c r="U156" i="8"/>
  <c r="Q156" i="8"/>
  <c r="P156" i="8"/>
  <c r="N156" i="8"/>
  <c r="M156" i="8"/>
  <c r="O156" i="8" s="1"/>
  <c r="L156" i="8"/>
  <c r="V156" i="8"/>
  <c r="S156" i="8"/>
  <c r="W156" i="8" s="1"/>
  <c r="K20" i="8"/>
  <c r="H20" i="8"/>
  <c r="T20" i="8"/>
  <c r="X20" i="8"/>
  <c r="U20" i="8"/>
  <c r="Q20" i="8"/>
  <c r="P20" i="8"/>
  <c r="N20" i="8"/>
  <c r="M20" i="8"/>
  <c r="O20" i="8" s="1"/>
  <c r="L20" i="8"/>
  <c r="V20" i="8"/>
  <c r="S20" i="8"/>
  <c r="W20" i="8" s="1"/>
  <c r="K30" i="8"/>
  <c r="H30" i="8"/>
  <c r="T30" i="8"/>
  <c r="X30" i="8"/>
  <c r="U30" i="8"/>
  <c r="Q30" i="8"/>
  <c r="P30" i="8"/>
  <c r="N30" i="8"/>
  <c r="M30" i="8"/>
  <c r="O30" i="8" s="1"/>
  <c r="L30" i="8"/>
  <c r="V30" i="8"/>
  <c r="S30" i="8"/>
  <c r="W30" i="8" s="1"/>
  <c r="K39" i="8"/>
  <c r="H39" i="8"/>
  <c r="T39" i="8"/>
  <c r="X39" i="8"/>
  <c r="U39" i="8"/>
  <c r="Q39" i="8"/>
  <c r="P39" i="8"/>
  <c r="N39" i="8"/>
  <c r="M39" i="8"/>
  <c r="O39" i="8" s="1"/>
  <c r="L39" i="8"/>
  <c r="V39" i="8"/>
  <c r="S39" i="8"/>
  <c r="W39" i="8" s="1"/>
  <c r="K158" i="8"/>
  <c r="H158" i="8"/>
  <c r="T158" i="8"/>
  <c r="X158" i="8"/>
  <c r="U158" i="8"/>
  <c r="Q158" i="8"/>
  <c r="P158" i="8"/>
  <c r="N158" i="8"/>
  <c r="M158" i="8"/>
  <c r="O158" i="8" s="1"/>
  <c r="L158" i="8"/>
  <c r="V158" i="8"/>
  <c r="S158" i="8"/>
  <c r="W158" i="8" s="1"/>
  <c r="K160" i="8"/>
  <c r="H160" i="8"/>
  <c r="T160" i="8"/>
  <c r="X160" i="8"/>
  <c r="U160" i="8"/>
  <c r="Q160" i="8"/>
  <c r="P160" i="8"/>
  <c r="N160" i="8"/>
  <c r="M160" i="8"/>
  <c r="O160" i="8" s="1"/>
  <c r="L160" i="8"/>
  <c r="V160" i="8"/>
  <c r="S160" i="8"/>
  <c r="W160" i="8" s="1"/>
  <c r="K162" i="8"/>
  <c r="H162" i="8"/>
  <c r="T162" i="8"/>
  <c r="X162" i="8"/>
  <c r="U162" i="8"/>
  <c r="Q162" i="8"/>
  <c r="P162" i="8"/>
  <c r="N162" i="8"/>
  <c r="M162" i="8"/>
  <c r="O162" i="8" s="1"/>
  <c r="L162" i="8"/>
  <c r="V162" i="8"/>
  <c r="S162" i="8"/>
  <c r="W162" i="8" s="1"/>
  <c r="K165" i="8"/>
  <c r="H165" i="8"/>
  <c r="T165" i="8"/>
  <c r="X165" i="8"/>
  <c r="U165" i="8"/>
  <c r="Q165" i="8"/>
  <c r="P165" i="8"/>
  <c r="N165" i="8"/>
  <c r="M165" i="8"/>
  <c r="O165" i="8" s="1"/>
  <c r="L165" i="8"/>
  <c r="V165" i="8"/>
  <c r="S165" i="8"/>
  <c r="W165" i="8" s="1"/>
  <c r="K48" i="8"/>
  <c r="H48" i="8"/>
  <c r="T48" i="8"/>
  <c r="X48" i="8"/>
  <c r="U48" i="8"/>
  <c r="Q48" i="8"/>
  <c r="P48" i="8"/>
  <c r="N48" i="8"/>
  <c r="M48" i="8"/>
  <c r="O48" i="8" s="1"/>
  <c r="L48" i="8"/>
  <c r="V48" i="8"/>
  <c r="S48" i="8"/>
  <c r="W48" i="8" s="1"/>
  <c r="K58" i="8"/>
  <c r="H58" i="8"/>
  <c r="T58" i="8"/>
  <c r="X58" i="8"/>
  <c r="U58" i="8"/>
  <c r="Q58" i="8"/>
  <c r="P58" i="8"/>
  <c r="N58" i="8"/>
  <c r="M58" i="8"/>
  <c r="O58" i="8" s="1"/>
  <c r="L58" i="8"/>
  <c r="V58" i="8"/>
  <c r="S58" i="8"/>
  <c r="W58" i="8" s="1"/>
  <c r="K69" i="8"/>
  <c r="H69" i="8"/>
  <c r="T69" i="8"/>
  <c r="X69" i="8"/>
  <c r="U69" i="8"/>
  <c r="Q69" i="8"/>
  <c r="P69" i="8"/>
  <c r="N69" i="8"/>
  <c r="M69" i="8"/>
  <c r="O69" i="8" s="1"/>
  <c r="L69" i="8"/>
  <c r="V69" i="8"/>
  <c r="S69" i="8"/>
  <c r="W69" i="8" s="1"/>
  <c r="K168" i="8"/>
  <c r="H168" i="8"/>
  <c r="T168" i="8"/>
  <c r="X168" i="8"/>
  <c r="U168" i="8"/>
  <c r="Q168" i="8"/>
  <c r="P168" i="8"/>
  <c r="N168" i="8"/>
  <c r="M168" i="8"/>
  <c r="O168" i="8" s="1"/>
  <c r="L168" i="8"/>
  <c r="V168" i="8"/>
  <c r="S168" i="8"/>
  <c r="W168" i="8" s="1"/>
  <c r="K170" i="8"/>
  <c r="H170" i="8"/>
  <c r="T170" i="8"/>
  <c r="X170" i="8"/>
  <c r="U170" i="8"/>
  <c r="Q170" i="8"/>
  <c r="P170" i="8"/>
  <c r="N170" i="8"/>
  <c r="M170" i="8"/>
  <c r="O170" i="8" s="1"/>
  <c r="L170" i="8"/>
  <c r="V170" i="8"/>
  <c r="S170" i="8"/>
  <c r="W170" i="8" s="1"/>
  <c r="K175" i="8"/>
  <c r="H175" i="8"/>
  <c r="T175" i="8"/>
  <c r="X175" i="8"/>
  <c r="U175" i="8"/>
  <c r="Q175" i="8"/>
  <c r="P175" i="8"/>
  <c r="N175" i="8"/>
  <c r="M175" i="8"/>
  <c r="O175" i="8" s="1"/>
  <c r="L175" i="8"/>
  <c r="V175" i="8"/>
  <c r="S175" i="8"/>
  <c r="W175" i="8" s="1"/>
  <c r="K181" i="8"/>
  <c r="H181" i="8"/>
  <c r="T181" i="8"/>
  <c r="X181" i="8"/>
  <c r="U181" i="8"/>
  <c r="Q181" i="8"/>
  <c r="P181" i="8"/>
  <c r="N181" i="8"/>
  <c r="M181" i="8"/>
  <c r="O181" i="8" s="1"/>
  <c r="L181" i="8"/>
  <c r="V181" i="8"/>
  <c r="S181" i="8"/>
  <c r="W181" i="8" s="1"/>
  <c r="K79" i="8"/>
  <c r="H79" i="8"/>
  <c r="T79" i="8"/>
  <c r="X79" i="8"/>
  <c r="U79" i="8"/>
  <c r="Q79" i="8"/>
  <c r="P79" i="8"/>
  <c r="N79" i="8"/>
  <c r="M79" i="8"/>
  <c r="O79" i="8" s="1"/>
  <c r="L79" i="8"/>
  <c r="V79" i="8"/>
  <c r="S79" i="8"/>
  <c r="W79" i="8" s="1"/>
  <c r="K88" i="8"/>
  <c r="H88" i="8"/>
  <c r="T88" i="8"/>
  <c r="X88" i="8"/>
  <c r="U88" i="8"/>
  <c r="Q88" i="8"/>
  <c r="P88" i="8"/>
  <c r="N88" i="8"/>
  <c r="M88" i="8"/>
  <c r="O88" i="8" s="1"/>
  <c r="L88" i="8"/>
  <c r="V88" i="8"/>
  <c r="S88" i="8"/>
  <c r="W88" i="8" s="1"/>
  <c r="K98" i="8"/>
  <c r="H98" i="8"/>
  <c r="T98" i="8"/>
  <c r="X98" i="8"/>
  <c r="U98" i="8"/>
  <c r="Q98" i="8"/>
  <c r="P98" i="8"/>
  <c r="N98" i="8"/>
  <c r="M98" i="8"/>
  <c r="O98" i="8" s="1"/>
  <c r="L98" i="8"/>
  <c r="V98" i="8"/>
  <c r="S98" i="8"/>
  <c r="W98" i="8" s="1"/>
  <c r="K198" i="8"/>
  <c r="H198" i="8"/>
  <c r="T198" i="8"/>
  <c r="X198" i="8"/>
  <c r="U198" i="8"/>
  <c r="Q198" i="8"/>
  <c r="P198" i="8"/>
  <c r="N198" i="8"/>
  <c r="M198" i="8"/>
  <c r="O198" i="8" s="1"/>
  <c r="L198" i="8"/>
  <c r="V198" i="8"/>
  <c r="S198" i="8"/>
  <c r="W198" i="8" s="1"/>
  <c r="K200" i="8"/>
  <c r="H200" i="8"/>
  <c r="T200" i="8"/>
  <c r="X200" i="8"/>
  <c r="U200" i="8"/>
  <c r="Q200" i="8"/>
  <c r="P200" i="8"/>
  <c r="N200" i="8"/>
  <c r="M200" i="8"/>
  <c r="O200" i="8" s="1"/>
  <c r="L200" i="8"/>
  <c r="V200" i="8"/>
  <c r="S200" i="8"/>
  <c r="W200" i="8" s="1"/>
  <c r="K208" i="8"/>
  <c r="H208" i="8"/>
  <c r="T208" i="8"/>
  <c r="X208" i="8"/>
  <c r="U208" i="8"/>
  <c r="Q208" i="8"/>
  <c r="P208" i="8"/>
  <c r="N208" i="8"/>
  <c r="M208" i="8"/>
  <c r="O208" i="8" s="1"/>
  <c r="L208" i="8"/>
  <c r="V208" i="8"/>
  <c r="S208" i="8"/>
  <c r="W208" i="8" s="1"/>
  <c r="K215" i="8"/>
  <c r="H215" i="8"/>
  <c r="T215" i="8"/>
  <c r="X215" i="8"/>
  <c r="U215" i="8"/>
  <c r="Q215" i="8"/>
  <c r="P215" i="8"/>
  <c r="N215" i="8"/>
  <c r="M215" i="8"/>
  <c r="O215" i="8" s="1"/>
  <c r="L215" i="8"/>
  <c r="V215" i="8"/>
  <c r="S215" i="8"/>
  <c r="W215" i="8" s="1"/>
  <c r="K114" i="8"/>
  <c r="H114" i="8"/>
  <c r="T114" i="8"/>
  <c r="X114" i="8"/>
  <c r="U114" i="8"/>
  <c r="Q114" i="8"/>
  <c r="P114" i="8"/>
  <c r="N114" i="8"/>
  <c r="M114" i="8"/>
  <c r="O114" i="8" s="1"/>
  <c r="L114" i="8"/>
  <c r="V114" i="8"/>
  <c r="S114" i="8"/>
  <c r="W114" i="8" s="1"/>
  <c r="K119" i="8"/>
  <c r="H119" i="8"/>
  <c r="T119" i="8"/>
  <c r="X119" i="8"/>
  <c r="U119" i="8"/>
  <c r="Q119" i="8"/>
  <c r="P119" i="8"/>
  <c r="N119" i="8"/>
  <c r="M119" i="8"/>
  <c r="O119" i="8" s="1"/>
  <c r="L119" i="8"/>
  <c r="V119" i="8"/>
  <c r="S119" i="8"/>
  <c r="W119" i="8" s="1"/>
  <c r="K125" i="8"/>
  <c r="H125" i="8"/>
  <c r="T125" i="8"/>
  <c r="X125" i="8"/>
  <c r="U125" i="8"/>
  <c r="Q125" i="8"/>
  <c r="P125" i="8"/>
  <c r="N125" i="8"/>
  <c r="M125" i="8"/>
  <c r="O125" i="8" s="1"/>
  <c r="L125" i="8"/>
  <c r="V125" i="8"/>
  <c r="S125" i="8"/>
  <c r="W125" i="8" s="1"/>
  <c r="K143" i="8"/>
  <c r="H143" i="8"/>
  <c r="T143" i="8"/>
  <c r="X143" i="8"/>
  <c r="U143" i="8"/>
  <c r="Q143" i="8"/>
  <c r="P143" i="8"/>
  <c r="N143" i="8"/>
  <c r="M143" i="8"/>
  <c r="O143" i="8" s="1"/>
  <c r="L143" i="8"/>
  <c r="V143" i="8"/>
  <c r="S143" i="8"/>
  <c r="W143" i="8" s="1"/>
  <c r="K145" i="8"/>
  <c r="H145" i="8"/>
  <c r="T145" i="8"/>
  <c r="X145" i="8"/>
  <c r="U145" i="8"/>
  <c r="Q145" i="8"/>
  <c r="P145" i="8"/>
  <c r="N145" i="8"/>
  <c r="M145" i="8"/>
  <c r="O145" i="8" s="1"/>
  <c r="L145" i="8"/>
  <c r="V145" i="8"/>
  <c r="S145" i="8"/>
  <c r="W145" i="8" s="1"/>
  <c r="K149" i="8"/>
  <c r="H149" i="8"/>
  <c r="T149" i="8"/>
  <c r="X149" i="8"/>
  <c r="U149" i="8"/>
  <c r="Q149" i="8"/>
  <c r="P149" i="8"/>
  <c r="N149" i="8"/>
  <c r="M149" i="8"/>
  <c r="O149" i="8" s="1"/>
  <c r="L149" i="8"/>
  <c r="V149" i="8"/>
  <c r="S149" i="8"/>
  <c r="W149" i="8" s="1"/>
  <c r="K8" i="8"/>
  <c r="H8" i="8"/>
  <c r="T8" i="8"/>
  <c r="X8" i="8"/>
  <c r="U8" i="8"/>
  <c r="Q8" i="8"/>
  <c r="P8" i="8"/>
  <c r="N8" i="8"/>
  <c r="M8" i="8"/>
  <c r="O8" i="8" s="1"/>
  <c r="L8" i="8"/>
  <c r="S8" i="8"/>
  <c r="W8" i="8" s="1"/>
  <c r="K12" i="8"/>
  <c r="H12" i="8"/>
  <c r="T12" i="8"/>
  <c r="X12" i="8"/>
  <c r="U12" i="8"/>
  <c r="Q12" i="8"/>
  <c r="P12" i="8"/>
  <c r="N12" i="8"/>
  <c r="M12" i="8"/>
  <c r="O12" i="8" s="1"/>
  <c r="L12" i="8"/>
  <c r="V12" i="8"/>
  <c r="S12" i="8"/>
  <c r="W12" i="8" s="1"/>
  <c r="K16" i="8"/>
  <c r="H16" i="8"/>
  <c r="T16" i="8"/>
  <c r="X16" i="8"/>
  <c r="U16" i="8"/>
  <c r="Q16" i="8"/>
  <c r="P16" i="8"/>
  <c r="N16" i="8"/>
  <c r="M16" i="8"/>
  <c r="O16" i="8" s="1"/>
  <c r="L16" i="8"/>
  <c r="V16" i="8"/>
  <c r="S16" i="8"/>
  <c r="W16" i="8" s="1"/>
  <c r="K28" i="8"/>
  <c r="H28" i="8"/>
  <c r="T28" i="8"/>
  <c r="X28" i="8"/>
  <c r="U28" i="8"/>
  <c r="Q28" i="8"/>
  <c r="P28" i="8"/>
  <c r="N28" i="8"/>
  <c r="M28" i="8"/>
  <c r="O28" i="8" s="1"/>
  <c r="L28" i="8"/>
  <c r="V28" i="8"/>
  <c r="S28" i="8"/>
  <c r="W28" i="8" s="1"/>
  <c r="K152" i="8"/>
  <c r="H152" i="8"/>
  <c r="T152" i="8"/>
  <c r="X152" i="8"/>
  <c r="U152" i="8"/>
  <c r="Q152" i="8"/>
  <c r="P152" i="8"/>
  <c r="N152" i="8"/>
  <c r="M152" i="8"/>
  <c r="O152" i="8" s="1"/>
  <c r="L152" i="8"/>
  <c r="V152" i="8"/>
  <c r="S152" i="8"/>
  <c r="W152" i="8" s="1"/>
  <c r="K154" i="8"/>
  <c r="H154" i="8"/>
  <c r="T154" i="8"/>
  <c r="X154" i="8"/>
  <c r="U154" i="8"/>
  <c r="Q154" i="8"/>
  <c r="P154" i="8"/>
  <c r="N154" i="8"/>
  <c r="M154" i="8"/>
  <c r="O154" i="8" s="1"/>
  <c r="L154" i="8"/>
  <c r="V154" i="8"/>
  <c r="S154" i="8"/>
  <c r="W154" i="8" s="1"/>
  <c r="K157" i="8"/>
  <c r="H157" i="8"/>
  <c r="T157" i="8"/>
  <c r="X157" i="8"/>
  <c r="U157" i="8"/>
  <c r="Q157" i="8"/>
  <c r="P157" i="8"/>
  <c r="N157" i="8"/>
  <c r="M157" i="8"/>
  <c r="O157" i="8" s="1"/>
  <c r="L157" i="8"/>
  <c r="V157" i="8"/>
  <c r="S157" i="8"/>
  <c r="W157" i="8" s="1"/>
  <c r="K22" i="8"/>
  <c r="H22" i="8"/>
  <c r="T22" i="8"/>
  <c r="X22" i="8"/>
  <c r="U22" i="8"/>
  <c r="Q22" i="8"/>
  <c r="P22" i="8"/>
  <c r="N22" i="8"/>
  <c r="M22" i="8"/>
  <c r="O22" i="8" s="1"/>
  <c r="L22" i="8"/>
  <c r="V22" i="8"/>
  <c r="S22" i="8"/>
  <c r="W22" i="8" s="1"/>
  <c r="K31" i="8"/>
  <c r="H31" i="8"/>
  <c r="T31" i="8"/>
  <c r="X31" i="8"/>
  <c r="U31" i="8"/>
  <c r="Q31" i="8"/>
  <c r="P31" i="8"/>
  <c r="N31" i="8"/>
  <c r="M31" i="8"/>
  <c r="O31" i="8" s="1"/>
  <c r="L31" i="8"/>
  <c r="V31" i="8"/>
  <c r="S31" i="8"/>
  <c r="W31" i="8" s="1"/>
  <c r="K38" i="8"/>
  <c r="H38" i="8"/>
  <c r="T38" i="8"/>
  <c r="X38" i="8"/>
  <c r="U38" i="8"/>
  <c r="Q38" i="8"/>
  <c r="P38" i="8"/>
  <c r="N38" i="8"/>
  <c r="M38" i="8"/>
  <c r="O38" i="8" s="1"/>
  <c r="L38" i="8"/>
  <c r="V38" i="8"/>
  <c r="S38" i="8"/>
  <c r="W38" i="8" s="1"/>
  <c r="K54" i="8"/>
  <c r="H54" i="8"/>
  <c r="T54" i="8"/>
  <c r="X54" i="8"/>
  <c r="U54" i="8"/>
  <c r="Q54" i="8"/>
  <c r="P54" i="8"/>
  <c r="N54" i="8"/>
  <c r="M54" i="8"/>
  <c r="O54" i="8" s="1"/>
  <c r="L54" i="8"/>
  <c r="V54" i="8"/>
  <c r="S54" i="8"/>
  <c r="W54" i="8" s="1"/>
  <c r="K161" i="8"/>
  <c r="H161" i="8"/>
  <c r="T161" i="8"/>
  <c r="X161" i="8"/>
  <c r="U161" i="8"/>
  <c r="Q161" i="8"/>
  <c r="P161" i="8"/>
  <c r="N161" i="8"/>
  <c r="M161" i="8"/>
  <c r="O161" i="8" s="1"/>
  <c r="L161" i="8"/>
  <c r="V161" i="8"/>
  <c r="S161" i="8"/>
  <c r="W161" i="8" s="1"/>
  <c r="K163" i="8"/>
  <c r="H163" i="8"/>
  <c r="T163" i="8"/>
  <c r="X163" i="8"/>
  <c r="U163" i="8"/>
  <c r="Q163" i="8"/>
  <c r="P163" i="8"/>
  <c r="N163" i="8"/>
  <c r="M163" i="8"/>
  <c r="O163" i="8" s="1"/>
  <c r="L163" i="8"/>
  <c r="V163" i="8"/>
  <c r="S163" i="8"/>
  <c r="W163" i="8" s="1"/>
  <c r="K166" i="8"/>
  <c r="H166" i="8"/>
  <c r="T166" i="8"/>
  <c r="X166" i="8"/>
  <c r="U166" i="8"/>
  <c r="Q166" i="8"/>
  <c r="P166" i="8"/>
  <c r="N166" i="8"/>
  <c r="M166" i="8"/>
  <c r="O166" i="8" s="1"/>
  <c r="L166" i="8"/>
  <c r="V166" i="8"/>
  <c r="S166" i="8"/>
  <c r="W166" i="8" s="1"/>
  <c r="K50" i="8"/>
  <c r="H50" i="8"/>
  <c r="T50" i="8"/>
  <c r="X50" i="8"/>
  <c r="U50" i="8"/>
  <c r="Q50" i="8"/>
  <c r="P50" i="8"/>
  <c r="N50" i="8"/>
  <c r="M50" i="8"/>
  <c r="O50" i="8" s="1"/>
  <c r="L50" i="8"/>
  <c r="V50" i="8"/>
  <c r="S50" i="8"/>
  <c r="W50" i="8" s="1"/>
  <c r="K59" i="8"/>
  <c r="H59" i="8"/>
  <c r="T59" i="8"/>
  <c r="X59" i="8"/>
  <c r="U59" i="8"/>
  <c r="Q59" i="8"/>
  <c r="P59" i="8"/>
  <c r="N59" i="8"/>
  <c r="M59" i="8"/>
  <c r="O59" i="8" s="1"/>
  <c r="L59" i="8"/>
  <c r="V59" i="8"/>
  <c r="S59" i="8"/>
  <c r="W59" i="8" s="1"/>
  <c r="K68" i="8"/>
  <c r="H68" i="8"/>
  <c r="T68" i="8"/>
  <c r="X68" i="8"/>
  <c r="U68" i="8"/>
  <c r="Q68" i="8"/>
  <c r="P68" i="8"/>
  <c r="N68" i="8"/>
  <c r="M68" i="8"/>
  <c r="O68" i="8" s="1"/>
  <c r="L68" i="8"/>
  <c r="V68" i="8"/>
  <c r="S68" i="8"/>
  <c r="W68" i="8" s="1"/>
  <c r="K77" i="8"/>
  <c r="H77" i="8"/>
  <c r="T77" i="8"/>
  <c r="X77" i="8"/>
  <c r="U77" i="8"/>
  <c r="Q77" i="8"/>
  <c r="P77" i="8"/>
  <c r="N77" i="8"/>
  <c r="M77" i="8"/>
  <c r="O77" i="8" s="1"/>
  <c r="L77" i="8"/>
  <c r="V77" i="8"/>
  <c r="S77" i="8"/>
  <c r="W77" i="8" s="1"/>
  <c r="K173" i="8"/>
  <c r="H173" i="8"/>
  <c r="T173" i="8"/>
  <c r="X173" i="8"/>
  <c r="U173" i="8"/>
  <c r="Q173" i="8"/>
  <c r="P173" i="8"/>
  <c r="N173" i="8"/>
  <c r="M173" i="8"/>
  <c r="O173" i="8" s="1"/>
  <c r="L173" i="8"/>
  <c r="V173" i="8"/>
  <c r="S173" i="8"/>
  <c r="W173" i="8" s="1"/>
  <c r="K178" i="8"/>
  <c r="H178" i="8"/>
  <c r="T178" i="8"/>
  <c r="X178" i="8"/>
  <c r="U178" i="8"/>
  <c r="Q178" i="8"/>
  <c r="P178" i="8"/>
  <c r="N178" i="8"/>
  <c r="M178" i="8"/>
  <c r="O178" i="8" s="1"/>
  <c r="L178" i="8"/>
  <c r="V178" i="8"/>
  <c r="S178" i="8"/>
  <c r="W178" i="8" s="1"/>
  <c r="K183" i="8"/>
  <c r="H183" i="8"/>
  <c r="T183" i="8"/>
  <c r="X183" i="8"/>
  <c r="U183" i="8"/>
  <c r="Q183" i="8"/>
  <c r="P183" i="8"/>
  <c r="N183" i="8"/>
  <c r="M183" i="8"/>
  <c r="O183" i="8" s="1"/>
  <c r="L183" i="8"/>
  <c r="V183" i="8"/>
  <c r="S183" i="8"/>
  <c r="W183" i="8" s="1"/>
  <c r="K82" i="8"/>
  <c r="H82" i="8"/>
  <c r="T82" i="8"/>
  <c r="X82" i="8"/>
  <c r="U82" i="8"/>
  <c r="Q82" i="8"/>
  <c r="P82" i="8"/>
  <c r="N82" i="8"/>
  <c r="M82" i="8"/>
  <c r="O82" i="8" s="1"/>
  <c r="L82" i="8"/>
  <c r="V82" i="8"/>
  <c r="S82" i="8"/>
  <c r="W82" i="8" s="1"/>
  <c r="K89" i="8"/>
  <c r="H89" i="8"/>
  <c r="T89" i="8"/>
  <c r="X89" i="8"/>
  <c r="U89" i="8"/>
  <c r="Q89" i="8"/>
  <c r="P89" i="8"/>
  <c r="N89" i="8"/>
  <c r="M89" i="8"/>
  <c r="O89" i="8" s="1"/>
  <c r="L89" i="8"/>
  <c r="V89" i="8"/>
  <c r="S89" i="8"/>
  <c r="W89" i="8" s="1"/>
  <c r="K97" i="8"/>
  <c r="H97" i="8"/>
  <c r="T97" i="8"/>
  <c r="X97" i="8"/>
  <c r="U97" i="8"/>
  <c r="Q97" i="8"/>
  <c r="P97" i="8"/>
  <c r="N97" i="8"/>
  <c r="M97" i="8"/>
  <c r="O97" i="8" s="1"/>
  <c r="V97" i="8"/>
  <c r="S97" i="8"/>
  <c r="W97" i="8" s="1"/>
  <c r="K104" i="8"/>
  <c r="H104" i="8"/>
  <c r="T104" i="8"/>
  <c r="X104" i="8"/>
  <c r="U104" i="8"/>
  <c r="Q104" i="8"/>
  <c r="P104" i="8"/>
  <c r="N104" i="8"/>
  <c r="M104" i="8"/>
  <c r="O104" i="8" s="1"/>
  <c r="L104" i="8"/>
  <c r="V104" i="8"/>
  <c r="S104" i="8"/>
  <c r="W104" i="8" s="1"/>
  <c r="K205" i="8"/>
  <c r="H205" i="8"/>
  <c r="T205" i="8"/>
  <c r="X205" i="8"/>
  <c r="U205" i="8"/>
  <c r="Q205" i="8"/>
  <c r="P205" i="8"/>
  <c r="N205" i="8"/>
  <c r="M205" i="8"/>
  <c r="O205" i="8" s="1"/>
  <c r="L205" i="8"/>
  <c r="V205" i="8"/>
  <c r="S205" i="8"/>
  <c r="W205" i="8" s="1"/>
  <c r="K211" i="8"/>
  <c r="H211" i="8"/>
  <c r="T211" i="8"/>
  <c r="X211" i="8"/>
  <c r="U211" i="8"/>
  <c r="Q211" i="8"/>
  <c r="P211" i="8"/>
  <c r="N211" i="8"/>
  <c r="M211" i="8"/>
  <c r="O211" i="8" s="1"/>
  <c r="L211" i="8"/>
  <c r="V211" i="8"/>
  <c r="S211" i="8"/>
  <c r="W211" i="8" s="1"/>
  <c r="K217" i="8"/>
  <c r="H217" i="8"/>
  <c r="T217" i="8"/>
  <c r="X217" i="8"/>
  <c r="U217" i="8"/>
  <c r="Q217" i="8"/>
  <c r="P217" i="8"/>
  <c r="N217" i="8"/>
  <c r="M217" i="8"/>
  <c r="O217" i="8" s="1"/>
  <c r="L217" i="8"/>
  <c r="V217" i="8"/>
  <c r="S217" i="8"/>
  <c r="W217" i="8" s="1"/>
  <c r="K116" i="8"/>
  <c r="H116" i="8"/>
  <c r="T116" i="8"/>
  <c r="X116" i="8"/>
  <c r="U116" i="8"/>
  <c r="Q116" i="8"/>
  <c r="P116" i="8"/>
  <c r="N116" i="8"/>
  <c r="M116" i="8"/>
  <c r="O116" i="8" s="1"/>
  <c r="L116" i="8"/>
  <c r="V116" i="8"/>
  <c r="S116" i="8"/>
  <c r="W116" i="8" s="1"/>
  <c r="K120" i="8"/>
  <c r="H120" i="8"/>
  <c r="T120" i="8"/>
  <c r="X120" i="8"/>
  <c r="U120" i="8"/>
  <c r="Q120" i="8"/>
  <c r="P120" i="8"/>
  <c r="N120" i="8"/>
  <c r="M120" i="8"/>
  <c r="O120" i="8" s="1"/>
  <c r="L120" i="8"/>
  <c r="V120" i="8"/>
  <c r="S120" i="8"/>
  <c r="W120" i="8" s="1"/>
  <c r="K124" i="8"/>
  <c r="H124" i="8"/>
  <c r="T124" i="8"/>
  <c r="X124" i="8"/>
  <c r="U124" i="8"/>
  <c r="Q124" i="8"/>
  <c r="P124" i="8"/>
  <c r="N124" i="8"/>
  <c r="M124" i="8"/>
  <c r="O124" i="8" s="1"/>
  <c r="L124" i="8"/>
  <c r="V124" i="8"/>
  <c r="S124" i="8"/>
  <c r="W124" i="8" s="1"/>
  <c r="K131" i="8"/>
  <c r="H131" i="8"/>
  <c r="T131" i="8"/>
  <c r="X131" i="8"/>
  <c r="U131" i="8"/>
  <c r="Q131" i="8"/>
  <c r="P131" i="8"/>
  <c r="N131" i="8"/>
  <c r="M131" i="8"/>
  <c r="O131" i="8" s="1"/>
  <c r="L131" i="8"/>
  <c r="V131" i="8"/>
  <c r="S131" i="8"/>
  <c r="W131" i="8" s="1"/>
  <c r="K147" i="8"/>
  <c r="H147" i="8"/>
  <c r="T147" i="8"/>
  <c r="X147" i="8"/>
  <c r="U147" i="8"/>
  <c r="Q147" i="8"/>
  <c r="P147" i="8"/>
  <c r="N147" i="8"/>
  <c r="M147" i="8"/>
  <c r="O147" i="8" s="1"/>
  <c r="L147" i="8"/>
  <c r="V147" i="8"/>
  <c r="S147" i="8"/>
  <c r="W147" i="8" s="1"/>
  <c r="K151" i="8"/>
  <c r="H151" i="8"/>
  <c r="T151" i="8"/>
  <c r="X151" i="8"/>
  <c r="U151" i="8"/>
  <c r="Q151" i="8"/>
  <c r="P151" i="8"/>
  <c r="N151" i="8"/>
  <c r="M151" i="8"/>
  <c r="O151" i="8" s="1"/>
  <c r="L151" i="8"/>
  <c r="V151" i="8"/>
  <c r="S151" i="8"/>
  <c r="W151" i="8" s="1"/>
  <c r="K9" i="8"/>
  <c r="H9" i="8"/>
  <c r="T9" i="8"/>
  <c r="U9" i="8"/>
  <c r="Q9" i="8"/>
  <c r="P9" i="8"/>
  <c r="N9" i="8"/>
  <c r="M9" i="8"/>
  <c r="O9" i="8" s="1"/>
  <c r="L9" i="8"/>
  <c r="V9" i="8"/>
  <c r="S9" i="8"/>
  <c r="W9" i="8" s="1"/>
  <c r="K13" i="8"/>
  <c r="H13" i="8"/>
  <c r="T13" i="8"/>
  <c r="X13" i="8"/>
  <c r="U13" i="8"/>
  <c r="Q13" i="8"/>
  <c r="P13" i="8"/>
  <c r="N13" i="8"/>
  <c r="M13" i="8"/>
  <c r="O13" i="8" s="1"/>
  <c r="L13" i="8"/>
  <c r="V13" i="8"/>
  <c r="S13" i="8"/>
  <c r="W13" i="8" s="1"/>
  <c r="K18" i="8"/>
  <c r="H18" i="8"/>
  <c r="T18" i="8"/>
  <c r="X18" i="8"/>
  <c r="U18" i="8"/>
  <c r="Q18" i="8"/>
  <c r="P18" i="8"/>
  <c r="N18" i="8"/>
  <c r="M18" i="8"/>
  <c r="O18" i="8" s="1"/>
  <c r="L18" i="8"/>
  <c r="V18" i="8"/>
  <c r="S18" i="8"/>
  <c r="W18" i="8" s="1"/>
  <c r="K29" i="8"/>
  <c r="H29" i="8"/>
  <c r="T29" i="8"/>
  <c r="X29" i="8"/>
  <c r="U29" i="8"/>
  <c r="Q29" i="8"/>
  <c r="P29" i="8"/>
  <c r="N29" i="8"/>
  <c r="M29" i="8"/>
  <c r="O29" i="8" s="1"/>
  <c r="L29" i="8"/>
  <c r="V29" i="8"/>
  <c r="S29" i="8"/>
  <c r="W29" i="8" s="1"/>
  <c r="K40" i="8"/>
  <c r="H40" i="8"/>
  <c r="T40" i="8"/>
  <c r="X40" i="8"/>
  <c r="U40" i="8"/>
  <c r="Q40" i="8"/>
  <c r="P40" i="8"/>
  <c r="N40" i="8"/>
  <c r="M40" i="8"/>
  <c r="O40" i="8" s="1"/>
  <c r="L40" i="8"/>
  <c r="V40" i="8"/>
  <c r="S40" i="8"/>
  <c r="W40" i="8" s="1"/>
  <c r="K155" i="8"/>
  <c r="H155" i="8"/>
  <c r="T155" i="8"/>
  <c r="X155" i="8"/>
  <c r="U155" i="8"/>
  <c r="Q155" i="8"/>
  <c r="P155" i="8"/>
  <c r="N155" i="8"/>
  <c r="M155" i="8"/>
  <c r="O155" i="8" s="1"/>
  <c r="L155" i="8"/>
  <c r="V155" i="8"/>
  <c r="S155" i="8"/>
  <c r="W155" i="8" s="1"/>
  <c r="K159" i="8"/>
  <c r="H159" i="8"/>
  <c r="T159" i="8"/>
  <c r="X159" i="8"/>
  <c r="U159" i="8"/>
  <c r="Q159" i="8"/>
  <c r="P159" i="8"/>
  <c r="N159" i="8"/>
  <c r="M159" i="8"/>
  <c r="O159" i="8" s="1"/>
  <c r="L159" i="8"/>
  <c r="V159" i="8"/>
  <c r="S159" i="8"/>
  <c r="W159" i="8" s="1"/>
  <c r="K24" i="8"/>
  <c r="H24" i="8"/>
  <c r="T24" i="8"/>
  <c r="X24" i="8"/>
  <c r="U24" i="8"/>
  <c r="Q24" i="8"/>
  <c r="P24" i="8"/>
  <c r="N24" i="8"/>
  <c r="M24" i="8"/>
  <c r="O24" i="8" s="1"/>
  <c r="L24" i="8"/>
  <c r="V24" i="8"/>
  <c r="S24" i="8"/>
  <c r="W24" i="8" s="1"/>
  <c r="K32" i="8"/>
  <c r="H32" i="8"/>
  <c r="T32" i="8"/>
  <c r="X32" i="8"/>
  <c r="U32" i="8"/>
  <c r="Q32" i="8"/>
  <c r="P32" i="8"/>
  <c r="N32" i="8"/>
  <c r="M32" i="8"/>
  <c r="O32" i="8" s="1"/>
  <c r="L32" i="8"/>
  <c r="V32" i="8"/>
  <c r="S32" i="8"/>
  <c r="W32" i="8" s="1"/>
  <c r="K41" i="8"/>
  <c r="H41" i="8"/>
  <c r="T41" i="8"/>
  <c r="X41" i="8"/>
  <c r="U41" i="8"/>
  <c r="Q41" i="8"/>
  <c r="P41" i="8"/>
  <c r="N41" i="8"/>
  <c r="M41" i="8"/>
  <c r="O41" i="8" s="1"/>
  <c r="L41" i="8"/>
  <c r="V41" i="8"/>
  <c r="S41" i="8"/>
  <c r="W41" i="8" s="1"/>
  <c r="K55" i="8"/>
  <c r="H55" i="8"/>
  <c r="T55" i="8"/>
  <c r="X55" i="8"/>
  <c r="U55" i="8"/>
  <c r="Q55" i="8"/>
  <c r="P55" i="8"/>
  <c r="N55" i="8"/>
  <c r="M55" i="8"/>
  <c r="O55" i="8" s="1"/>
  <c r="L55" i="8"/>
  <c r="V55" i="8"/>
  <c r="S55" i="8"/>
  <c r="W55" i="8" s="1"/>
  <c r="K65" i="8"/>
  <c r="H65" i="8"/>
  <c r="T65" i="8"/>
  <c r="X65" i="8"/>
  <c r="U65" i="8"/>
  <c r="Q65" i="8"/>
  <c r="P65" i="8"/>
  <c r="N65" i="8"/>
  <c r="M65" i="8"/>
  <c r="O65" i="8" s="1"/>
  <c r="L65" i="8"/>
  <c r="V65" i="8"/>
  <c r="S65" i="8"/>
  <c r="W65" i="8" s="1"/>
  <c r="K164" i="8"/>
  <c r="H164" i="8"/>
  <c r="T164" i="8"/>
  <c r="X164" i="8"/>
  <c r="U164" i="8"/>
  <c r="Q164" i="8"/>
  <c r="P164" i="8"/>
  <c r="N164" i="8"/>
  <c r="M164" i="8"/>
  <c r="O164" i="8" s="1"/>
  <c r="L164" i="8"/>
  <c r="V164" i="8"/>
  <c r="S164" i="8"/>
  <c r="W164" i="8" s="1"/>
  <c r="K167" i="8"/>
  <c r="H167" i="8"/>
  <c r="T167" i="8"/>
  <c r="X167" i="8"/>
  <c r="U167" i="8"/>
  <c r="Q167" i="8"/>
  <c r="P167" i="8"/>
  <c r="N167" i="8"/>
  <c r="M167" i="8"/>
  <c r="O167" i="8" s="1"/>
  <c r="L167" i="8"/>
  <c r="V167" i="8"/>
  <c r="S167" i="8"/>
  <c r="W167" i="8" s="1"/>
  <c r="K53" i="8"/>
  <c r="H53" i="8"/>
  <c r="T53" i="8"/>
  <c r="X53" i="8"/>
  <c r="U53" i="8"/>
  <c r="Q53" i="8"/>
  <c r="P53" i="8"/>
  <c r="N53" i="8"/>
  <c r="M53" i="8"/>
  <c r="O53" i="8" s="1"/>
  <c r="L53" i="8"/>
  <c r="V53" i="8"/>
  <c r="S53" i="8"/>
  <c r="W53" i="8" s="1"/>
  <c r="K61" i="8"/>
  <c r="H61" i="8"/>
  <c r="T61" i="8"/>
  <c r="X61" i="8"/>
  <c r="U61" i="8"/>
  <c r="Q61" i="8"/>
  <c r="P61" i="8"/>
  <c r="N61" i="8"/>
  <c r="M61" i="8"/>
  <c r="O61" i="8" s="1"/>
  <c r="L61" i="8"/>
  <c r="V61" i="8"/>
  <c r="S61" i="8"/>
  <c r="W61" i="8" s="1"/>
  <c r="K70" i="8"/>
  <c r="H70" i="8"/>
  <c r="T70" i="8"/>
  <c r="X70" i="8"/>
  <c r="U70" i="8"/>
  <c r="Q70" i="8"/>
  <c r="P70" i="8"/>
  <c r="N70" i="8"/>
  <c r="M70" i="8"/>
  <c r="O70" i="8" s="1"/>
  <c r="L70" i="8"/>
  <c r="V70" i="8"/>
  <c r="S70" i="8"/>
  <c r="W70" i="8" s="1"/>
  <c r="K78" i="8"/>
  <c r="H78" i="8"/>
  <c r="T78" i="8"/>
  <c r="X78" i="8"/>
  <c r="U78" i="8"/>
  <c r="Q78" i="8"/>
  <c r="P78" i="8"/>
  <c r="N78" i="8"/>
  <c r="M78" i="8"/>
  <c r="O78" i="8" s="1"/>
  <c r="L78" i="8"/>
  <c r="V78" i="8"/>
  <c r="S78" i="8"/>
  <c r="W78" i="8" s="1"/>
  <c r="K87" i="8"/>
  <c r="H87" i="8"/>
  <c r="T87" i="8"/>
  <c r="X87" i="8"/>
  <c r="U87" i="8"/>
  <c r="Q87" i="8"/>
  <c r="P87" i="8"/>
  <c r="N87" i="8"/>
  <c r="M87" i="8"/>
  <c r="O87" i="8" s="1"/>
  <c r="L87" i="8"/>
  <c r="V87" i="8"/>
  <c r="S87" i="8"/>
  <c r="W87" i="8" s="1"/>
  <c r="K179" i="8"/>
  <c r="H179" i="8"/>
  <c r="T179" i="8"/>
  <c r="X179" i="8"/>
  <c r="U179" i="8"/>
  <c r="Q179" i="8"/>
  <c r="P179" i="8"/>
  <c r="N179" i="8"/>
  <c r="M179" i="8"/>
  <c r="O179" i="8" s="1"/>
  <c r="L179" i="8"/>
  <c r="V179" i="8"/>
  <c r="S179" i="8"/>
  <c r="W179" i="8" s="1"/>
  <c r="K188" i="8"/>
  <c r="H188" i="8"/>
  <c r="T188" i="8"/>
  <c r="X188" i="8"/>
  <c r="U188" i="8"/>
  <c r="Q188" i="8"/>
  <c r="P188" i="8"/>
  <c r="N188" i="8"/>
  <c r="M188" i="8"/>
  <c r="O188" i="8" s="1"/>
  <c r="L188" i="8"/>
  <c r="V188" i="8"/>
  <c r="S188" i="8"/>
  <c r="W188" i="8" s="1"/>
  <c r="K84" i="8"/>
  <c r="H84" i="8"/>
  <c r="T84" i="8"/>
  <c r="X84" i="8"/>
  <c r="U84" i="8"/>
  <c r="Q84" i="8"/>
  <c r="P84" i="8"/>
  <c r="N84" i="8"/>
  <c r="M84" i="8"/>
  <c r="O84" i="8" s="1"/>
  <c r="L84" i="8"/>
  <c r="V84" i="8"/>
  <c r="S84" i="8"/>
  <c r="W84" i="8" s="1"/>
  <c r="K92" i="8"/>
  <c r="H92" i="8"/>
  <c r="T92" i="8"/>
  <c r="X92" i="8"/>
  <c r="U92" i="8"/>
  <c r="Q92" i="8"/>
  <c r="P92" i="8"/>
  <c r="N92" i="8"/>
  <c r="M92" i="8"/>
  <c r="O92" i="8" s="1"/>
  <c r="L92" i="8"/>
  <c r="V92" i="8"/>
  <c r="S92" i="8"/>
  <c r="W92" i="8" s="1"/>
  <c r="K99" i="8"/>
  <c r="H99" i="8"/>
  <c r="T99" i="8"/>
  <c r="X99" i="8"/>
  <c r="U99" i="8"/>
  <c r="Q99" i="8"/>
  <c r="P99" i="8"/>
  <c r="N99" i="8"/>
  <c r="M99" i="8"/>
  <c r="O99" i="8" s="1"/>
  <c r="L99" i="8"/>
  <c r="V99" i="8"/>
  <c r="S99" i="8"/>
  <c r="W99" i="8" s="1"/>
  <c r="K105" i="8"/>
  <c r="H105" i="8"/>
  <c r="T105" i="8"/>
  <c r="X105" i="8"/>
  <c r="U105" i="8"/>
  <c r="Q105" i="8"/>
  <c r="P105" i="8"/>
  <c r="N105" i="8"/>
  <c r="M105" i="8"/>
  <c r="O105" i="8" s="1"/>
  <c r="L105" i="8"/>
  <c r="V105" i="8"/>
  <c r="S105" i="8"/>
  <c r="W105" i="8" s="1"/>
  <c r="K109" i="8"/>
  <c r="H109" i="8"/>
  <c r="T109" i="8"/>
  <c r="X109" i="8"/>
  <c r="U109" i="8"/>
  <c r="Q109" i="8"/>
  <c r="P109" i="8"/>
  <c r="N109" i="8"/>
  <c r="M109" i="8"/>
  <c r="O109" i="8" s="1"/>
  <c r="L109" i="8"/>
  <c r="V109" i="8"/>
  <c r="S109" i="8"/>
  <c r="W109" i="8" s="1"/>
  <c r="K213" i="8"/>
  <c r="H213" i="8"/>
  <c r="T213" i="8"/>
  <c r="X213" i="8"/>
  <c r="U213" i="8"/>
  <c r="Q213" i="8"/>
  <c r="P213" i="8"/>
  <c r="N213" i="8"/>
  <c r="M213" i="8"/>
  <c r="O213" i="8" s="1"/>
  <c r="L213" i="8"/>
  <c r="V213" i="8"/>
  <c r="S213" i="8"/>
  <c r="W213" i="8" s="1"/>
  <c r="K219" i="8"/>
  <c r="H219" i="8"/>
  <c r="T219" i="8"/>
  <c r="X219" i="8"/>
  <c r="U219" i="8"/>
  <c r="Q219" i="8"/>
  <c r="P219" i="8"/>
  <c r="N219" i="8"/>
  <c r="M219" i="8"/>
  <c r="O219" i="8" s="1"/>
  <c r="L219" i="8"/>
  <c r="V219" i="8"/>
  <c r="S219" i="8"/>
  <c r="W219" i="8" s="1"/>
  <c r="K117" i="8"/>
  <c r="H117" i="8"/>
  <c r="T117" i="8"/>
  <c r="X117" i="8"/>
  <c r="U117" i="8"/>
  <c r="Q117" i="8"/>
  <c r="P117" i="8"/>
  <c r="N117" i="8"/>
  <c r="M117" i="8"/>
  <c r="O117" i="8" s="1"/>
  <c r="L117" i="8"/>
  <c r="V117" i="8"/>
  <c r="S117" i="8"/>
  <c r="W117" i="8" s="1"/>
  <c r="K121" i="8"/>
  <c r="H121" i="8"/>
  <c r="T121" i="8"/>
  <c r="X121" i="8"/>
  <c r="U121" i="8"/>
  <c r="Q121" i="8"/>
  <c r="P121" i="8"/>
  <c r="N121" i="8"/>
  <c r="M121" i="8"/>
  <c r="O121" i="8" s="1"/>
  <c r="L121" i="8"/>
  <c r="V121" i="8"/>
  <c r="S121" i="8"/>
  <c r="W121" i="8" s="1"/>
  <c r="K126" i="8"/>
  <c r="H126" i="8"/>
  <c r="T126" i="8"/>
  <c r="X126" i="8"/>
  <c r="U126" i="8"/>
  <c r="Q126" i="8"/>
  <c r="P126" i="8"/>
  <c r="N126" i="8"/>
  <c r="M126" i="8"/>
  <c r="O126" i="8" s="1"/>
  <c r="L126" i="8"/>
  <c r="V126" i="8"/>
  <c r="S126" i="8"/>
  <c r="W126" i="8" s="1"/>
  <c r="K132" i="8"/>
  <c r="H132" i="8"/>
  <c r="T132" i="8"/>
  <c r="X132" i="8"/>
  <c r="U132" i="8"/>
  <c r="Q132" i="8"/>
  <c r="P132" i="8"/>
  <c r="N132" i="8"/>
  <c r="M132" i="8"/>
  <c r="O132" i="8" s="1"/>
  <c r="L132" i="8"/>
  <c r="V132" i="8"/>
  <c r="S132" i="8"/>
  <c r="W132" i="8" s="1"/>
  <c r="K136" i="8"/>
  <c r="H136" i="8"/>
  <c r="T136" i="8"/>
  <c r="X136" i="8"/>
  <c r="U136" i="8"/>
  <c r="Q136" i="8"/>
  <c r="P136" i="8"/>
  <c r="N136" i="8"/>
  <c r="M136" i="8"/>
  <c r="O136" i="8" s="1"/>
  <c r="L136" i="8"/>
  <c r="V136" i="8"/>
  <c r="S136" i="8"/>
  <c r="W136" i="8" s="1"/>
  <c r="K7" i="8"/>
  <c r="T7" i="8"/>
  <c r="X7" i="8"/>
  <c r="U7" i="8"/>
  <c r="Q7" i="8"/>
  <c r="P7" i="8"/>
  <c r="N7" i="8"/>
  <c r="M7" i="8"/>
  <c r="O7" i="8" s="1"/>
  <c r="L7" i="8"/>
  <c r="V7" i="8"/>
  <c r="S7" i="8"/>
  <c r="W7" i="8" s="1"/>
  <c r="K10" i="8"/>
  <c r="H10" i="8"/>
  <c r="T10" i="8"/>
  <c r="X10" i="8"/>
  <c r="U10" i="8"/>
  <c r="Q10" i="8"/>
  <c r="P10" i="8"/>
  <c r="N10" i="8"/>
  <c r="M10" i="8"/>
  <c r="O10" i="8" s="1"/>
  <c r="L10" i="8"/>
  <c r="V10" i="8"/>
  <c r="S10" i="8"/>
  <c r="W10" i="8" s="1"/>
  <c r="K15" i="8"/>
  <c r="H15" i="8"/>
  <c r="T15" i="8"/>
  <c r="X15" i="8"/>
  <c r="U15" i="8"/>
  <c r="Q15" i="8"/>
  <c r="P15" i="8"/>
  <c r="N15" i="8"/>
  <c r="M15" i="8"/>
  <c r="O15" i="8" s="1"/>
  <c r="L15" i="8"/>
  <c r="V15" i="8"/>
  <c r="S15" i="8"/>
  <c r="W15" i="8" s="1"/>
  <c r="K23" i="8"/>
  <c r="H23" i="8"/>
  <c r="T23" i="8"/>
  <c r="X23" i="8"/>
  <c r="U23" i="8"/>
  <c r="Q23" i="8"/>
  <c r="P23" i="8"/>
  <c r="N23" i="8"/>
  <c r="M23" i="8"/>
  <c r="O23" i="8" s="1"/>
  <c r="L23" i="8"/>
  <c r="V23" i="8"/>
  <c r="S23" i="8"/>
  <c r="W23" i="8" s="1"/>
  <c r="K33" i="8"/>
  <c r="H33" i="8"/>
  <c r="T33" i="8"/>
  <c r="X33" i="8"/>
  <c r="U33" i="8"/>
  <c r="Q33" i="8"/>
  <c r="P33" i="8"/>
  <c r="N33" i="8"/>
  <c r="M33" i="8"/>
  <c r="O33" i="8" s="1"/>
  <c r="L33" i="8"/>
  <c r="V33" i="8"/>
  <c r="S33" i="8"/>
  <c r="W33" i="8" s="1"/>
  <c r="K43" i="8"/>
  <c r="H43" i="8"/>
  <c r="T43" i="8"/>
  <c r="X43" i="8"/>
  <c r="U43" i="8"/>
  <c r="Q43" i="8"/>
  <c r="P43" i="8"/>
  <c r="N43" i="8"/>
  <c r="M43" i="8"/>
  <c r="O43" i="8" s="1"/>
  <c r="L43" i="8"/>
  <c r="V43" i="8"/>
  <c r="S43" i="8"/>
  <c r="W43" i="8" s="1"/>
  <c r="K171" i="8"/>
  <c r="H171" i="8"/>
  <c r="T171" i="8"/>
  <c r="X171" i="8"/>
  <c r="U171" i="8"/>
  <c r="Q171" i="8"/>
  <c r="P171" i="8"/>
  <c r="N171" i="8"/>
  <c r="M171" i="8"/>
  <c r="O171" i="8" s="1"/>
  <c r="L171" i="8"/>
  <c r="V171" i="8"/>
  <c r="S171" i="8"/>
  <c r="W171" i="8" s="1"/>
  <c r="K21" i="8"/>
  <c r="H21" i="8"/>
  <c r="T21" i="8"/>
  <c r="X21" i="8"/>
  <c r="U21" i="8"/>
  <c r="Q21" i="8"/>
  <c r="P21" i="8"/>
  <c r="N21" i="8"/>
  <c r="M21" i="8"/>
  <c r="O21" i="8" s="1"/>
  <c r="L21" i="8"/>
  <c r="V21" i="8"/>
  <c r="S21" i="8"/>
  <c r="W21" i="8" s="1"/>
  <c r="K25" i="8"/>
  <c r="H25" i="8"/>
  <c r="T25" i="8"/>
  <c r="X25" i="8"/>
  <c r="U25" i="8"/>
  <c r="Q25" i="8"/>
  <c r="P25" i="8"/>
  <c r="N25" i="8"/>
  <c r="M25" i="8"/>
  <c r="O25" i="8" s="1"/>
  <c r="L25" i="8"/>
  <c r="V25" i="8"/>
  <c r="S25" i="8"/>
  <c r="W25" i="8" s="1"/>
  <c r="K35" i="8"/>
  <c r="H35" i="8"/>
  <c r="T35" i="8"/>
  <c r="X35" i="8"/>
  <c r="U35" i="8"/>
  <c r="Q35" i="8"/>
  <c r="P35" i="8"/>
  <c r="N35" i="8"/>
  <c r="M35" i="8"/>
  <c r="O35" i="8" s="1"/>
  <c r="L35" i="8"/>
  <c r="V35" i="8"/>
  <c r="S35" i="8"/>
  <c r="W35" i="8" s="1"/>
  <c r="K45" i="8"/>
  <c r="H45" i="8"/>
  <c r="T45" i="8"/>
  <c r="X45" i="8"/>
  <c r="U45" i="8"/>
  <c r="Q45" i="8"/>
  <c r="P45" i="8"/>
  <c r="N45" i="8"/>
  <c r="M45" i="8"/>
  <c r="O45" i="8" s="1"/>
  <c r="L45" i="8"/>
  <c r="V45" i="8"/>
  <c r="S45" i="8"/>
  <c r="W45" i="8" s="1"/>
  <c r="K56" i="8"/>
  <c r="H56" i="8"/>
  <c r="T56" i="8"/>
  <c r="X56" i="8"/>
  <c r="U56" i="8"/>
  <c r="Q56" i="8"/>
  <c r="P56" i="8"/>
  <c r="N56" i="8"/>
  <c r="M56" i="8"/>
  <c r="O56" i="8" s="1"/>
  <c r="L56" i="8"/>
  <c r="V56" i="8"/>
  <c r="S56" i="8"/>
  <c r="W56" i="8" s="1"/>
  <c r="K66" i="8"/>
  <c r="H66" i="8"/>
  <c r="T66" i="8"/>
  <c r="X66" i="8"/>
  <c r="U66" i="8"/>
  <c r="Q66" i="8"/>
  <c r="P66" i="8"/>
  <c r="N66" i="8"/>
  <c r="M66" i="8"/>
  <c r="O66" i="8" s="1"/>
  <c r="L66" i="8"/>
  <c r="V66" i="8"/>
  <c r="S66" i="8"/>
  <c r="W66" i="8" s="1"/>
  <c r="K186" i="8"/>
  <c r="H186" i="8"/>
  <c r="T186" i="8"/>
  <c r="X186" i="8"/>
  <c r="U186" i="8"/>
  <c r="Q186" i="8"/>
  <c r="P186" i="8"/>
  <c r="N186" i="8"/>
  <c r="M186" i="8"/>
  <c r="O186" i="8" s="1"/>
  <c r="L186" i="8"/>
  <c r="V186" i="8"/>
  <c r="S186" i="8"/>
  <c r="W186" i="8" s="1"/>
  <c r="K49" i="8"/>
  <c r="H49" i="8"/>
  <c r="T49" i="8"/>
  <c r="X49" i="8"/>
  <c r="U49" i="8"/>
  <c r="Q49" i="8"/>
  <c r="P49" i="8"/>
  <c r="N49" i="8"/>
  <c r="M49" i="8"/>
  <c r="O49" i="8" s="1"/>
  <c r="L49" i="8"/>
  <c r="V49" i="8"/>
  <c r="S49" i="8"/>
  <c r="W49" i="8" s="1"/>
  <c r="K57" i="8"/>
  <c r="H57" i="8"/>
  <c r="T57" i="8"/>
  <c r="X57" i="8"/>
  <c r="U57" i="8"/>
  <c r="Q57" i="8"/>
  <c r="P57" i="8"/>
  <c r="N57" i="8"/>
  <c r="M57" i="8"/>
  <c r="O57" i="8" s="1"/>
  <c r="L57" i="8"/>
  <c r="V57" i="8"/>
  <c r="S57" i="8"/>
  <c r="W57" i="8" s="1"/>
  <c r="K64" i="8"/>
  <c r="H64" i="8"/>
  <c r="T64" i="8"/>
  <c r="X64" i="8"/>
  <c r="U64" i="8"/>
  <c r="Q64" i="8"/>
  <c r="P64" i="8"/>
  <c r="N64" i="8"/>
  <c r="M64" i="8"/>
  <c r="O64" i="8" s="1"/>
  <c r="L64" i="8"/>
  <c r="V64" i="8"/>
  <c r="S64" i="8"/>
  <c r="W64" i="8" s="1"/>
  <c r="K74" i="8"/>
  <c r="H74" i="8"/>
  <c r="T74" i="8"/>
  <c r="X74" i="8"/>
  <c r="U74" i="8"/>
  <c r="Q74" i="8"/>
  <c r="P74" i="8"/>
  <c r="N74" i="8"/>
  <c r="M74" i="8"/>
  <c r="O74" i="8" s="1"/>
  <c r="L74" i="8"/>
  <c r="V74" i="8"/>
  <c r="S74" i="8"/>
  <c r="W74" i="8" s="1"/>
  <c r="K81" i="8"/>
  <c r="H81" i="8"/>
  <c r="T81" i="8"/>
  <c r="X81" i="8"/>
  <c r="U81" i="8"/>
  <c r="Q81" i="8"/>
  <c r="P81" i="8"/>
  <c r="N81" i="8"/>
  <c r="M81" i="8"/>
  <c r="O81" i="8" s="1"/>
  <c r="L81" i="8"/>
  <c r="V81" i="8"/>
  <c r="S81" i="8"/>
  <c r="W81" i="8" s="1"/>
  <c r="K90" i="8"/>
  <c r="H90" i="8"/>
  <c r="T90" i="8"/>
  <c r="X90" i="8"/>
  <c r="U90" i="8"/>
  <c r="Q90" i="8"/>
  <c r="P90" i="8"/>
  <c r="N90" i="8"/>
  <c r="M90" i="8"/>
  <c r="O90" i="8" s="1"/>
  <c r="L90" i="8"/>
  <c r="V90" i="8"/>
  <c r="S90" i="8"/>
  <c r="W90" i="8" s="1"/>
  <c r="K201" i="8"/>
  <c r="H201" i="8"/>
  <c r="T201" i="8"/>
  <c r="X201" i="8"/>
  <c r="U201" i="8"/>
  <c r="Q201" i="8"/>
  <c r="P201" i="8"/>
  <c r="N201" i="8"/>
  <c r="M201" i="8"/>
  <c r="O201" i="8" s="1"/>
  <c r="L201" i="8"/>
  <c r="V201" i="8"/>
  <c r="S201" i="8"/>
  <c r="W201" i="8" s="1"/>
  <c r="K80" i="8"/>
  <c r="H80" i="8"/>
  <c r="T80" i="8"/>
  <c r="X80" i="8"/>
  <c r="U80" i="8"/>
  <c r="Q80" i="8"/>
  <c r="P80" i="8"/>
  <c r="N80" i="8"/>
  <c r="M80" i="8"/>
  <c r="O80" i="8" s="1"/>
  <c r="L80" i="8"/>
  <c r="V80" i="8"/>
  <c r="S80" i="8"/>
  <c r="W80" i="8" s="1"/>
  <c r="K86" i="8"/>
  <c r="H86" i="8"/>
  <c r="T86" i="8"/>
  <c r="X86" i="8"/>
  <c r="U86" i="8"/>
  <c r="Q86" i="8"/>
  <c r="P86" i="8"/>
  <c r="N86" i="8"/>
  <c r="M86" i="8"/>
  <c r="O86" i="8" s="1"/>
  <c r="L86" i="8"/>
  <c r="V86" i="8"/>
  <c r="S86" i="8"/>
  <c r="W86" i="8" s="1"/>
  <c r="K96" i="8"/>
  <c r="H96" i="8"/>
  <c r="T96" i="8"/>
  <c r="X96" i="8"/>
  <c r="U96" i="8"/>
  <c r="Q96" i="8"/>
  <c r="P96" i="8"/>
  <c r="N96" i="8"/>
  <c r="M96" i="8"/>
  <c r="O96" i="8" s="1"/>
  <c r="L96" i="8"/>
  <c r="V96" i="8"/>
  <c r="S96" i="8"/>
  <c r="W96" i="8" s="1"/>
  <c r="K101" i="8"/>
  <c r="H101" i="8"/>
  <c r="T101" i="8"/>
  <c r="X101" i="8"/>
  <c r="U101" i="8"/>
  <c r="Q101" i="8"/>
  <c r="P101" i="8"/>
  <c r="N101" i="8"/>
  <c r="M101" i="8"/>
  <c r="O101" i="8" s="1"/>
  <c r="L101" i="8"/>
  <c r="V101" i="8"/>
  <c r="S101" i="8"/>
  <c r="W101" i="8" s="1"/>
  <c r="K106" i="8"/>
  <c r="H106" i="8"/>
  <c r="T106" i="8"/>
  <c r="X106" i="8"/>
  <c r="U106" i="8"/>
  <c r="Q106" i="8"/>
  <c r="P106" i="8"/>
  <c r="N106" i="8"/>
  <c r="M106" i="8"/>
  <c r="O106" i="8" s="1"/>
  <c r="L106" i="8"/>
  <c r="V106" i="8"/>
  <c r="S106" i="8"/>
  <c r="W106" i="8" s="1"/>
  <c r="K110" i="8"/>
  <c r="H110" i="8"/>
  <c r="T110" i="8"/>
  <c r="X110" i="8"/>
  <c r="U110" i="8"/>
  <c r="Q110" i="8"/>
  <c r="P110" i="8"/>
  <c r="N110" i="8"/>
  <c r="M110" i="8"/>
  <c r="O110" i="8" s="1"/>
  <c r="L110" i="8"/>
  <c r="V110" i="8"/>
  <c r="S110" i="8"/>
  <c r="W110" i="8" s="1"/>
  <c r="K224" i="8"/>
  <c r="H224" i="8"/>
  <c r="T224" i="8"/>
  <c r="X224" i="8"/>
  <c r="U224" i="8"/>
  <c r="Q224" i="8"/>
  <c r="P224" i="8"/>
  <c r="N224" i="8"/>
  <c r="M224" i="8"/>
  <c r="O224" i="8" s="1"/>
  <c r="L224" i="8"/>
  <c r="V224" i="8"/>
  <c r="S224" i="8"/>
  <c r="W224" i="8" s="1"/>
  <c r="K115" i="8"/>
  <c r="H115" i="8"/>
  <c r="T115" i="8"/>
  <c r="X115" i="8"/>
  <c r="U115" i="8"/>
  <c r="Q115" i="8"/>
  <c r="P115" i="8"/>
  <c r="N115" i="8"/>
  <c r="M115" i="8"/>
  <c r="O115" i="8" s="1"/>
  <c r="L115" i="8"/>
  <c r="V115" i="8"/>
  <c r="S115" i="8"/>
  <c r="W115" i="8" s="1"/>
  <c r="K118" i="8"/>
  <c r="H118" i="8"/>
  <c r="T118" i="8"/>
  <c r="X118" i="8"/>
  <c r="U118" i="8"/>
  <c r="Q118" i="8"/>
  <c r="P118" i="8"/>
  <c r="N118" i="8"/>
  <c r="M118" i="8"/>
  <c r="O118" i="8" s="1"/>
  <c r="L118" i="8"/>
  <c r="V118" i="8"/>
  <c r="S118" i="8"/>
  <c r="W118" i="8" s="1"/>
  <c r="K123" i="8"/>
  <c r="H123" i="8"/>
  <c r="T123" i="8"/>
  <c r="X123" i="8"/>
  <c r="U123" i="8"/>
  <c r="Q123" i="8"/>
  <c r="P123" i="8"/>
  <c r="N123" i="8"/>
  <c r="M123" i="8"/>
  <c r="O123" i="8" s="1"/>
  <c r="L123" i="8"/>
  <c r="V123" i="8"/>
  <c r="S123" i="8"/>
  <c r="W123" i="8" s="1"/>
  <c r="K128" i="8"/>
  <c r="H128" i="8"/>
  <c r="T128" i="8"/>
  <c r="X128" i="8"/>
  <c r="U128" i="8"/>
  <c r="Q128" i="8"/>
  <c r="P128" i="8"/>
  <c r="N128" i="8"/>
  <c r="M128" i="8"/>
  <c r="O128" i="8" s="1"/>
  <c r="L128" i="8"/>
  <c r="V128" i="8"/>
  <c r="S128" i="8"/>
  <c r="W128" i="8" s="1"/>
  <c r="K133" i="8"/>
  <c r="H133" i="8"/>
  <c r="T133" i="8"/>
  <c r="X133" i="8"/>
  <c r="U133" i="8"/>
  <c r="Q133" i="8"/>
  <c r="P133" i="8"/>
  <c r="N133" i="8"/>
  <c r="M133" i="8"/>
  <c r="O133" i="8" s="1"/>
  <c r="L133" i="8"/>
  <c r="V133" i="8"/>
  <c r="S133" i="8"/>
  <c r="W133" i="8" s="1"/>
  <c r="K137" i="8"/>
  <c r="H137" i="8"/>
  <c r="T137" i="8"/>
  <c r="X137" i="8"/>
  <c r="U137" i="8"/>
  <c r="Q137" i="8"/>
  <c r="P137" i="8"/>
  <c r="N137" i="8"/>
  <c r="M137" i="8"/>
  <c r="O137" i="8" s="1"/>
  <c r="L137" i="8"/>
  <c r="V137" i="8"/>
  <c r="S137" i="8"/>
  <c r="W137" i="8" s="1"/>
  <c r="K238" i="8"/>
  <c r="H238" i="8"/>
  <c r="T238" i="8"/>
  <c r="X238" i="8"/>
  <c r="U238" i="8"/>
  <c r="Q238" i="8"/>
  <c r="P238" i="8"/>
  <c r="N238" i="8"/>
  <c r="M238" i="8"/>
  <c r="O238" i="8" s="1"/>
  <c r="L238" i="8"/>
  <c r="V238" i="8"/>
  <c r="S238" i="8"/>
  <c r="W238" i="8" s="1"/>
  <c r="K14" i="8"/>
  <c r="H14" i="8"/>
  <c r="T14" i="8"/>
  <c r="X14" i="8"/>
  <c r="U14" i="8"/>
  <c r="Q14" i="8"/>
  <c r="P14" i="8"/>
  <c r="N14" i="8"/>
  <c r="M14" i="8"/>
  <c r="O14" i="8" s="1"/>
  <c r="L14" i="8"/>
  <c r="V14" i="8"/>
  <c r="S14" i="8"/>
  <c r="W14" i="8" s="1"/>
  <c r="K19" i="8"/>
  <c r="H19" i="8"/>
  <c r="T19" i="8"/>
  <c r="X19" i="8"/>
  <c r="U19" i="8"/>
  <c r="Q19" i="8"/>
  <c r="P19" i="8"/>
  <c r="N19" i="8"/>
  <c r="M19" i="8"/>
  <c r="O19" i="8" s="1"/>
  <c r="L19" i="8"/>
  <c r="V19" i="8"/>
  <c r="S19" i="8"/>
  <c r="W19" i="8" s="1"/>
  <c r="K26" i="8"/>
  <c r="H26" i="8"/>
  <c r="T26" i="8"/>
  <c r="X26" i="8"/>
  <c r="U26" i="8"/>
  <c r="Q26" i="8"/>
  <c r="P26" i="8"/>
  <c r="N26" i="8"/>
  <c r="M26" i="8"/>
  <c r="O26" i="8" s="1"/>
  <c r="L26" i="8"/>
  <c r="V26" i="8"/>
  <c r="S26" i="8"/>
  <c r="W26" i="8" s="1"/>
  <c r="K37" i="8"/>
  <c r="H37" i="8"/>
  <c r="T37" i="8"/>
  <c r="X37" i="8"/>
  <c r="U37" i="8"/>
  <c r="Q37" i="8"/>
  <c r="P37" i="8"/>
  <c r="N37" i="8"/>
  <c r="M37" i="8"/>
  <c r="O37" i="8" s="1"/>
  <c r="L37" i="8"/>
  <c r="V37" i="8"/>
  <c r="S37" i="8"/>
  <c r="W37" i="8" s="1"/>
  <c r="K46" i="8"/>
  <c r="H46" i="8"/>
  <c r="T46" i="8"/>
  <c r="X46" i="8"/>
  <c r="U46" i="8"/>
  <c r="Q46" i="8"/>
  <c r="P46" i="8"/>
  <c r="N46" i="8"/>
  <c r="M46" i="8"/>
  <c r="O46" i="8" s="1"/>
  <c r="L46" i="8"/>
  <c r="V46" i="8"/>
  <c r="S46" i="8"/>
  <c r="W46" i="8" s="1"/>
  <c r="K174" i="8"/>
  <c r="H174" i="8"/>
  <c r="T174" i="8"/>
  <c r="X174" i="8"/>
  <c r="U174" i="8"/>
  <c r="Q174" i="8"/>
  <c r="P174" i="8"/>
  <c r="N174" i="8"/>
  <c r="M174" i="8"/>
  <c r="O174" i="8" s="1"/>
  <c r="L174" i="8"/>
  <c r="V174" i="8"/>
  <c r="S174" i="8"/>
  <c r="W174" i="8" s="1"/>
  <c r="K180" i="8"/>
  <c r="H180" i="8"/>
  <c r="T180" i="8"/>
  <c r="X180" i="8"/>
  <c r="U180" i="8"/>
  <c r="Q180" i="8"/>
  <c r="P180" i="8"/>
  <c r="N180" i="8"/>
  <c r="M180" i="8"/>
  <c r="O180" i="8" s="1"/>
  <c r="L180" i="8"/>
  <c r="V180" i="8"/>
  <c r="S180" i="8"/>
  <c r="W180" i="8" s="1"/>
  <c r="K34" i="8"/>
  <c r="H34" i="8"/>
  <c r="T34" i="8"/>
  <c r="X34" i="8"/>
  <c r="U34" i="8"/>
  <c r="Q34" i="8"/>
  <c r="P34" i="8"/>
  <c r="N34" i="8"/>
  <c r="M34" i="8"/>
  <c r="O34" i="8" s="1"/>
  <c r="L34" i="8"/>
  <c r="V34" i="8"/>
  <c r="S34" i="8"/>
  <c r="W34" i="8" s="1"/>
  <c r="K42" i="8"/>
  <c r="H42" i="8"/>
  <c r="T42" i="8"/>
  <c r="X42" i="8"/>
  <c r="U42" i="8"/>
  <c r="Q42" i="8"/>
  <c r="P42" i="8"/>
  <c r="N42" i="8"/>
  <c r="M42" i="8"/>
  <c r="O42" i="8" s="1"/>
  <c r="L42" i="8"/>
  <c r="V42" i="8"/>
  <c r="S42" i="8"/>
  <c r="W42" i="8" s="1"/>
  <c r="K51" i="8"/>
  <c r="H51" i="8"/>
  <c r="T51" i="8"/>
  <c r="X51" i="8"/>
  <c r="U51" i="8"/>
  <c r="Q51" i="8"/>
  <c r="P51" i="8"/>
  <c r="N51" i="8"/>
  <c r="M51" i="8"/>
  <c r="O51" i="8" s="1"/>
  <c r="L51" i="8"/>
  <c r="V51" i="8"/>
  <c r="S51" i="8"/>
  <c r="W51" i="8" s="1"/>
  <c r="K62" i="8"/>
  <c r="H62" i="8"/>
  <c r="T62" i="8"/>
  <c r="X62" i="8"/>
  <c r="U62" i="8"/>
  <c r="Q62" i="8"/>
  <c r="P62" i="8"/>
  <c r="N62" i="8"/>
  <c r="M62" i="8"/>
  <c r="O62" i="8" s="1"/>
  <c r="L62" i="8"/>
  <c r="V62" i="8"/>
  <c r="S62" i="8"/>
  <c r="W62" i="8" s="1"/>
  <c r="K71" i="8"/>
  <c r="H71" i="8"/>
  <c r="T71" i="8"/>
  <c r="X71" i="8"/>
  <c r="U71" i="8"/>
  <c r="Q71" i="8"/>
  <c r="P71" i="8"/>
  <c r="N71" i="8"/>
  <c r="M71" i="8"/>
  <c r="O71" i="8" s="1"/>
  <c r="L71" i="8"/>
  <c r="V71" i="8"/>
  <c r="S71" i="8"/>
  <c r="W71" i="8" s="1"/>
  <c r="K189" i="8"/>
  <c r="H189" i="8"/>
  <c r="T189" i="8"/>
  <c r="X189" i="8"/>
  <c r="U189" i="8"/>
  <c r="Q189" i="8"/>
  <c r="P189" i="8"/>
  <c r="N189" i="8"/>
  <c r="M189" i="8"/>
  <c r="O189" i="8" s="1"/>
  <c r="L189" i="8"/>
  <c r="V189" i="8"/>
  <c r="S189" i="8"/>
  <c r="W189" i="8" s="1"/>
  <c r="K194" i="8"/>
  <c r="H194" i="8"/>
  <c r="T194" i="8"/>
  <c r="X194" i="8"/>
  <c r="U194" i="8"/>
  <c r="Q194" i="8"/>
  <c r="P194" i="8"/>
  <c r="N194" i="8"/>
  <c r="M194" i="8"/>
  <c r="O194" i="8" s="1"/>
  <c r="L194" i="8"/>
  <c r="V194" i="8"/>
  <c r="S194" i="8"/>
  <c r="W194" i="8" s="1"/>
  <c r="K63" i="8"/>
  <c r="H63" i="8"/>
  <c r="T63" i="8"/>
  <c r="X63" i="8"/>
  <c r="U63" i="8"/>
  <c r="Q63" i="8"/>
  <c r="P63" i="8"/>
  <c r="N63" i="8"/>
  <c r="M63" i="8"/>
  <c r="O63" i="8" s="1"/>
  <c r="L63" i="8"/>
  <c r="V63" i="8"/>
  <c r="S63" i="8"/>
  <c r="W63" i="8" s="1"/>
  <c r="K72" i="8"/>
  <c r="H72" i="8"/>
  <c r="T72" i="8"/>
  <c r="X72" i="8"/>
  <c r="U72" i="8"/>
  <c r="Q72" i="8"/>
  <c r="P72" i="8"/>
  <c r="N72" i="8"/>
  <c r="M72" i="8"/>
  <c r="O72" i="8" s="1"/>
  <c r="L72" i="8"/>
  <c r="V72" i="8"/>
  <c r="S72" i="8"/>
  <c r="W72" i="8" s="1"/>
  <c r="K75" i="8"/>
  <c r="H75" i="8"/>
  <c r="T75" i="8"/>
  <c r="X75" i="8"/>
  <c r="U75" i="8"/>
  <c r="Q75" i="8"/>
  <c r="P75" i="8"/>
  <c r="N75" i="8"/>
  <c r="M75" i="8"/>
  <c r="O75" i="8" s="1"/>
  <c r="L75" i="8"/>
  <c r="V75" i="8"/>
  <c r="S75" i="8"/>
  <c r="W75" i="8" s="1"/>
  <c r="K85" i="8"/>
  <c r="H85" i="8"/>
  <c r="T85" i="8"/>
  <c r="X85" i="8"/>
  <c r="U85" i="8"/>
  <c r="Q85" i="8"/>
  <c r="P85" i="8"/>
  <c r="N85" i="8"/>
  <c r="M85" i="8"/>
  <c r="O85" i="8" s="1"/>
  <c r="L85" i="8"/>
  <c r="V85" i="8"/>
  <c r="S85" i="8"/>
  <c r="W85" i="8" s="1"/>
  <c r="K93" i="8"/>
  <c r="H93" i="8"/>
  <c r="T93" i="8"/>
  <c r="X93" i="8"/>
  <c r="U93" i="8"/>
  <c r="Q93" i="8"/>
  <c r="P93" i="8"/>
  <c r="N93" i="8"/>
  <c r="M93" i="8"/>
  <c r="O93" i="8" s="1"/>
  <c r="L93" i="8"/>
  <c r="V93" i="8"/>
  <c r="S93" i="8"/>
  <c r="W93" i="8" s="1"/>
  <c r="K206" i="8"/>
  <c r="H206" i="8"/>
  <c r="T206" i="8"/>
  <c r="X206" i="8"/>
  <c r="U206" i="8"/>
  <c r="Q206" i="8"/>
  <c r="P206" i="8"/>
  <c r="N206" i="8"/>
  <c r="V206" i="8"/>
  <c r="S206" i="8"/>
  <c r="W206" i="8" s="1"/>
  <c r="K214" i="8"/>
  <c r="H214" i="8"/>
  <c r="T214" i="8"/>
  <c r="X214" i="8"/>
  <c r="U214" i="8"/>
  <c r="Q214" i="8"/>
  <c r="P214" i="8"/>
  <c r="N214" i="8"/>
  <c r="M214" i="8"/>
  <c r="O214" i="8" s="1"/>
  <c r="L214" i="8"/>
  <c r="V214" i="8"/>
  <c r="S214" i="8"/>
  <c r="W214" i="8" s="1"/>
  <c r="K95" i="8"/>
  <c r="H95" i="8"/>
  <c r="T95" i="8"/>
  <c r="X95" i="8"/>
  <c r="U95" i="8"/>
  <c r="Q95" i="8"/>
  <c r="P95" i="8"/>
  <c r="N95" i="8"/>
  <c r="M95" i="8"/>
  <c r="O95" i="8" s="1"/>
  <c r="L95" i="8"/>
  <c r="V95" i="8"/>
  <c r="S95" i="8"/>
  <c r="W95" i="8" s="1"/>
  <c r="K100" i="8"/>
  <c r="H100" i="8"/>
  <c r="T100" i="8"/>
  <c r="X100" i="8"/>
  <c r="U100" i="8"/>
  <c r="Q100" i="8"/>
  <c r="P100" i="8"/>
  <c r="N100" i="8"/>
  <c r="M100" i="8"/>
  <c r="O100" i="8" s="1"/>
  <c r="L100" i="8"/>
  <c r="V100" i="8"/>
  <c r="S100" i="8"/>
  <c r="W100" i="8" s="1"/>
  <c r="K102" i="8"/>
  <c r="H102" i="8"/>
  <c r="T102" i="8"/>
  <c r="X102" i="8"/>
  <c r="U102" i="8"/>
  <c r="Q102" i="8"/>
  <c r="P102" i="8"/>
  <c r="N102" i="8"/>
  <c r="M102" i="8"/>
  <c r="O102" i="8" s="1"/>
  <c r="L102" i="8"/>
  <c r="V102" i="8"/>
  <c r="S102" i="8"/>
  <c r="W102" i="8" s="1"/>
  <c r="K108" i="8"/>
  <c r="H108" i="8"/>
  <c r="T108" i="8"/>
  <c r="X108" i="8"/>
  <c r="U108" i="8"/>
  <c r="Q108" i="8"/>
  <c r="P108" i="8"/>
  <c r="N108" i="8"/>
  <c r="M108" i="8"/>
  <c r="O108" i="8" s="1"/>
  <c r="L108" i="8"/>
  <c r="V108" i="8"/>
  <c r="S108" i="8"/>
  <c r="W108" i="8" s="1"/>
  <c r="K112" i="8"/>
  <c r="H112" i="8"/>
  <c r="T112" i="8"/>
  <c r="X112" i="8"/>
  <c r="U112" i="8"/>
  <c r="Q112" i="8"/>
  <c r="P112" i="8"/>
  <c r="N112" i="8"/>
  <c r="M112" i="8"/>
  <c r="O112" i="8" s="1"/>
  <c r="L112" i="8"/>
  <c r="V112" i="8"/>
  <c r="S112" i="8"/>
  <c r="W112" i="8" s="1"/>
  <c r="K226" i="8"/>
  <c r="H226" i="8"/>
  <c r="T226" i="8"/>
  <c r="X226" i="8"/>
  <c r="U226" i="8"/>
  <c r="Q226" i="8"/>
  <c r="P226" i="8"/>
  <c r="N226" i="8"/>
  <c r="M226" i="8"/>
  <c r="O226" i="8" s="1"/>
  <c r="L226" i="8"/>
  <c r="V226" i="8"/>
  <c r="S226" i="8"/>
  <c r="W226" i="8" s="1"/>
  <c r="K230" i="8"/>
  <c r="H230" i="8"/>
  <c r="T230" i="8"/>
  <c r="X230" i="8"/>
  <c r="U230" i="8"/>
  <c r="Q230" i="8"/>
  <c r="P230" i="8"/>
  <c r="N230" i="8"/>
  <c r="M230" i="8"/>
  <c r="O230" i="8" s="1"/>
  <c r="L230" i="8"/>
  <c r="V230" i="8"/>
  <c r="S230" i="8"/>
  <c r="W230" i="8" s="1"/>
  <c r="K122" i="8"/>
  <c r="H122" i="8"/>
  <c r="T122" i="8"/>
  <c r="X122" i="8"/>
  <c r="U122" i="8"/>
  <c r="Q122" i="8"/>
  <c r="P122" i="8"/>
  <c r="N122" i="8"/>
  <c r="M122" i="8"/>
  <c r="O122" i="8" s="1"/>
  <c r="L122" i="8"/>
  <c r="V122" i="8"/>
  <c r="S122" i="8"/>
  <c r="W122" i="8" s="1"/>
  <c r="K127" i="8"/>
  <c r="H127" i="8"/>
  <c r="T127" i="8"/>
  <c r="X127" i="8"/>
  <c r="U127" i="8"/>
  <c r="Q127" i="8"/>
  <c r="P127" i="8"/>
  <c r="N127" i="8"/>
  <c r="M127" i="8"/>
  <c r="O127" i="8" s="1"/>
  <c r="L127" i="8"/>
  <c r="V127" i="8"/>
  <c r="S127" i="8"/>
  <c r="W127" i="8" s="1"/>
  <c r="K129" i="8"/>
  <c r="H129" i="8"/>
  <c r="T129" i="8"/>
  <c r="X129" i="8"/>
  <c r="U129" i="8"/>
  <c r="Q129" i="8"/>
  <c r="P129" i="8"/>
  <c r="N129" i="8"/>
  <c r="M129" i="8"/>
  <c r="O129" i="8" s="1"/>
  <c r="L129" i="8"/>
  <c r="V129" i="8"/>
  <c r="S129" i="8"/>
  <c r="W129" i="8" s="1"/>
  <c r="K135" i="8"/>
  <c r="H135" i="8"/>
  <c r="T135" i="8"/>
  <c r="X135" i="8"/>
  <c r="U135" i="8"/>
  <c r="Q135" i="8"/>
  <c r="P135" i="8"/>
  <c r="N135" i="8"/>
  <c r="M135" i="8"/>
  <c r="O135" i="8" s="1"/>
  <c r="L135" i="8"/>
  <c r="V135" i="8"/>
  <c r="S135" i="8"/>
  <c r="W135" i="8" s="1"/>
  <c r="K139" i="8"/>
  <c r="H139" i="8"/>
  <c r="T139" i="8"/>
  <c r="X139" i="8"/>
  <c r="U139" i="8"/>
  <c r="Q139" i="8"/>
  <c r="P139" i="8"/>
  <c r="N139" i="8"/>
  <c r="M139" i="8"/>
  <c r="O139" i="8" s="1"/>
  <c r="L139" i="8"/>
  <c r="V139" i="8"/>
  <c r="S139" i="8"/>
  <c r="W139" i="8" s="1"/>
  <c r="K241" i="8"/>
  <c r="H241" i="8"/>
  <c r="T241" i="8"/>
  <c r="X241" i="8"/>
  <c r="U241" i="8"/>
  <c r="Q241" i="8"/>
  <c r="P241" i="8"/>
  <c r="N241" i="8"/>
  <c r="M241" i="8"/>
  <c r="O241" i="8" s="1"/>
  <c r="L241" i="8"/>
  <c r="V241" i="8"/>
  <c r="S241" i="8"/>
  <c r="W241" i="8" s="1"/>
  <c r="K244" i="8"/>
  <c r="H244" i="8"/>
  <c r="T244" i="8"/>
  <c r="X244" i="8"/>
  <c r="U244" i="8"/>
  <c r="Q244" i="8"/>
  <c r="P244" i="8"/>
  <c r="N244" i="8"/>
  <c r="M244" i="8"/>
  <c r="O244" i="8" s="1"/>
  <c r="L244" i="8"/>
  <c r="V244" i="8"/>
  <c r="S244" i="8"/>
  <c r="W244" i="8" s="1"/>
  <c r="K27" i="8"/>
  <c r="H27" i="8"/>
  <c r="T27" i="8"/>
  <c r="X27" i="8"/>
  <c r="U27" i="8"/>
  <c r="Q27" i="8"/>
  <c r="P27" i="8"/>
  <c r="N27" i="8"/>
  <c r="M27" i="8"/>
  <c r="O27" i="8" s="1"/>
  <c r="L27" i="8"/>
  <c r="V27" i="8"/>
  <c r="S27" i="8"/>
  <c r="W27" i="8" s="1"/>
  <c r="K36" i="8"/>
  <c r="H36" i="8"/>
  <c r="T36" i="8"/>
  <c r="X36" i="8"/>
  <c r="U36" i="8"/>
  <c r="Q36" i="8"/>
  <c r="P36" i="8"/>
  <c r="N36" i="8"/>
  <c r="M36" i="8"/>
  <c r="O36" i="8" s="1"/>
  <c r="L36" i="8"/>
  <c r="V36" i="8"/>
  <c r="S36" i="8"/>
  <c r="W36" i="8" s="1"/>
  <c r="K44" i="8"/>
  <c r="H44" i="8"/>
  <c r="T44" i="8"/>
  <c r="X44" i="8"/>
  <c r="U44" i="8"/>
  <c r="Q44" i="8"/>
  <c r="P44" i="8"/>
  <c r="N44" i="8"/>
  <c r="M44" i="8"/>
  <c r="O44" i="8" s="1"/>
  <c r="L44" i="8"/>
  <c r="V44" i="8"/>
  <c r="S44" i="8"/>
  <c r="W44" i="8" s="1"/>
  <c r="K169" i="8"/>
  <c r="H169" i="8"/>
  <c r="T169" i="8"/>
  <c r="X169" i="8"/>
  <c r="U169" i="8"/>
  <c r="Q169" i="8"/>
  <c r="P169" i="8"/>
  <c r="N169" i="8"/>
  <c r="M169" i="8"/>
  <c r="O169" i="8" s="1"/>
  <c r="L169" i="8"/>
  <c r="V169" i="8"/>
  <c r="S169" i="8"/>
  <c r="W169" i="8" s="1"/>
  <c r="K176" i="8"/>
  <c r="H176" i="8"/>
  <c r="T176" i="8"/>
  <c r="X176" i="8"/>
  <c r="U176" i="8"/>
  <c r="Q176" i="8"/>
  <c r="P176" i="8"/>
  <c r="N176" i="8"/>
  <c r="M176" i="8"/>
  <c r="O176" i="8" s="1"/>
  <c r="L176" i="8"/>
  <c r="V176" i="8"/>
  <c r="S176" i="8"/>
  <c r="W176" i="8" s="1"/>
  <c r="K184" i="8"/>
  <c r="H184" i="8"/>
  <c r="T184" i="8"/>
  <c r="X184" i="8"/>
  <c r="U184" i="8"/>
  <c r="Q184" i="8"/>
  <c r="P184" i="8"/>
  <c r="N184" i="8"/>
  <c r="M184" i="8"/>
  <c r="O184" i="8" s="1"/>
  <c r="L184" i="8"/>
  <c r="V184" i="8"/>
  <c r="S184" i="8"/>
  <c r="W184" i="8" s="1"/>
  <c r="K193" i="8"/>
  <c r="H193" i="8"/>
  <c r="T193" i="8"/>
  <c r="X193" i="8"/>
  <c r="U193" i="8"/>
  <c r="Q193" i="8"/>
  <c r="P193" i="8"/>
  <c r="N193" i="8"/>
  <c r="M193" i="8"/>
  <c r="O193" i="8" s="1"/>
  <c r="L193" i="8"/>
  <c r="V193" i="8"/>
  <c r="S193" i="8"/>
  <c r="W193" i="8" s="1"/>
  <c r="K52" i="8"/>
  <c r="H52" i="8"/>
  <c r="T52" i="8"/>
  <c r="X52" i="8"/>
  <c r="U52" i="8"/>
  <c r="Q52" i="8"/>
  <c r="P52" i="8"/>
  <c r="N52" i="8"/>
  <c r="M52" i="8"/>
  <c r="O52" i="8" s="1"/>
  <c r="L52" i="8"/>
  <c r="V52" i="8"/>
  <c r="S52" i="8"/>
  <c r="W52" i="8" s="1"/>
  <c r="K60" i="8"/>
  <c r="H60" i="8"/>
  <c r="T60" i="8"/>
  <c r="X60" i="8"/>
  <c r="U60" i="8"/>
  <c r="Q60" i="8"/>
  <c r="P60" i="8"/>
  <c r="N60" i="8"/>
  <c r="M60" i="8"/>
  <c r="O60" i="8" s="1"/>
  <c r="L60" i="8"/>
  <c r="V60" i="8"/>
  <c r="S60" i="8"/>
  <c r="W60" i="8" s="1"/>
  <c r="K67" i="8"/>
  <c r="H67" i="8"/>
  <c r="T67" i="8"/>
  <c r="X67" i="8"/>
  <c r="U67" i="8"/>
  <c r="Q67" i="8"/>
  <c r="P67" i="8"/>
  <c r="N67" i="8"/>
  <c r="M67" i="8"/>
  <c r="O67" i="8" s="1"/>
  <c r="L67" i="8"/>
  <c r="V67" i="8"/>
  <c r="S67" i="8"/>
  <c r="W67" i="8" s="1"/>
  <c r="K185" i="8"/>
  <c r="H185" i="8"/>
  <c r="T185" i="8"/>
  <c r="X185" i="8"/>
  <c r="U185" i="8"/>
  <c r="Q185" i="8"/>
  <c r="P185" i="8"/>
  <c r="N185" i="8"/>
  <c r="M185" i="8"/>
  <c r="O185" i="8" s="1"/>
  <c r="L185" i="8"/>
  <c r="V185" i="8"/>
  <c r="S185" i="8"/>
  <c r="W185" i="8" s="1"/>
  <c r="K191" i="8"/>
  <c r="H191" i="8"/>
  <c r="T191" i="8"/>
  <c r="X191" i="8"/>
  <c r="U191" i="8"/>
  <c r="Q191" i="8"/>
  <c r="P191" i="8"/>
  <c r="N191" i="8"/>
  <c r="M191" i="8"/>
  <c r="O191" i="8" s="1"/>
  <c r="L191" i="8"/>
  <c r="V191" i="8"/>
  <c r="S191" i="8"/>
  <c r="W191" i="8" s="1"/>
  <c r="K197" i="8"/>
  <c r="H197" i="8"/>
  <c r="T197" i="8"/>
  <c r="X197" i="8"/>
  <c r="U197" i="8"/>
  <c r="Q197" i="8"/>
  <c r="P197" i="8"/>
  <c r="N197" i="8"/>
  <c r="M197" i="8"/>
  <c r="O197" i="8" s="1"/>
  <c r="L197" i="8"/>
  <c r="V197" i="8"/>
  <c r="S197" i="8"/>
  <c r="W197" i="8" s="1"/>
  <c r="K207" i="8"/>
  <c r="H207" i="8"/>
  <c r="T207" i="8"/>
  <c r="X207" i="8"/>
  <c r="U207" i="8"/>
  <c r="Q207" i="8"/>
  <c r="P207" i="8"/>
  <c r="N207" i="8"/>
  <c r="M207" i="8"/>
  <c r="O207" i="8" s="1"/>
  <c r="L207" i="8"/>
  <c r="V207" i="8"/>
  <c r="S207" i="8"/>
  <c r="W207" i="8" s="1"/>
  <c r="K76" i="8"/>
  <c r="H76" i="8"/>
  <c r="T76" i="8"/>
  <c r="X76" i="8"/>
  <c r="U76" i="8"/>
  <c r="Q76" i="8"/>
  <c r="P76" i="8"/>
  <c r="N76" i="8"/>
  <c r="M76" i="8"/>
  <c r="O76" i="8" s="1"/>
  <c r="L76" i="8"/>
  <c r="V76" i="8"/>
  <c r="S76" i="8"/>
  <c r="W76" i="8" s="1"/>
  <c r="K83" i="8"/>
  <c r="H83" i="8"/>
  <c r="T83" i="8"/>
  <c r="X83" i="8"/>
  <c r="U83" i="8"/>
  <c r="Q83" i="8"/>
  <c r="P83" i="8"/>
  <c r="N83" i="8"/>
  <c r="M83" i="8"/>
  <c r="O83" i="8" s="1"/>
  <c r="L83" i="8"/>
  <c r="V83" i="8"/>
  <c r="S83" i="8"/>
  <c r="W83" i="8" s="1"/>
  <c r="K91" i="8"/>
  <c r="H91" i="8"/>
  <c r="T91" i="8"/>
  <c r="X91" i="8"/>
  <c r="U91" i="8"/>
  <c r="Q91" i="8"/>
  <c r="P91" i="8"/>
  <c r="N91" i="8"/>
  <c r="M91" i="8"/>
  <c r="O91" i="8" s="1"/>
  <c r="L91" i="8"/>
  <c r="V91" i="8"/>
  <c r="S91" i="8"/>
  <c r="W91" i="8" s="1"/>
  <c r="K199" i="8"/>
  <c r="H199" i="8"/>
  <c r="T199" i="8"/>
  <c r="X199" i="8"/>
  <c r="U199" i="8"/>
  <c r="Q199" i="8"/>
  <c r="P199" i="8"/>
  <c r="N199" i="8"/>
  <c r="M199" i="8"/>
  <c r="O199" i="8" s="1"/>
  <c r="L199" i="8"/>
  <c r="V199" i="8"/>
  <c r="S199" i="8"/>
  <c r="W199" i="8" s="1"/>
  <c r="K209" i="8"/>
  <c r="H209" i="8"/>
  <c r="T209" i="8"/>
  <c r="X209" i="8"/>
  <c r="U209" i="8"/>
  <c r="Q209" i="8"/>
  <c r="P209" i="8"/>
  <c r="N209" i="8"/>
  <c r="M209" i="8"/>
  <c r="O209" i="8" s="1"/>
  <c r="L209" i="8"/>
  <c r="V209" i="8"/>
  <c r="S209" i="8"/>
  <c r="W209" i="8" s="1"/>
  <c r="K218" i="8"/>
  <c r="H218" i="8"/>
  <c r="T218" i="8"/>
  <c r="X218" i="8"/>
  <c r="U218" i="8"/>
  <c r="Q218" i="8"/>
  <c r="P218" i="8"/>
  <c r="N218" i="8"/>
  <c r="M218" i="8"/>
  <c r="O218" i="8" s="1"/>
  <c r="L218" i="8"/>
  <c r="V218" i="8"/>
  <c r="S218" i="8"/>
  <c r="W218" i="8" s="1"/>
  <c r="K222" i="8"/>
  <c r="H222" i="8"/>
  <c r="T222" i="8"/>
  <c r="X222" i="8"/>
  <c r="U222" i="8"/>
  <c r="Q222" i="8"/>
  <c r="P222" i="8"/>
  <c r="N222" i="8"/>
  <c r="M222" i="8"/>
  <c r="O222" i="8" s="1"/>
  <c r="L222" i="8"/>
  <c r="V222" i="8"/>
  <c r="S222" i="8"/>
  <c r="W222" i="8" s="1"/>
  <c r="K103" i="8"/>
  <c r="H103" i="8"/>
  <c r="T103" i="8"/>
  <c r="X103" i="8"/>
  <c r="U103" i="8"/>
  <c r="Q103" i="8"/>
  <c r="P103" i="8"/>
  <c r="N103" i="8"/>
  <c r="M103" i="8"/>
  <c r="O103" i="8" s="1"/>
  <c r="L103" i="8"/>
  <c r="V103" i="8"/>
  <c r="S103" i="8"/>
  <c r="W103" i="8" s="1"/>
  <c r="K107" i="8"/>
  <c r="H107" i="8"/>
  <c r="T107" i="8"/>
  <c r="X107" i="8"/>
  <c r="U107" i="8"/>
  <c r="Q107" i="8"/>
  <c r="P107" i="8"/>
  <c r="N107" i="8"/>
  <c r="M107" i="8"/>
  <c r="O107" i="8" s="1"/>
  <c r="L107" i="8"/>
  <c r="V107" i="8"/>
  <c r="S107" i="8"/>
  <c r="W107" i="8" s="1"/>
  <c r="K111" i="8"/>
  <c r="H111" i="8"/>
  <c r="T111" i="8"/>
  <c r="X111" i="8"/>
  <c r="U111" i="8"/>
  <c r="Q111" i="8"/>
  <c r="P111" i="8"/>
  <c r="N111" i="8"/>
  <c r="M111" i="8"/>
  <c r="O111" i="8" s="1"/>
  <c r="L111" i="8"/>
  <c r="V111" i="8"/>
  <c r="S111" i="8"/>
  <c r="W111" i="8" s="1"/>
  <c r="K223" i="8"/>
  <c r="H223" i="8"/>
  <c r="T223" i="8"/>
  <c r="X223" i="8"/>
  <c r="U223" i="8"/>
  <c r="Q223" i="8"/>
  <c r="P223" i="8"/>
  <c r="N223" i="8"/>
  <c r="M223" i="8"/>
  <c r="O223" i="8" s="1"/>
  <c r="L223" i="8"/>
  <c r="V223" i="8"/>
  <c r="S223" i="8"/>
  <c r="W223" i="8" s="1"/>
  <c r="K228" i="8"/>
  <c r="H228" i="8"/>
  <c r="T228" i="8"/>
  <c r="X228" i="8"/>
  <c r="U228" i="8"/>
  <c r="Q228" i="8"/>
  <c r="P228" i="8"/>
  <c r="N228" i="8"/>
  <c r="M228" i="8"/>
  <c r="O228" i="8" s="1"/>
  <c r="L228" i="8"/>
  <c r="V228" i="8"/>
  <c r="S228" i="8"/>
  <c r="W228" i="8" s="1"/>
  <c r="K233" i="8"/>
  <c r="H233" i="8"/>
  <c r="T233" i="8"/>
  <c r="X233" i="8"/>
  <c r="U233" i="8"/>
  <c r="Q233" i="8"/>
  <c r="P233" i="8"/>
  <c r="N233" i="8"/>
  <c r="M233" i="8"/>
  <c r="O233" i="8" s="1"/>
  <c r="L233" i="8"/>
  <c r="V233" i="8"/>
  <c r="S233" i="8"/>
  <c r="W233" i="8" s="1"/>
  <c r="K235" i="8"/>
  <c r="H235" i="8"/>
  <c r="T235" i="8"/>
  <c r="X235" i="8"/>
  <c r="U235" i="8"/>
  <c r="Q235" i="8"/>
  <c r="P235" i="8"/>
  <c r="N235" i="8"/>
  <c r="M235" i="8"/>
  <c r="O235" i="8" s="1"/>
  <c r="L235" i="8"/>
  <c r="V235" i="8"/>
  <c r="S235" i="8"/>
  <c r="W235" i="8" s="1"/>
  <c r="K130" i="8"/>
  <c r="H130" i="8"/>
  <c r="T130" i="8"/>
  <c r="X130" i="8"/>
  <c r="U130" i="8"/>
  <c r="Q130" i="8"/>
  <c r="P130" i="8"/>
  <c r="N130" i="8"/>
  <c r="M130" i="8"/>
  <c r="O130" i="8" s="1"/>
  <c r="L130" i="8"/>
  <c r="V130" i="8"/>
  <c r="S130" i="8"/>
  <c r="W130" i="8" s="1"/>
  <c r="K134" i="8"/>
  <c r="H134" i="8"/>
  <c r="T134" i="8"/>
  <c r="X134" i="8"/>
  <c r="U134" i="8"/>
  <c r="Q134" i="8"/>
  <c r="P134" i="8"/>
  <c r="N134" i="8"/>
  <c r="M134" i="8"/>
  <c r="O134" i="8" s="1"/>
  <c r="L134" i="8"/>
  <c r="V134" i="8"/>
  <c r="S134" i="8"/>
  <c r="W134" i="8" s="1"/>
  <c r="K138" i="8"/>
  <c r="H138" i="8"/>
  <c r="T138" i="8"/>
  <c r="X138" i="8"/>
  <c r="U138" i="8"/>
  <c r="Q138" i="8"/>
  <c r="P138" i="8"/>
  <c r="N138" i="8"/>
  <c r="M138" i="8"/>
  <c r="O138" i="8" s="1"/>
  <c r="L138" i="8"/>
  <c r="V138" i="8"/>
  <c r="S138" i="8"/>
  <c r="W138" i="8" s="1"/>
  <c r="K237" i="8"/>
  <c r="H237" i="8"/>
  <c r="T237" i="8"/>
  <c r="X237" i="8"/>
  <c r="U237" i="8"/>
  <c r="Q237" i="8"/>
  <c r="P237" i="8"/>
  <c r="N237" i="8"/>
  <c r="M237" i="8"/>
  <c r="O237" i="8" s="1"/>
  <c r="L237" i="8"/>
  <c r="V237" i="8"/>
  <c r="S237" i="8"/>
  <c r="W237" i="8" s="1"/>
  <c r="K242" i="8"/>
  <c r="H242" i="8"/>
  <c r="T242" i="8"/>
  <c r="X242" i="8"/>
  <c r="U242" i="8"/>
  <c r="Q242" i="8"/>
  <c r="P242" i="8"/>
  <c r="N242" i="8"/>
  <c r="M242" i="8"/>
  <c r="O242" i="8" s="1"/>
  <c r="L242" i="8"/>
  <c r="V242" i="8"/>
  <c r="S242" i="8"/>
  <c r="W242" i="8" s="1"/>
  <c r="K246" i="8"/>
  <c r="H246" i="8"/>
  <c r="T246" i="8"/>
  <c r="X246" i="8"/>
  <c r="U246" i="8"/>
  <c r="Q246" i="8"/>
  <c r="P246" i="8"/>
  <c r="N246" i="8"/>
  <c r="M246" i="8"/>
  <c r="O246" i="8" s="1"/>
  <c r="L246" i="8"/>
  <c r="V246" i="8"/>
  <c r="S246" i="8"/>
  <c r="W246" i="8" s="1"/>
  <c r="K248" i="8"/>
  <c r="H248" i="8"/>
  <c r="T248" i="8"/>
  <c r="X248" i="8"/>
  <c r="U248" i="8"/>
  <c r="Q248" i="8"/>
  <c r="P248" i="8"/>
  <c r="N248" i="8"/>
  <c r="M248" i="8"/>
  <c r="O248" i="8" s="1"/>
  <c r="L248" i="8"/>
  <c r="V248" i="8"/>
  <c r="S248" i="8"/>
  <c r="W248" i="8" s="1"/>
  <c r="K47" i="8"/>
  <c r="H47" i="8"/>
  <c r="T47" i="8"/>
  <c r="X47" i="8"/>
  <c r="U47" i="8"/>
  <c r="Q47" i="8"/>
  <c r="P47" i="8"/>
  <c r="N47" i="8"/>
  <c r="M47" i="8"/>
  <c r="O47" i="8" s="1"/>
  <c r="L47" i="8"/>
  <c r="V47" i="8"/>
  <c r="S47" i="8"/>
  <c r="W47" i="8" s="1"/>
  <c r="K172" i="8"/>
  <c r="H172" i="8"/>
  <c r="T172" i="8"/>
  <c r="X172" i="8"/>
  <c r="U172" i="8"/>
  <c r="Q172" i="8"/>
  <c r="P172" i="8"/>
  <c r="N172" i="8"/>
  <c r="M172" i="8"/>
  <c r="O172" i="8" s="1"/>
  <c r="L172" i="8"/>
  <c r="V172" i="8"/>
  <c r="S172" i="8"/>
  <c r="W172" i="8" s="1"/>
  <c r="K177" i="8"/>
  <c r="H177" i="8"/>
  <c r="T177" i="8"/>
  <c r="X177" i="8"/>
  <c r="U177" i="8"/>
  <c r="Q177" i="8"/>
  <c r="P177" i="8"/>
  <c r="N177" i="8"/>
  <c r="M177" i="8"/>
  <c r="O177" i="8" s="1"/>
  <c r="L177" i="8"/>
  <c r="V177" i="8"/>
  <c r="S177" i="8"/>
  <c r="W177" i="8" s="1"/>
  <c r="K182" i="8"/>
  <c r="H182" i="8"/>
  <c r="T182" i="8"/>
  <c r="X182" i="8"/>
  <c r="U182" i="8"/>
  <c r="Q182" i="8"/>
  <c r="P182" i="8"/>
  <c r="N182" i="8"/>
  <c r="M182" i="8"/>
  <c r="O182" i="8" s="1"/>
  <c r="L182" i="8"/>
  <c r="V182" i="8"/>
  <c r="S182" i="8"/>
  <c r="W182" i="8" s="1"/>
  <c r="K190" i="8"/>
  <c r="H190" i="8"/>
  <c r="T190" i="8"/>
  <c r="X190" i="8"/>
  <c r="U190" i="8"/>
  <c r="Q190" i="8"/>
  <c r="P190" i="8"/>
  <c r="N190" i="8"/>
  <c r="M190" i="8"/>
  <c r="O190" i="8" s="1"/>
  <c r="L190" i="8"/>
  <c r="V190" i="8"/>
  <c r="S190" i="8"/>
  <c r="W190" i="8" s="1"/>
  <c r="K195" i="8"/>
  <c r="H195" i="8"/>
  <c r="T195" i="8"/>
  <c r="X195" i="8"/>
  <c r="U195" i="8"/>
  <c r="Q195" i="8"/>
  <c r="P195" i="8"/>
  <c r="N195" i="8"/>
  <c r="M195" i="8"/>
  <c r="O195" i="8" s="1"/>
  <c r="L195" i="8"/>
  <c r="V195" i="8"/>
  <c r="S195" i="8"/>
  <c r="W195" i="8" s="1"/>
  <c r="K202" i="8"/>
  <c r="H202" i="8"/>
  <c r="T202" i="8"/>
  <c r="X202" i="8"/>
  <c r="U202" i="8"/>
  <c r="Q202" i="8"/>
  <c r="P202" i="8"/>
  <c r="N202" i="8"/>
  <c r="M202" i="8"/>
  <c r="O202" i="8" s="1"/>
  <c r="L202" i="8"/>
  <c r="V202" i="8"/>
  <c r="S202" i="8"/>
  <c r="W202" i="8" s="1"/>
  <c r="K73" i="8"/>
  <c r="H73" i="8"/>
  <c r="T73" i="8"/>
  <c r="X73" i="8"/>
  <c r="U73" i="8"/>
  <c r="Q73" i="8"/>
  <c r="P73" i="8"/>
  <c r="N73" i="8"/>
  <c r="M73" i="8"/>
  <c r="O73" i="8" s="1"/>
  <c r="L73" i="8"/>
  <c r="V73" i="8"/>
  <c r="S73" i="8"/>
  <c r="W73" i="8" s="1"/>
  <c r="K187" i="8"/>
  <c r="H187" i="8"/>
  <c r="T187" i="8"/>
  <c r="X187" i="8"/>
  <c r="U187" i="8"/>
  <c r="Q187" i="8"/>
  <c r="P187" i="8"/>
  <c r="N187" i="8"/>
  <c r="M187" i="8"/>
  <c r="O187" i="8" s="1"/>
  <c r="L187" i="8"/>
  <c r="V187" i="8"/>
  <c r="S187" i="8"/>
  <c r="W187" i="8" s="1"/>
  <c r="K192" i="8"/>
  <c r="H192" i="8"/>
  <c r="T192" i="8"/>
  <c r="X192" i="8"/>
  <c r="U192" i="8"/>
  <c r="Q192" i="8"/>
  <c r="P192" i="8"/>
  <c r="N192" i="8"/>
  <c r="M192" i="8"/>
  <c r="O192" i="8" s="1"/>
  <c r="L192" i="8"/>
  <c r="V192" i="8"/>
  <c r="S192" i="8"/>
  <c r="W192" i="8" s="1"/>
  <c r="K196" i="8"/>
  <c r="H196" i="8"/>
  <c r="T196" i="8"/>
  <c r="X196" i="8"/>
  <c r="U196" i="8"/>
  <c r="Q196" i="8"/>
  <c r="P196" i="8"/>
  <c r="N196" i="8"/>
  <c r="M196" i="8"/>
  <c r="O196" i="8" s="1"/>
  <c r="L196" i="8"/>
  <c r="V196" i="8"/>
  <c r="S196" i="8"/>
  <c r="W196" i="8" s="1"/>
  <c r="K203" i="8"/>
  <c r="H203" i="8"/>
  <c r="T203" i="8"/>
  <c r="X203" i="8"/>
  <c r="U203" i="8"/>
  <c r="Q203" i="8"/>
  <c r="P203" i="8"/>
  <c r="N203" i="8"/>
  <c r="M203" i="8"/>
  <c r="O203" i="8" s="1"/>
  <c r="L203" i="8"/>
  <c r="V203" i="8"/>
  <c r="S203" i="8"/>
  <c r="W203" i="8" s="1"/>
  <c r="K212" i="8"/>
  <c r="H212" i="8"/>
  <c r="T212" i="8"/>
  <c r="X212" i="8"/>
  <c r="U212" i="8"/>
  <c r="Q212" i="8"/>
  <c r="P212" i="8"/>
  <c r="N212" i="8"/>
  <c r="M212" i="8"/>
  <c r="O212" i="8" s="1"/>
  <c r="L212" i="8"/>
  <c r="V212" i="8"/>
  <c r="S212" i="8"/>
  <c r="W212" i="8" s="1"/>
  <c r="K220" i="8"/>
  <c r="H220" i="8"/>
  <c r="T220" i="8"/>
  <c r="X220" i="8"/>
  <c r="U220" i="8"/>
  <c r="Q220" i="8"/>
  <c r="P220" i="8"/>
  <c r="N220" i="8"/>
  <c r="M220" i="8"/>
  <c r="O220" i="8" s="1"/>
  <c r="L220" i="8"/>
  <c r="V220" i="8"/>
  <c r="S220" i="8"/>
  <c r="W220" i="8" s="1"/>
  <c r="K94" i="8"/>
  <c r="H94" i="8"/>
  <c r="T94" i="8"/>
  <c r="X94" i="8"/>
  <c r="U94" i="8"/>
  <c r="Q94" i="8"/>
  <c r="P94" i="8"/>
  <c r="N94" i="8"/>
  <c r="M94" i="8"/>
  <c r="O94" i="8" s="1"/>
  <c r="L94" i="8"/>
  <c r="V94" i="8"/>
  <c r="S94" i="8"/>
  <c r="W94" i="8" s="1"/>
  <c r="K204" i="8"/>
  <c r="H204" i="8"/>
  <c r="T204" i="8"/>
  <c r="X204" i="8"/>
  <c r="U204" i="8"/>
  <c r="Q204" i="8"/>
  <c r="P204" i="8"/>
  <c r="N204" i="8"/>
  <c r="M204" i="8"/>
  <c r="O204" i="8" s="1"/>
  <c r="L204" i="8"/>
  <c r="V204" i="8"/>
  <c r="S204" i="8"/>
  <c r="W204" i="8" s="1"/>
  <c r="K210" i="8"/>
  <c r="H210" i="8"/>
  <c r="T210" i="8"/>
  <c r="X210" i="8"/>
  <c r="U210" i="8"/>
  <c r="Q210" i="8"/>
  <c r="P210" i="8"/>
  <c r="N210" i="8"/>
  <c r="M210" i="8"/>
  <c r="O210" i="8" s="1"/>
  <c r="L210" i="8"/>
  <c r="V210" i="8"/>
  <c r="S210" i="8"/>
  <c r="W210" i="8" s="1"/>
  <c r="K216" i="8"/>
  <c r="H216" i="8"/>
  <c r="T216" i="8"/>
  <c r="X216" i="8"/>
  <c r="U216" i="8"/>
  <c r="Q216" i="8"/>
  <c r="P216" i="8"/>
  <c r="N216" i="8"/>
  <c r="M216" i="8"/>
  <c r="O216" i="8" s="1"/>
  <c r="L216" i="8"/>
  <c r="V216" i="8"/>
  <c r="S216" i="8"/>
  <c r="W216" i="8" s="1"/>
  <c r="K221" i="8"/>
  <c r="H221" i="8"/>
  <c r="T221" i="8"/>
  <c r="X221" i="8"/>
  <c r="U221" i="8"/>
  <c r="Q221" i="8"/>
  <c r="P221" i="8"/>
  <c r="N221" i="8"/>
  <c r="M221" i="8"/>
  <c r="O221" i="8" s="1"/>
  <c r="L221" i="8"/>
  <c r="V221" i="8"/>
  <c r="S221" i="8"/>
  <c r="W221" i="8" s="1"/>
  <c r="K227" i="8"/>
  <c r="H227" i="8"/>
  <c r="T227" i="8"/>
  <c r="X227" i="8"/>
  <c r="U227" i="8"/>
  <c r="Q227" i="8"/>
  <c r="P227" i="8"/>
  <c r="N227" i="8"/>
  <c r="M227" i="8"/>
  <c r="O227" i="8" s="1"/>
  <c r="L227" i="8"/>
  <c r="V227" i="8"/>
  <c r="S227" i="8"/>
  <c r="W227" i="8" s="1"/>
  <c r="K231" i="8"/>
  <c r="H231" i="8"/>
  <c r="T231" i="8"/>
  <c r="X231" i="8"/>
  <c r="U231" i="8"/>
  <c r="Q231" i="8"/>
  <c r="P231" i="8"/>
  <c r="N231" i="8"/>
  <c r="M231" i="8"/>
  <c r="O231" i="8" s="1"/>
  <c r="L231" i="8"/>
  <c r="V231" i="8"/>
  <c r="S231" i="8"/>
  <c r="W231" i="8" s="1"/>
  <c r="K113" i="8"/>
  <c r="H113" i="8"/>
  <c r="T113" i="8"/>
  <c r="X113" i="8"/>
  <c r="U113" i="8"/>
  <c r="Q113" i="8"/>
  <c r="P113" i="8"/>
  <c r="N113" i="8"/>
  <c r="M113" i="8"/>
  <c r="O113" i="8" s="1"/>
  <c r="L113" i="8"/>
  <c r="V113" i="8"/>
  <c r="S113" i="8"/>
  <c r="W113" i="8" s="1"/>
  <c r="K225" i="8"/>
  <c r="H225" i="8"/>
  <c r="T225" i="8"/>
  <c r="X225" i="8"/>
  <c r="U225" i="8"/>
  <c r="Q225" i="8"/>
  <c r="P225" i="8"/>
  <c r="N225" i="8"/>
  <c r="M225" i="8"/>
  <c r="O225" i="8" s="1"/>
  <c r="L225" i="8"/>
  <c r="V225" i="8"/>
  <c r="S225" i="8"/>
  <c r="W225" i="8" s="1"/>
  <c r="K229" i="8"/>
  <c r="H229" i="8"/>
  <c r="T229" i="8"/>
  <c r="X229" i="8"/>
  <c r="U229" i="8"/>
  <c r="Q229" i="8"/>
  <c r="P229" i="8"/>
  <c r="N229" i="8"/>
  <c r="M229" i="8"/>
  <c r="O229" i="8" s="1"/>
  <c r="L229" i="8"/>
  <c r="V229" i="8"/>
  <c r="S229" i="8"/>
  <c r="W229" i="8" s="1"/>
  <c r="K232" i="8"/>
  <c r="H232" i="8"/>
  <c r="T232" i="8"/>
  <c r="X232" i="8"/>
  <c r="U232" i="8"/>
  <c r="Q232" i="8"/>
  <c r="P232" i="8"/>
  <c r="N232" i="8"/>
  <c r="M232" i="8"/>
  <c r="O232" i="8" s="1"/>
  <c r="L232" i="8"/>
  <c r="V232" i="8"/>
  <c r="S232" i="8"/>
  <c r="W232" i="8" s="1"/>
  <c r="K234" i="8"/>
  <c r="H234" i="8"/>
  <c r="T234" i="8"/>
  <c r="X234" i="8"/>
  <c r="U234" i="8"/>
  <c r="Q234" i="8"/>
  <c r="P234" i="8"/>
  <c r="N234" i="8"/>
  <c r="M234" i="8"/>
  <c r="O234" i="8" s="1"/>
  <c r="L234" i="8"/>
  <c r="V234" i="8"/>
  <c r="S234" i="8"/>
  <c r="W234" i="8" s="1"/>
  <c r="K236" i="8"/>
  <c r="H236" i="8"/>
  <c r="T236" i="8"/>
  <c r="X236" i="8"/>
  <c r="U236" i="8"/>
  <c r="Q236" i="8"/>
  <c r="P236" i="8"/>
  <c r="N236" i="8"/>
  <c r="M236" i="8"/>
  <c r="O236" i="8" s="1"/>
  <c r="L236" i="8"/>
  <c r="V236" i="8"/>
  <c r="S236" i="8"/>
  <c r="W236" i="8" s="1"/>
  <c r="K239" i="8"/>
  <c r="H239" i="8"/>
  <c r="T239" i="8"/>
  <c r="X239" i="8"/>
  <c r="U239" i="8"/>
  <c r="Q239" i="8"/>
  <c r="P239" i="8"/>
  <c r="N239" i="8"/>
  <c r="M239" i="8"/>
  <c r="O239" i="8" s="1"/>
  <c r="L239" i="8"/>
  <c r="V239" i="8"/>
  <c r="S239" i="8"/>
  <c r="W239" i="8" s="1"/>
  <c r="K140" i="8"/>
  <c r="H140" i="8"/>
  <c r="T140" i="8"/>
  <c r="X140" i="8"/>
  <c r="U140" i="8"/>
  <c r="Q140" i="8"/>
  <c r="P140" i="8"/>
  <c r="N140" i="8"/>
  <c r="M140" i="8"/>
  <c r="O140" i="8" s="1"/>
  <c r="L140" i="8"/>
  <c r="V140" i="8"/>
  <c r="S140" i="8"/>
  <c r="W140" i="8" s="1"/>
  <c r="K240" i="8"/>
  <c r="H240" i="8"/>
  <c r="T240" i="8"/>
  <c r="X240" i="8"/>
  <c r="U240" i="8"/>
  <c r="Q240" i="8"/>
  <c r="P240" i="8"/>
  <c r="N240" i="8"/>
  <c r="M240" i="8"/>
  <c r="O240" i="8" s="1"/>
  <c r="L240" i="8"/>
  <c r="V240" i="8"/>
  <c r="S240" i="8"/>
  <c r="W240" i="8" s="1"/>
  <c r="K243" i="8"/>
  <c r="H243" i="8"/>
  <c r="T243" i="8"/>
  <c r="X243" i="8"/>
  <c r="U243" i="8"/>
  <c r="Q243" i="8"/>
  <c r="P243" i="8"/>
  <c r="N243" i="8"/>
  <c r="M243" i="8"/>
  <c r="O243" i="8" s="1"/>
  <c r="L243" i="8"/>
  <c r="V243" i="8"/>
  <c r="S243" i="8"/>
  <c r="W243" i="8" s="1"/>
  <c r="K245" i="8"/>
  <c r="H245" i="8"/>
  <c r="T245" i="8"/>
  <c r="X245" i="8"/>
  <c r="U245" i="8"/>
  <c r="Q245" i="8"/>
  <c r="P245" i="8"/>
  <c r="N245" i="8"/>
  <c r="M245" i="8"/>
  <c r="O245" i="8" s="1"/>
  <c r="L245" i="8"/>
  <c r="V245" i="8"/>
  <c r="S245" i="8"/>
  <c r="W245" i="8" s="1"/>
  <c r="K247" i="8"/>
  <c r="H247" i="8"/>
  <c r="T247" i="8"/>
  <c r="X247" i="8"/>
  <c r="U247" i="8"/>
  <c r="Q247" i="8"/>
  <c r="P247" i="8"/>
  <c r="N247" i="8"/>
  <c r="M247" i="8"/>
  <c r="O247" i="8" s="1"/>
  <c r="L247" i="8"/>
  <c r="V247" i="8"/>
  <c r="S247" i="8"/>
  <c r="W247" i="8" s="1"/>
  <c r="K249" i="8"/>
  <c r="H249" i="8"/>
  <c r="T249" i="8"/>
  <c r="X249" i="8"/>
  <c r="U249" i="8"/>
  <c r="Q249" i="8"/>
  <c r="P249" i="8"/>
  <c r="N249" i="8"/>
  <c r="M249" i="8"/>
  <c r="O249" i="8" s="1"/>
  <c r="L249" i="8"/>
  <c r="V249" i="8"/>
  <c r="S249" i="8"/>
  <c r="W249" i="8" s="1"/>
  <c r="K250" i="8"/>
  <c r="H250" i="8"/>
  <c r="T250" i="8"/>
  <c r="X250" i="8"/>
  <c r="U250" i="8"/>
  <c r="Q250" i="8"/>
  <c r="P250" i="8"/>
  <c r="N250" i="8"/>
  <c r="M250" i="8"/>
  <c r="O250" i="8" s="1"/>
  <c r="L250" i="8"/>
  <c r="V250" i="8"/>
  <c r="S250" i="8"/>
  <c r="W250" i="8" s="1"/>
  <c r="K6" i="5"/>
  <c r="H6" i="5"/>
  <c r="T6" i="5"/>
  <c r="X6" i="5"/>
  <c r="U6" i="5"/>
  <c r="Q6" i="5"/>
  <c r="P6" i="5"/>
  <c r="N6" i="5"/>
  <c r="M6" i="5"/>
  <c r="L6" i="5"/>
  <c r="O6" i="5" s="1"/>
  <c r="V6" i="5"/>
  <c r="S6" i="5"/>
  <c r="W6" i="5" s="1"/>
  <c r="S7" i="6"/>
  <c r="W7" i="6"/>
  <c r="H7" i="6"/>
  <c r="R7" i="6"/>
  <c r="V7" i="6" s="1"/>
  <c r="X7" i="6" s="1"/>
  <c r="Y7" i="6" s="1"/>
  <c r="T7" i="6"/>
  <c r="M7" i="6"/>
  <c r="AB163" i="7" l="1"/>
  <c r="AC163" i="7" s="1"/>
  <c r="Y234" i="5"/>
  <c r="Z234" i="5" s="1"/>
  <c r="Y120" i="5"/>
  <c r="Z120" i="5" s="1"/>
  <c r="Y124" i="5"/>
  <c r="Z124" i="5" s="1"/>
  <c r="Y172" i="5"/>
  <c r="Z172" i="5" s="1"/>
  <c r="Y80" i="5"/>
  <c r="Z80" i="5" s="1"/>
  <c r="Y76" i="5"/>
  <c r="Z76" i="5" s="1"/>
  <c r="Y74" i="5"/>
  <c r="Z74" i="5" s="1"/>
  <c r="Y240" i="5"/>
  <c r="Z240" i="5" s="1"/>
  <c r="Y14" i="5"/>
  <c r="Z14" i="5" s="1"/>
  <c r="Y133" i="5"/>
  <c r="Z133" i="5" s="1"/>
  <c r="Y13" i="5"/>
  <c r="Z13" i="5" s="1"/>
  <c r="Y43" i="5"/>
  <c r="Z43" i="5" s="1"/>
  <c r="Y123" i="5"/>
  <c r="Z123" i="5" s="1"/>
  <c r="Y116" i="5"/>
  <c r="Z116" i="5" s="1"/>
  <c r="AB20" i="7"/>
  <c r="AC20" i="7" s="1"/>
  <c r="AB95" i="7"/>
  <c r="AC95" i="7" s="1"/>
  <c r="Y233" i="5"/>
  <c r="Z233" i="5" s="1"/>
  <c r="Y33" i="5"/>
  <c r="Z33" i="5" s="1"/>
  <c r="Y72" i="5"/>
  <c r="Z72" i="5" s="1"/>
  <c r="Y70" i="5"/>
  <c r="Z70" i="5" s="1"/>
  <c r="Y19" i="5"/>
  <c r="Z19" i="5" s="1"/>
  <c r="Y37" i="5"/>
  <c r="Z37" i="5" s="1"/>
  <c r="Y129" i="5"/>
  <c r="Z129" i="5" s="1"/>
  <c r="Y84" i="5"/>
  <c r="Z84" i="5" s="1"/>
  <c r="Y122" i="5"/>
  <c r="Z122" i="5" s="1"/>
  <c r="Y78" i="5"/>
  <c r="Z78" i="5" s="1"/>
  <c r="Y95" i="5"/>
  <c r="Z95" i="5" s="1"/>
  <c r="Y177" i="5"/>
  <c r="Z177" i="5" s="1"/>
  <c r="Y8" i="5"/>
  <c r="Z8" i="5" s="1"/>
  <c r="Y86" i="5"/>
  <c r="Z86" i="5" s="1"/>
  <c r="Y9" i="5"/>
  <c r="Z9" i="5" s="1"/>
  <c r="Y96" i="5"/>
  <c r="Z96" i="5" s="1"/>
  <c r="Y147" i="5"/>
  <c r="Z147" i="5" s="1"/>
  <c r="Y151" i="5"/>
  <c r="Z151" i="5" s="1"/>
  <c r="Y45" i="5"/>
  <c r="Z45" i="5" s="1"/>
  <c r="Y200" i="5"/>
  <c r="Z200" i="5" s="1"/>
  <c r="Y150" i="5"/>
  <c r="Z150" i="5" s="1"/>
  <c r="Y225" i="5"/>
  <c r="Z225" i="5" s="1"/>
  <c r="AB131" i="7"/>
  <c r="AC131" i="7" s="1"/>
  <c r="AB35" i="7"/>
  <c r="AC35" i="7" s="1"/>
  <c r="AB13" i="7"/>
  <c r="AC13" i="7" s="1"/>
  <c r="AB121" i="7"/>
  <c r="AC121" i="7" s="1"/>
  <c r="AB92" i="7"/>
  <c r="AC92" i="7" s="1"/>
  <c r="AB73" i="7"/>
  <c r="AC73" i="7" s="1"/>
  <c r="AB38" i="7"/>
  <c r="AC38" i="7" s="1"/>
  <c r="AB21" i="7"/>
  <c r="AC21" i="7" s="1"/>
  <c r="AB106" i="7"/>
  <c r="AC106" i="7" s="1"/>
  <c r="AB149" i="7"/>
  <c r="AC149" i="7" s="1"/>
  <c r="AB109" i="7"/>
  <c r="AC109" i="7" s="1"/>
  <c r="AB122" i="7"/>
  <c r="AC122" i="7" s="1"/>
  <c r="AB170" i="7"/>
  <c r="AC170" i="7" s="1"/>
  <c r="AB48" i="7"/>
  <c r="AC48" i="7" s="1"/>
  <c r="AB193" i="7"/>
  <c r="AC193" i="7" s="1"/>
  <c r="AB154" i="7"/>
  <c r="AC154" i="7" s="1"/>
  <c r="AB42" i="7"/>
  <c r="AC42" i="7" s="1"/>
  <c r="AB190" i="7"/>
  <c r="AC190" i="7" s="1"/>
  <c r="AB37" i="7"/>
  <c r="AC37" i="7" s="1"/>
  <c r="AB134" i="7"/>
  <c r="AC134" i="7" s="1"/>
  <c r="AB30" i="7"/>
  <c r="AC30" i="7" s="1"/>
  <c r="AB72" i="7"/>
  <c r="AC72" i="7" s="1"/>
  <c r="AB18" i="7"/>
  <c r="AC18" i="7" s="1"/>
  <c r="AB28" i="7"/>
  <c r="AC28" i="7" s="1"/>
  <c r="AB33" i="7"/>
  <c r="AC33" i="7" s="1"/>
  <c r="AB67" i="7"/>
  <c r="AC67" i="7" s="1"/>
  <c r="AB49" i="7"/>
  <c r="AC49" i="7" s="1"/>
  <c r="AB91" i="7"/>
  <c r="AC91" i="7" s="1"/>
  <c r="AB94" i="7"/>
  <c r="AC94" i="7" s="1"/>
  <c r="AB182" i="7"/>
  <c r="AC182" i="7" s="1"/>
  <c r="AB16" i="7"/>
  <c r="AC16" i="7" s="1"/>
  <c r="AB6" i="7"/>
  <c r="AC6" i="7" s="1"/>
  <c r="AB189" i="7"/>
  <c r="AC189" i="7" s="1"/>
  <c r="AB97" i="7"/>
  <c r="AC97" i="7" s="1"/>
  <c r="AB166" i="7"/>
  <c r="AC166" i="7" s="1"/>
  <c r="AB43" i="7"/>
  <c r="AC43" i="7" s="1"/>
  <c r="AB177" i="7"/>
  <c r="AC177" i="7" s="1"/>
  <c r="AB127" i="7"/>
  <c r="AC127" i="7" s="1"/>
  <c r="AB128" i="7"/>
  <c r="AC128" i="7" s="1"/>
  <c r="AB39" i="7"/>
  <c r="AC39" i="7" s="1"/>
  <c r="AB79" i="7"/>
  <c r="AC79" i="7" s="1"/>
  <c r="AB78" i="7"/>
  <c r="AC78" i="7" s="1"/>
  <c r="AB119" i="7"/>
  <c r="AC119" i="7" s="1"/>
  <c r="AB151" i="7"/>
  <c r="AC151" i="7" s="1"/>
  <c r="AB26" i="7"/>
  <c r="AC26" i="7" s="1"/>
  <c r="AB19" i="7"/>
  <c r="AC19" i="7" s="1"/>
  <c r="AB80" i="7"/>
  <c r="AC80" i="7" s="1"/>
  <c r="AB143" i="7"/>
  <c r="AC143" i="7" s="1"/>
  <c r="AB156" i="7"/>
  <c r="AC156" i="7" s="1"/>
  <c r="AB17" i="7"/>
  <c r="AC17" i="7" s="1"/>
  <c r="AB44" i="7"/>
  <c r="AC44" i="7" s="1"/>
  <c r="AB60" i="7"/>
  <c r="AC60" i="7" s="1"/>
  <c r="AB8" i="7"/>
  <c r="AC8" i="7" s="1"/>
  <c r="AB74" i="7"/>
  <c r="AC74" i="7" s="1"/>
  <c r="AB178" i="7"/>
  <c r="AC178" i="7" s="1"/>
  <c r="AB107" i="7"/>
  <c r="AC107" i="7" s="1"/>
  <c r="AB65" i="7"/>
  <c r="AC65" i="7" s="1"/>
  <c r="AB114" i="7"/>
  <c r="AC114" i="7" s="1"/>
  <c r="AB171" i="7"/>
  <c r="AC171" i="7" s="1"/>
  <c r="AB82" i="7"/>
  <c r="AC82" i="7" s="1"/>
  <c r="AB15" i="7"/>
  <c r="AC15" i="7" s="1"/>
  <c r="AB102" i="7"/>
  <c r="AC102" i="7" s="1"/>
  <c r="AB59" i="7"/>
  <c r="AC59" i="7" s="1"/>
  <c r="AB194" i="7"/>
  <c r="AC194" i="7" s="1"/>
  <c r="AB93" i="7"/>
  <c r="AC93" i="7" s="1"/>
  <c r="AB168" i="7"/>
  <c r="AC168" i="7" s="1"/>
  <c r="AB53" i="7"/>
  <c r="AC53" i="7" s="1"/>
  <c r="AB161" i="7"/>
  <c r="AC161" i="7" s="1"/>
  <c r="AB47" i="7"/>
  <c r="AC47" i="7" s="1"/>
  <c r="AB90" i="7"/>
  <c r="AC90" i="7" s="1"/>
  <c r="AB9" i="7"/>
  <c r="AC9" i="7" s="1"/>
  <c r="AB147" i="7"/>
  <c r="AC147" i="7" s="1"/>
  <c r="AB141" i="7"/>
  <c r="AC141" i="7" s="1"/>
  <c r="AB54" i="7"/>
  <c r="AC54" i="7" s="1"/>
  <c r="AB24" i="7"/>
  <c r="AC24" i="7" s="1"/>
  <c r="AB89" i="7"/>
  <c r="AC89" i="7" s="1"/>
  <c r="AB184" i="7"/>
  <c r="AC184" i="7" s="1"/>
  <c r="AB45" i="7"/>
  <c r="AC45" i="7" s="1"/>
  <c r="AB188" i="7"/>
  <c r="AC188" i="7" s="1"/>
  <c r="AB61" i="7"/>
  <c r="AC61" i="7" s="1"/>
  <c r="AB123" i="7"/>
  <c r="AC123" i="7" s="1"/>
  <c r="AB159" i="7"/>
  <c r="AC159" i="7" s="1"/>
  <c r="AB133" i="7"/>
  <c r="AC133" i="7" s="1"/>
  <c r="AB155" i="7"/>
  <c r="AC155" i="7" s="1"/>
  <c r="AB175" i="7"/>
  <c r="AC175" i="7" s="1"/>
  <c r="AB162" i="7"/>
  <c r="AC162" i="7" s="1"/>
  <c r="AB187" i="7"/>
  <c r="AC187" i="7" s="1"/>
  <c r="AB112" i="7"/>
  <c r="AC112" i="7" s="1"/>
  <c r="AB135" i="7"/>
  <c r="AC135" i="7" s="1"/>
  <c r="AB12" i="7"/>
  <c r="AC12" i="7" s="1"/>
  <c r="AB84" i="7"/>
  <c r="AC84" i="7" s="1"/>
  <c r="AB10" i="7"/>
  <c r="AC10" i="7" s="1"/>
  <c r="AB11" i="7"/>
  <c r="AC11" i="7" s="1"/>
  <c r="AB50" i="7"/>
  <c r="AC50" i="7" s="1"/>
  <c r="AB88" i="7"/>
  <c r="AC88" i="7" s="1"/>
  <c r="AB104" i="7"/>
  <c r="AC104" i="7" s="1"/>
  <c r="AB173" i="7"/>
  <c r="AC173" i="7" s="1"/>
  <c r="AB124" i="7"/>
  <c r="AC124" i="7" s="1"/>
  <c r="AB62" i="7"/>
  <c r="AC62" i="7" s="1"/>
  <c r="AB98" i="7"/>
  <c r="AC98" i="7" s="1"/>
  <c r="AB183" i="7"/>
  <c r="AC183" i="7" s="1"/>
  <c r="AB118" i="7"/>
  <c r="AC118" i="7" s="1"/>
  <c r="AB158" i="7"/>
  <c r="AC158" i="7" s="1"/>
  <c r="AB40" i="7"/>
  <c r="AC40" i="7" s="1"/>
  <c r="AB27" i="7"/>
  <c r="AC27" i="7" s="1"/>
  <c r="AB157" i="7"/>
  <c r="AC157" i="7" s="1"/>
  <c r="AB144" i="7"/>
  <c r="AC144" i="7" s="1"/>
  <c r="AB46" i="7"/>
  <c r="AC46" i="7" s="1"/>
  <c r="AB129" i="7"/>
  <c r="AC129" i="7" s="1"/>
  <c r="AB167" i="7"/>
  <c r="AC167" i="7" s="1"/>
  <c r="AB160" i="7"/>
  <c r="AC160" i="7" s="1"/>
  <c r="AB105" i="7"/>
  <c r="AC105" i="7" s="1"/>
  <c r="AB83" i="7"/>
  <c r="AC83" i="7" s="1"/>
  <c r="AB87" i="7"/>
  <c r="AC87" i="7" s="1"/>
  <c r="AB32" i="7"/>
  <c r="AC32" i="7" s="1"/>
  <c r="AB81" i="7"/>
  <c r="AC81" i="7" s="1"/>
  <c r="AB68" i="7"/>
  <c r="AC68" i="7" s="1"/>
  <c r="AB101" i="7"/>
  <c r="AC101" i="7" s="1"/>
  <c r="AB125" i="7"/>
  <c r="AC125" i="7" s="1"/>
  <c r="AB64" i="7"/>
  <c r="AC64" i="7" s="1"/>
  <c r="AB148" i="7"/>
  <c r="AC148" i="7" s="1"/>
  <c r="AB140" i="7"/>
  <c r="AC140" i="7" s="1"/>
  <c r="AB99" i="7"/>
  <c r="AC99" i="7" s="1"/>
  <c r="AB113" i="7"/>
  <c r="AC113" i="7" s="1"/>
  <c r="AB137" i="7"/>
  <c r="AC137" i="7" s="1"/>
  <c r="AB110" i="7"/>
  <c r="AC110" i="7" s="1"/>
  <c r="AB120" i="7"/>
  <c r="AC120" i="7" s="1"/>
  <c r="AB41" i="7"/>
  <c r="AC41" i="7" s="1"/>
  <c r="AB150" i="7"/>
  <c r="AC150" i="7" s="1"/>
  <c r="AB52" i="7"/>
  <c r="AC52" i="7" s="1"/>
  <c r="AB136" i="7"/>
  <c r="AC136" i="7" s="1"/>
  <c r="AB185" i="7"/>
  <c r="AC185" i="7" s="1"/>
  <c r="AB36" i="7"/>
  <c r="AC36" i="7" s="1"/>
  <c r="AB142" i="7"/>
  <c r="AC142" i="7" s="1"/>
  <c r="AB186" i="7"/>
  <c r="AC186" i="7" s="1"/>
  <c r="AB22" i="7"/>
  <c r="AC22" i="7" s="1"/>
  <c r="AB152" i="7"/>
  <c r="AC152" i="7" s="1"/>
  <c r="AB7" i="7"/>
  <c r="AC7" i="7" s="1"/>
  <c r="AB76" i="7"/>
  <c r="AC76" i="7" s="1"/>
  <c r="AB126" i="7"/>
  <c r="AC126" i="7" s="1"/>
  <c r="AB176" i="7"/>
  <c r="AC176" i="7" s="1"/>
  <c r="AB115" i="7"/>
  <c r="AC115" i="7" s="1"/>
  <c r="AB165" i="7"/>
  <c r="AC165" i="7" s="1"/>
  <c r="AB153" i="7"/>
  <c r="AC153" i="7" s="1"/>
  <c r="AB71" i="7"/>
  <c r="AC71" i="7" s="1"/>
  <c r="AB174" i="7"/>
  <c r="AC174" i="7" s="1"/>
  <c r="AB130" i="7"/>
  <c r="AC130" i="7" s="1"/>
  <c r="AB181" i="7"/>
  <c r="AC181" i="7" s="1"/>
  <c r="AB146" i="7"/>
  <c r="AC146" i="7" s="1"/>
  <c r="AB69" i="7"/>
  <c r="AC69" i="7" s="1"/>
  <c r="AB180" i="7"/>
  <c r="AC180" i="7" s="1"/>
  <c r="AB132" i="7"/>
  <c r="AC132" i="7" s="1"/>
  <c r="AB145" i="7"/>
  <c r="AC145" i="7" s="1"/>
  <c r="AB66" i="7"/>
  <c r="AC66" i="7" s="1"/>
  <c r="AB85" i="7"/>
  <c r="AC85" i="7" s="1"/>
  <c r="AB29" i="7"/>
  <c r="AC29" i="7" s="1"/>
  <c r="AB103" i="7"/>
  <c r="AC103" i="7" s="1"/>
  <c r="AB191" i="7"/>
  <c r="AC191" i="7" s="1"/>
  <c r="AB179" i="7"/>
  <c r="AC179" i="7" s="1"/>
  <c r="AB58" i="7"/>
  <c r="AC58" i="7" s="1"/>
  <c r="X26" i="4"/>
  <c r="Y26" i="4" s="1"/>
  <c r="Z26" i="4" s="1"/>
  <c r="X68" i="4"/>
  <c r="Y68" i="4" s="1"/>
  <c r="Z68" i="4" s="1"/>
  <c r="X176" i="4"/>
  <c r="Y176" i="4" s="1"/>
  <c r="Z176" i="4" s="1"/>
  <c r="X29" i="4"/>
  <c r="Y29" i="4" s="1"/>
  <c r="Z29" i="4" s="1"/>
  <c r="X90" i="4"/>
  <c r="Y90" i="4" s="1"/>
  <c r="Z90" i="4" s="1"/>
  <c r="X113" i="4"/>
  <c r="Y113" i="4" s="1"/>
  <c r="Z113" i="4" s="1"/>
  <c r="X133" i="4"/>
  <c r="Y133" i="4" s="1"/>
  <c r="Z133" i="4" s="1"/>
  <c r="X17" i="4"/>
  <c r="Y17" i="4" s="1"/>
  <c r="Z17" i="4" s="1"/>
  <c r="X114" i="4"/>
  <c r="Y114" i="4" s="1"/>
  <c r="Z114" i="4" s="1"/>
  <c r="X48" i="4"/>
  <c r="Y48" i="4" s="1"/>
  <c r="Z48" i="4" s="1"/>
  <c r="X144" i="4"/>
  <c r="Y144" i="4" s="1"/>
  <c r="Z144" i="4" s="1"/>
  <c r="X80" i="4"/>
  <c r="Y80" i="4" s="1"/>
  <c r="Z80" i="4" s="1"/>
  <c r="X104" i="4"/>
  <c r="Y104" i="4" s="1"/>
  <c r="Z104" i="4" s="1"/>
  <c r="X47" i="4"/>
  <c r="Y47" i="4" s="1"/>
  <c r="Z47" i="4" s="1"/>
  <c r="X9" i="4"/>
  <c r="Y9" i="4" s="1"/>
  <c r="Z9" i="4" s="1"/>
  <c r="X175" i="4"/>
  <c r="Y175" i="4" s="1"/>
  <c r="Z175" i="4" s="1"/>
  <c r="X105" i="4"/>
  <c r="Y105" i="4" s="1"/>
  <c r="Z105" i="4" s="1"/>
  <c r="X59" i="4"/>
  <c r="Y59" i="4" s="1"/>
  <c r="Z59" i="4" s="1"/>
  <c r="X92" i="4"/>
  <c r="Y92" i="4" s="1"/>
  <c r="Z92" i="4" s="1"/>
  <c r="X18" i="4"/>
  <c r="Y18" i="4" s="1"/>
  <c r="Z18" i="4" s="1"/>
  <c r="X81" i="4"/>
  <c r="Y81" i="4" s="1"/>
  <c r="Z81" i="4" s="1"/>
  <c r="X72" i="4"/>
  <c r="Y72" i="4" s="1"/>
  <c r="Z72" i="4" s="1"/>
  <c r="X132" i="4"/>
  <c r="Y132" i="4" s="1"/>
  <c r="Z132" i="4" s="1"/>
  <c r="X55" i="4"/>
  <c r="Y55" i="4" s="1"/>
  <c r="Z55" i="4" s="1"/>
  <c r="X33" i="4"/>
  <c r="Y33" i="4" s="1"/>
  <c r="Z33" i="4" s="1"/>
  <c r="X52" i="4"/>
  <c r="Y52" i="4" s="1"/>
  <c r="Z52" i="4" s="1"/>
  <c r="X86" i="4"/>
  <c r="Y86" i="4" s="1"/>
  <c r="Z86" i="4" s="1"/>
  <c r="X44" i="4"/>
  <c r="Y44" i="4" s="1"/>
  <c r="Z44" i="4" s="1"/>
  <c r="X186" i="4"/>
  <c r="Y186" i="4" s="1"/>
  <c r="Z186" i="4" s="1"/>
  <c r="X185" i="4"/>
  <c r="Y185" i="4" s="1"/>
  <c r="Z185" i="4" s="1"/>
  <c r="X12" i="4"/>
  <c r="Y12" i="4" s="1"/>
  <c r="Z12" i="4" s="1"/>
  <c r="X116" i="4"/>
  <c r="Y116" i="4" s="1"/>
  <c r="Z116" i="4" s="1"/>
  <c r="X60" i="4"/>
  <c r="Y60" i="4" s="1"/>
  <c r="Z60" i="4" s="1"/>
  <c r="X22" i="4"/>
  <c r="Y22" i="4" s="1"/>
  <c r="Z22" i="4" s="1"/>
  <c r="X43" i="4"/>
  <c r="Y43" i="4" s="1"/>
  <c r="Z43" i="4" s="1"/>
  <c r="X19" i="4"/>
  <c r="Y19" i="4" s="1"/>
  <c r="Z19" i="4" s="1"/>
  <c r="X31" i="4"/>
  <c r="Y31" i="4" s="1"/>
  <c r="Z31" i="4" s="1"/>
  <c r="X74" i="4"/>
  <c r="Y74" i="4" s="1"/>
  <c r="Z74" i="4" s="1"/>
  <c r="X54" i="4"/>
  <c r="Y54" i="4" s="1"/>
  <c r="Z54" i="4" s="1"/>
  <c r="X124" i="4"/>
  <c r="Y124" i="4" s="1"/>
  <c r="Z124" i="4" s="1"/>
  <c r="X35" i="4"/>
  <c r="Y35" i="4" s="1"/>
  <c r="Z35" i="4" s="1"/>
  <c r="X14" i="4"/>
  <c r="Y14" i="4" s="1"/>
  <c r="Z14" i="4" s="1"/>
  <c r="X155" i="4"/>
  <c r="Y155" i="4" s="1"/>
  <c r="Z155" i="4" s="1"/>
  <c r="X153" i="4"/>
  <c r="Y153" i="4" s="1"/>
  <c r="Z153" i="4" s="1"/>
  <c r="X162" i="4"/>
  <c r="Y162" i="4" s="1"/>
  <c r="Z162" i="4" s="1"/>
  <c r="X57" i="4"/>
  <c r="Y57" i="4" s="1"/>
  <c r="Z57" i="4" s="1"/>
  <c r="X8" i="4"/>
  <c r="Y8" i="4" s="1"/>
  <c r="Z8" i="4" s="1"/>
  <c r="X127" i="4"/>
  <c r="Y127" i="4" s="1"/>
  <c r="Z127" i="4" s="1"/>
  <c r="X85" i="4"/>
  <c r="Y85" i="4" s="1"/>
  <c r="Z85" i="4" s="1"/>
  <c r="X150" i="4"/>
  <c r="Y150" i="4" s="1"/>
  <c r="Z150" i="4" s="1"/>
  <c r="X50" i="4"/>
  <c r="Y50" i="4" s="1"/>
  <c r="Z50" i="4" s="1"/>
  <c r="X66" i="4"/>
  <c r="Y66" i="4" s="1"/>
  <c r="Z66" i="4" s="1"/>
  <c r="X20" i="4"/>
  <c r="Y20" i="4" s="1"/>
  <c r="Z20" i="4" s="1"/>
  <c r="X56" i="4"/>
  <c r="Y56" i="4" s="1"/>
  <c r="Z56" i="4" s="1"/>
  <c r="X53" i="4"/>
  <c r="Y53" i="4" s="1"/>
  <c r="Z53" i="4" s="1"/>
  <c r="X79" i="4"/>
  <c r="Y79" i="4" s="1"/>
  <c r="Z79" i="4" s="1"/>
  <c r="X135" i="4"/>
  <c r="Y135" i="4" s="1"/>
  <c r="Z135" i="4" s="1"/>
  <c r="X7" i="4"/>
  <c r="Y7" i="4" s="1"/>
  <c r="X91" i="4"/>
  <c r="Y91" i="4" s="1"/>
  <c r="Z91" i="4" s="1"/>
  <c r="X164" i="4"/>
  <c r="Y164" i="4" s="1"/>
  <c r="Z164" i="4" s="1"/>
  <c r="X13" i="4"/>
  <c r="Y13" i="4" s="1"/>
  <c r="Z13" i="4" s="1"/>
  <c r="X96" i="4"/>
  <c r="Y96" i="4" s="1"/>
  <c r="Z96" i="4" s="1"/>
  <c r="X109" i="4"/>
  <c r="Y109" i="4" s="1"/>
  <c r="Z109" i="4" s="1"/>
  <c r="X21" i="4"/>
  <c r="Y21" i="4" s="1"/>
  <c r="Z21" i="4" s="1"/>
  <c r="X30" i="4"/>
  <c r="Y30" i="4" s="1"/>
  <c r="Z30" i="4" s="1"/>
  <c r="X94" i="4"/>
  <c r="Y94" i="4" s="1"/>
  <c r="Z94" i="4" s="1"/>
  <c r="X40" i="4"/>
  <c r="Y40" i="4" s="1"/>
  <c r="Z40" i="4" s="1"/>
  <c r="X142" i="4"/>
  <c r="Y142" i="4" s="1"/>
  <c r="Z142" i="4" s="1"/>
  <c r="X192" i="4"/>
  <c r="Y192" i="4" s="1"/>
  <c r="Z192" i="4" s="1"/>
  <c r="X41" i="4"/>
  <c r="Y41" i="4" s="1"/>
  <c r="Z41" i="4" s="1"/>
  <c r="X179" i="4"/>
  <c r="Y179" i="4" s="1"/>
  <c r="Z179" i="4" s="1"/>
  <c r="V79" i="4"/>
  <c r="V98" i="4"/>
  <c r="X38" i="4" s="1"/>
  <c r="Y38" i="4" s="1"/>
  <c r="Z38" i="4" s="1"/>
  <c r="V223" i="4"/>
  <c r="V224" i="4"/>
  <c r="V218" i="4"/>
  <c r="V137" i="4"/>
  <c r="X120" i="4" s="1"/>
  <c r="Y120" i="4" s="1"/>
  <c r="Z120" i="4" s="1"/>
  <c r="V226" i="4"/>
  <c r="V200" i="4"/>
  <c r="V49" i="4"/>
  <c r="V110" i="4"/>
  <c r="X76" i="4" s="1"/>
  <c r="Y76" i="4" s="1"/>
  <c r="Z76" i="4" s="1"/>
  <c r="V136" i="4"/>
  <c r="X119" i="4" s="1"/>
  <c r="Y119" i="4" s="1"/>
  <c r="Z119" i="4" s="1"/>
  <c r="V129" i="4"/>
  <c r="V165" i="4"/>
  <c r="X165" i="4" s="1"/>
  <c r="Y165" i="4" s="1"/>
  <c r="Z165" i="4" s="1"/>
  <c r="V184" i="4"/>
  <c r="X184" i="4" s="1"/>
  <c r="Y184" i="4" s="1"/>
  <c r="Z184" i="4" s="1"/>
  <c r="V151" i="4"/>
  <c r="X151" i="4" s="1"/>
  <c r="Y151" i="4" s="1"/>
  <c r="Z151" i="4" s="1"/>
  <c r="V160" i="4"/>
  <c r="X160" i="4" s="1"/>
  <c r="Y160" i="4" s="1"/>
  <c r="Z160" i="4" s="1"/>
  <c r="V130" i="4"/>
  <c r="X108" i="4" s="1"/>
  <c r="Y108" i="4" s="1"/>
  <c r="Z108" i="4" s="1"/>
  <c r="V217" i="4"/>
  <c r="V73" i="4"/>
  <c r="X145" i="4" s="1"/>
  <c r="Y145" i="4" s="1"/>
  <c r="Z145" i="4" s="1"/>
  <c r="V88" i="4"/>
  <c r="X16" i="4" s="1"/>
  <c r="Y16" i="4" s="1"/>
  <c r="Z16" i="4" s="1"/>
  <c r="V118" i="4"/>
  <c r="X89" i="4" s="1"/>
  <c r="Y89" i="4" s="1"/>
  <c r="Z89" i="4" s="1"/>
  <c r="V183" i="4"/>
  <c r="X183" i="4" s="1"/>
  <c r="Y183" i="4" s="1"/>
  <c r="Z183" i="4" s="1"/>
  <c r="V243" i="4"/>
  <c r="V207" i="4"/>
  <c r="V111" i="4"/>
  <c r="X77" i="4" s="1"/>
  <c r="Y77" i="4" s="1"/>
  <c r="Z77" i="4" s="1"/>
  <c r="V51" i="4"/>
  <c r="X95" i="4" s="1"/>
  <c r="Y95" i="4" s="1"/>
  <c r="Z95" i="4" s="1"/>
  <c r="V83" i="4"/>
  <c r="X11" i="4" s="1"/>
  <c r="Y11" i="4" s="1"/>
  <c r="Z11" i="4" s="1"/>
  <c r="V126" i="4"/>
  <c r="X102" i="4" s="1"/>
  <c r="Y102" i="4" s="1"/>
  <c r="Z102" i="4" s="1"/>
  <c r="V158" i="4"/>
  <c r="X158" i="4" s="1"/>
  <c r="Y158" i="4" s="1"/>
  <c r="Z158" i="4" s="1"/>
  <c r="V93" i="4"/>
  <c r="X25" i="4" s="1"/>
  <c r="Y25" i="4" s="1"/>
  <c r="Z25" i="4" s="1"/>
  <c r="V244" i="4"/>
  <c r="V210" i="4"/>
  <c r="V58" i="4"/>
  <c r="V169" i="4"/>
  <c r="X169" i="4" s="1"/>
  <c r="Y169" i="4" s="1"/>
  <c r="Z169" i="4" s="1"/>
  <c r="V134" i="4"/>
  <c r="X115" i="4" s="1"/>
  <c r="Y115" i="4" s="1"/>
  <c r="Z115" i="4" s="1"/>
  <c r="V37" i="4"/>
  <c r="X62" i="4" s="1"/>
  <c r="Y62" i="4" s="1"/>
  <c r="Z62" i="4" s="1"/>
  <c r="V39" i="4"/>
  <c r="X65" i="4" s="1"/>
  <c r="Y65" i="4" s="1"/>
  <c r="Z65" i="4" s="1"/>
  <c r="V15" i="4"/>
  <c r="X32" i="4" s="1"/>
  <c r="Y32" i="4" s="1"/>
  <c r="Z32" i="4" s="1"/>
  <c r="V70" i="4"/>
  <c r="X138" i="4" s="1"/>
  <c r="Y138" i="4" s="1"/>
  <c r="Z138" i="4" s="1"/>
  <c r="V117" i="4"/>
  <c r="V97" i="4"/>
  <c r="X37" i="4" s="1"/>
  <c r="Y37" i="4" s="1"/>
  <c r="Z37" i="4" s="1"/>
  <c r="V125" i="4"/>
  <c r="X99" i="4" s="1"/>
  <c r="Y99" i="4" s="1"/>
  <c r="Z99" i="4" s="1"/>
  <c r="V139" i="4"/>
  <c r="V112" i="4"/>
  <c r="X78" i="4" s="1"/>
  <c r="Y78" i="4" s="1"/>
  <c r="Z78" i="4" s="1"/>
  <c r="V215" i="4"/>
  <c r="V205" i="4"/>
  <c r="V166" i="4"/>
  <c r="X166" i="4" s="1"/>
  <c r="Y166" i="4" s="1"/>
  <c r="Z166" i="4" s="1"/>
  <c r="V27" i="4"/>
  <c r="V71" i="4"/>
  <c r="X140" i="4" s="1"/>
  <c r="Y140" i="4" s="1"/>
  <c r="Z140" i="4" s="1"/>
  <c r="V34" i="4"/>
  <c r="V100" i="4"/>
  <c r="X45" i="4" s="1"/>
  <c r="Y45" i="4" s="1"/>
  <c r="Z45" i="4" s="1"/>
  <c r="V63" i="4"/>
  <c r="V148" i="4"/>
  <c r="X141" i="4" s="1"/>
  <c r="Y141" i="4" s="1"/>
  <c r="Z141" i="4" s="1"/>
  <c r="V149" i="4"/>
  <c r="X143" i="4" s="1"/>
  <c r="Y143" i="4" s="1"/>
  <c r="Z143" i="4" s="1"/>
  <c r="V181" i="4"/>
  <c r="X181" i="4" s="1"/>
  <c r="Y181" i="4" s="1"/>
  <c r="Z181" i="4" s="1"/>
  <c r="V101" i="4"/>
  <c r="X46" i="4" s="1"/>
  <c r="Y46" i="4" s="1"/>
  <c r="Z46" i="4" s="1"/>
  <c r="V154" i="4"/>
  <c r="X152" i="4" s="1"/>
  <c r="Y152" i="4" s="1"/>
  <c r="Z152" i="4" s="1"/>
  <c r="V211" i="4"/>
  <c r="V188" i="4"/>
  <c r="X188" i="4" s="1"/>
  <c r="Y188" i="4" s="1"/>
  <c r="Z188" i="4" s="1"/>
  <c r="V239" i="4"/>
  <c r="V61" i="4"/>
  <c r="V172" i="4"/>
  <c r="X172" i="4" s="1"/>
  <c r="Y172" i="4" s="1"/>
  <c r="Z172" i="4" s="1"/>
  <c r="V167" i="4"/>
  <c r="X167" i="4" s="1"/>
  <c r="Y167" i="4" s="1"/>
  <c r="Z167" i="4" s="1"/>
  <c r="V157" i="4"/>
  <c r="X157" i="4" s="1"/>
  <c r="Y157" i="4" s="1"/>
  <c r="Z157" i="4" s="1"/>
  <c r="V106" i="4"/>
  <c r="X69" i="4" s="1"/>
  <c r="Y69" i="4" s="1"/>
  <c r="Z69" i="4" s="1"/>
  <c r="V178" i="4"/>
  <c r="X178" i="4" s="1"/>
  <c r="Y178" i="4" s="1"/>
  <c r="Z178" i="4" s="1"/>
  <c r="V122" i="4"/>
  <c r="V219" i="4"/>
  <c r="V10" i="4"/>
  <c r="X24" i="4" s="1"/>
  <c r="Y24" i="4" s="1"/>
  <c r="Z24" i="4" s="1"/>
  <c r="V67" i="4"/>
  <c r="X67" i="4" s="1"/>
  <c r="Y67" i="4" s="1"/>
  <c r="Z67" i="4" s="1"/>
  <c r="V177" i="4"/>
  <c r="X177" i="4" s="1"/>
  <c r="Y177" i="4" s="1"/>
  <c r="Z177" i="4" s="1"/>
  <c r="V222" i="4"/>
  <c r="V146" i="4"/>
  <c r="V171" i="4"/>
  <c r="X171" i="4" s="1"/>
  <c r="Y171" i="4" s="1"/>
  <c r="Z171" i="4" s="1"/>
  <c r="V193" i="4"/>
  <c r="X193" i="4" s="1"/>
  <c r="Y193" i="4" s="1"/>
  <c r="Z193" i="4" s="1"/>
  <c r="Z7" i="4"/>
  <c r="Y250" i="12"/>
  <c r="Z250" i="12" s="1"/>
  <c r="Y249" i="12"/>
  <c r="Z249" i="12" s="1"/>
  <c r="Y247" i="12"/>
  <c r="Z247" i="12" s="1"/>
  <c r="Y245" i="12"/>
  <c r="Z245" i="12" s="1"/>
  <c r="Y243" i="12"/>
  <c r="Z243" i="12" s="1"/>
  <c r="Y239" i="12"/>
  <c r="Z239" i="12" s="1"/>
  <c r="Y140" i="12"/>
  <c r="Z140" i="12" s="1"/>
  <c r="Y240" i="12"/>
  <c r="Z240" i="12" s="1"/>
  <c r="Y236" i="12"/>
  <c r="Z236" i="12" s="1"/>
  <c r="Y234" i="12"/>
  <c r="Z234" i="12" s="1"/>
  <c r="Y232" i="12"/>
  <c r="Z232" i="12" s="1"/>
  <c r="Y229" i="12"/>
  <c r="Z229" i="12" s="1"/>
  <c r="Y225" i="12"/>
  <c r="Z225" i="12" s="1"/>
  <c r="Y115" i="12"/>
  <c r="Z115" i="12" s="1"/>
  <c r="Y231" i="12"/>
  <c r="Z231" i="12" s="1"/>
  <c r="Y227" i="12"/>
  <c r="Z227" i="12" s="1"/>
  <c r="Y221" i="12"/>
  <c r="Z221" i="12" s="1"/>
  <c r="Y216" i="12"/>
  <c r="Z216" i="12" s="1"/>
  <c r="Y210" i="12"/>
  <c r="Z210" i="12" s="1"/>
  <c r="Y203" i="12"/>
  <c r="Z203" i="12" s="1"/>
  <c r="Y95" i="12"/>
  <c r="Z95" i="12" s="1"/>
  <c r="Y220" i="12"/>
  <c r="Z220" i="12" s="1"/>
  <c r="Y212" i="12"/>
  <c r="Z212" i="12" s="1"/>
  <c r="Y200" i="12"/>
  <c r="Z200" i="12" s="1"/>
  <c r="Y196" i="12"/>
  <c r="Z196" i="12" s="1"/>
  <c r="Y193" i="12"/>
  <c r="Z193" i="12" s="1"/>
  <c r="Y188" i="12"/>
  <c r="Z188" i="12" s="1"/>
  <c r="Y70" i="12"/>
  <c r="Z70" i="12" s="1"/>
  <c r="Y204" i="12"/>
  <c r="Z204" i="12" s="1"/>
  <c r="Y195" i="12"/>
  <c r="Z195" i="12" s="1"/>
  <c r="Y190" i="12"/>
  <c r="Z190" i="12" s="1"/>
  <c r="Y182" i="12"/>
  <c r="Z182" i="12" s="1"/>
  <c r="Y177" i="12"/>
  <c r="Z177" i="12" s="1"/>
  <c r="Y172" i="12"/>
  <c r="Z172" i="12" s="1"/>
  <c r="Y49" i="12"/>
  <c r="Z49" i="12" s="1"/>
  <c r="Y248" i="12"/>
  <c r="Z248" i="12" s="1"/>
  <c r="Y246" i="12"/>
  <c r="Z246" i="12" s="1"/>
  <c r="Y242" i="12"/>
  <c r="Z242" i="12" s="1"/>
  <c r="Y237" i="12"/>
  <c r="Z237" i="12" s="1"/>
  <c r="Y138" i="12"/>
  <c r="Z138" i="12" s="1"/>
  <c r="Y134" i="12"/>
  <c r="Z134" i="12" s="1"/>
  <c r="Y130" i="12"/>
  <c r="Z130" i="12" s="1"/>
  <c r="Y235" i="12"/>
  <c r="Z235" i="12" s="1"/>
  <c r="Y233" i="12"/>
  <c r="Z233" i="12" s="1"/>
  <c r="Y228" i="12"/>
  <c r="Z228" i="12" s="1"/>
  <c r="Y223" i="12"/>
  <c r="Z223" i="12" s="1"/>
  <c r="Y111" i="12"/>
  <c r="Z111" i="12" s="1"/>
  <c r="Y107" i="12"/>
  <c r="Z107" i="12" s="1"/>
  <c r="Y103" i="12"/>
  <c r="Z103" i="12" s="1"/>
  <c r="Y222" i="12"/>
  <c r="Z222" i="12" s="1"/>
  <c r="Y218" i="12"/>
  <c r="Z218" i="12" s="1"/>
  <c r="Y209" i="12"/>
  <c r="Z209" i="12" s="1"/>
  <c r="Y199" i="12"/>
  <c r="Z199" i="12" s="1"/>
  <c r="Y91" i="12"/>
  <c r="Z91" i="12" s="1"/>
  <c r="Y84" i="12"/>
  <c r="Z84" i="12" s="1"/>
  <c r="Y76" i="12"/>
  <c r="Z76" i="12" s="1"/>
  <c r="Y207" i="12"/>
  <c r="Z207" i="12" s="1"/>
  <c r="Y197" i="12"/>
  <c r="Z197" i="12" s="1"/>
  <c r="Y192" i="12"/>
  <c r="Z192" i="12" s="1"/>
  <c r="Y185" i="12"/>
  <c r="Z185" i="12" s="1"/>
  <c r="Y67" i="12"/>
  <c r="Z67" i="12" s="1"/>
  <c r="Y60" i="12"/>
  <c r="Z60" i="12" s="1"/>
  <c r="Y52" i="12"/>
  <c r="Z52" i="12" s="1"/>
  <c r="Y191" i="12"/>
  <c r="Z191" i="12" s="1"/>
  <c r="Y184" i="12"/>
  <c r="Z184" i="12" s="1"/>
  <c r="Y176" i="12"/>
  <c r="Z176" i="12" s="1"/>
  <c r="Y169" i="12"/>
  <c r="Z169" i="12" s="1"/>
  <c r="Y44" i="12"/>
  <c r="Z44" i="12" s="1"/>
  <c r="Y36" i="12"/>
  <c r="Z36" i="12" s="1"/>
  <c r="Y27" i="12"/>
  <c r="Z27" i="12" s="1"/>
  <c r="Y244" i="12"/>
  <c r="Z244" i="12" s="1"/>
  <c r="Y241" i="12"/>
  <c r="Z241" i="12" s="1"/>
  <c r="Y139" i="12"/>
  <c r="Z139" i="12" s="1"/>
  <c r="Y135" i="12"/>
  <c r="Z135" i="12" s="1"/>
  <c r="Y129" i="12"/>
  <c r="Z129" i="12" s="1"/>
  <c r="Y127" i="12"/>
  <c r="Z127" i="12" s="1"/>
  <c r="Y122" i="12"/>
  <c r="Z122" i="12" s="1"/>
  <c r="Y230" i="12"/>
  <c r="Z230" i="12" s="1"/>
  <c r="Y226" i="12"/>
  <c r="Z226" i="12" s="1"/>
  <c r="Y114" i="12"/>
  <c r="Z114" i="12" s="1"/>
  <c r="Y108" i="12"/>
  <c r="Z108" i="12" s="1"/>
  <c r="Y102" i="12"/>
  <c r="Z102" i="12" s="1"/>
  <c r="Y100" i="12"/>
  <c r="Z100" i="12" s="1"/>
  <c r="Y94" i="12"/>
  <c r="Z94" i="12" s="1"/>
  <c r="Y214" i="12"/>
  <c r="Z214" i="12" s="1"/>
  <c r="Y206" i="12"/>
  <c r="Z206" i="12" s="1"/>
  <c r="Y93" i="12"/>
  <c r="Z93" i="12" s="1"/>
  <c r="Y85" i="12"/>
  <c r="Z85" i="12" s="1"/>
  <c r="Y75" i="12"/>
  <c r="Z75" i="12" s="1"/>
  <c r="Y73" i="12"/>
  <c r="Z73" i="12" s="1"/>
  <c r="Y63" i="12"/>
  <c r="Z63" i="12" s="1"/>
  <c r="Y194" i="12"/>
  <c r="Z194" i="12" s="1"/>
  <c r="Y189" i="12"/>
  <c r="Z189" i="12" s="1"/>
  <c r="Y69" i="12"/>
  <c r="Z69" i="12" s="1"/>
  <c r="Y62" i="12"/>
  <c r="Z62" i="12" s="1"/>
  <c r="Y51" i="12"/>
  <c r="Z51" i="12" s="1"/>
  <c r="Y42" i="12"/>
  <c r="Z42" i="12" s="1"/>
  <c r="Y34" i="12"/>
  <c r="Z34" i="12" s="1"/>
  <c r="Y180" i="12"/>
  <c r="Z180" i="12" s="1"/>
  <c r="Y174" i="12"/>
  <c r="Z174" i="12" s="1"/>
  <c r="Y48" i="12"/>
  <c r="Z48" i="12" s="1"/>
  <c r="Y37" i="12"/>
  <c r="Z37" i="12" s="1"/>
  <c r="Y26" i="12"/>
  <c r="Z26" i="12" s="1"/>
  <c r="Y21" i="12"/>
  <c r="Z21" i="12" s="1"/>
  <c r="Y14" i="12"/>
  <c r="Z14" i="12" s="1"/>
  <c r="Y238" i="12"/>
  <c r="Z238" i="12" s="1"/>
  <c r="Y137" i="12"/>
  <c r="Z137" i="12" s="1"/>
  <c r="Y133" i="12"/>
  <c r="Z133" i="12" s="1"/>
  <c r="Y128" i="12"/>
  <c r="Z128" i="12" s="1"/>
  <c r="Y123" i="12"/>
  <c r="Z123" i="12" s="1"/>
  <c r="Y118" i="12"/>
  <c r="Z118" i="12" s="1"/>
  <c r="Y113" i="12"/>
  <c r="Z113" i="12" s="1"/>
  <c r="Y224" i="12"/>
  <c r="Z224" i="12" s="1"/>
  <c r="Y110" i="12"/>
  <c r="Z110" i="12" s="1"/>
  <c r="Y106" i="12"/>
  <c r="Z106" i="12" s="1"/>
  <c r="Y101" i="12"/>
  <c r="Z101" i="12" s="1"/>
  <c r="Y96" i="12"/>
  <c r="Z96" i="12" s="1"/>
  <c r="Y86" i="12"/>
  <c r="Z86" i="12" s="1"/>
  <c r="Y81" i="12"/>
  <c r="Z81" i="12" s="1"/>
  <c r="Y202" i="12"/>
  <c r="Z202" i="12" s="1"/>
  <c r="Y90" i="12"/>
  <c r="Z90" i="12" s="1"/>
  <c r="Y79" i="12"/>
  <c r="Z79" i="12" s="1"/>
  <c r="Y74" i="12"/>
  <c r="Z74" i="12" s="1"/>
  <c r="Y64" i="12"/>
  <c r="Z64" i="12" s="1"/>
  <c r="Y57" i="12"/>
  <c r="Z57" i="12" s="1"/>
  <c r="Y47" i="12"/>
  <c r="Z47" i="12" s="1"/>
  <c r="Y187" i="12"/>
  <c r="Z187" i="12" s="1"/>
  <c r="Y66" i="12"/>
  <c r="Z66" i="12" s="1"/>
  <c r="Y56" i="12"/>
  <c r="Z56" i="12" s="1"/>
  <c r="Y45" i="12"/>
  <c r="Z45" i="12" s="1"/>
  <c r="Y35" i="12"/>
  <c r="Z35" i="12" s="1"/>
  <c r="Y25" i="12"/>
  <c r="Z25" i="12" s="1"/>
  <c r="Y18" i="12"/>
  <c r="Z18" i="12" s="1"/>
  <c r="Y171" i="12"/>
  <c r="Z171" i="12" s="1"/>
  <c r="Y43" i="12"/>
  <c r="Z43" i="12" s="1"/>
  <c r="Y33" i="12"/>
  <c r="Z33" i="12" s="1"/>
  <c r="Y23" i="12"/>
  <c r="Z23" i="12" s="1"/>
  <c r="Y15" i="12"/>
  <c r="Z15" i="12" s="1"/>
  <c r="Y10" i="12"/>
  <c r="Z10" i="12" s="1"/>
  <c r="Y7" i="12"/>
  <c r="Z7" i="12" s="1"/>
  <c r="Y136" i="12"/>
  <c r="Z136" i="12" s="1"/>
  <c r="Y132" i="12"/>
  <c r="Z132" i="12" s="1"/>
  <c r="Y126" i="12"/>
  <c r="Z126" i="12" s="1"/>
  <c r="Y121" i="12"/>
  <c r="Z121" i="12" s="1"/>
  <c r="Y117" i="12"/>
  <c r="Z117" i="12" s="1"/>
  <c r="Y219" i="12"/>
  <c r="Z219" i="12" s="1"/>
  <c r="Y213" i="12"/>
  <c r="Z213" i="12" s="1"/>
  <c r="Y109" i="12"/>
  <c r="Z109" i="12" s="1"/>
  <c r="Y105" i="12"/>
  <c r="Z105" i="12" s="1"/>
  <c r="Y99" i="12"/>
  <c r="Z99" i="12" s="1"/>
  <c r="Y92" i="12"/>
  <c r="Z92" i="12" s="1"/>
  <c r="Y83" i="12"/>
  <c r="Z83" i="12" s="1"/>
  <c r="Y186" i="12"/>
  <c r="Z186" i="12" s="1"/>
  <c r="Y179" i="12"/>
  <c r="Z179" i="12" s="1"/>
  <c r="Y87" i="12"/>
  <c r="Z87" i="12" s="1"/>
  <c r="Y78" i="12"/>
  <c r="Z78" i="12" s="1"/>
  <c r="Y72" i="12"/>
  <c r="Z72" i="12" s="1"/>
  <c r="Y61" i="12"/>
  <c r="Z61" i="12" s="1"/>
  <c r="Y53" i="12"/>
  <c r="Z53" i="12" s="1"/>
  <c r="Y167" i="12"/>
  <c r="Z167" i="12" s="1"/>
  <c r="Y164" i="12"/>
  <c r="Z164" i="12" s="1"/>
  <c r="Y65" i="12"/>
  <c r="Z65" i="12" s="1"/>
  <c r="Y55" i="12"/>
  <c r="Z55" i="12" s="1"/>
  <c r="Y41" i="12"/>
  <c r="Z41" i="12" s="1"/>
  <c r="Y32" i="12"/>
  <c r="Z32" i="12" s="1"/>
  <c r="Y24" i="12"/>
  <c r="Z24" i="12" s="1"/>
  <c r="Y159" i="12"/>
  <c r="Z159" i="12" s="1"/>
  <c r="Y155" i="12"/>
  <c r="Z155" i="12" s="1"/>
  <c r="Y40" i="12"/>
  <c r="Z40" i="12" s="1"/>
  <c r="Y31" i="12"/>
  <c r="Z31" i="12" s="1"/>
  <c r="Y20" i="12"/>
  <c r="Z20" i="12" s="1"/>
  <c r="Y13" i="12"/>
  <c r="Z13" i="12" s="1"/>
  <c r="Y9" i="12"/>
  <c r="Z9" i="12" s="1"/>
  <c r="Y151" i="12"/>
  <c r="Z151" i="12" s="1"/>
  <c r="Y147" i="12"/>
  <c r="Z147" i="12" s="1"/>
  <c r="Y131" i="12"/>
  <c r="Z131" i="12" s="1"/>
  <c r="Y124" i="12"/>
  <c r="Z124" i="12" s="1"/>
  <c r="Y120" i="12"/>
  <c r="Z120" i="12" s="1"/>
  <c r="Y116" i="12"/>
  <c r="Z116" i="12" s="1"/>
  <c r="Y217" i="12"/>
  <c r="Z217" i="12" s="1"/>
  <c r="Y211" i="12"/>
  <c r="Z211" i="12" s="1"/>
  <c r="Y205" i="12"/>
  <c r="Z205" i="12" s="1"/>
  <c r="Y104" i="12"/>
  <c r="Z104" i="12" s="1"/>
  <c r="Y97" i="12"/>
  <c r="Z97" i="12" s="1"/>
  <c r="Y89" i="12"/>
  <c r="Z89" i="12" s="1"/>
  <c r="Y82" i="12"/>
  <c r="Z82" i="12" s="1"/>
  <c r="Y183" i="12"/>
  <c r="Z183" i="12" s="1"/>
  <c r="Y178" i="12"/>
  <c r="Z178" i="12" s="1"/>
  <c r="Y173" i="12"/>
  <c r="Z173" i="12" s="1"/>
  <c r="Y77" i="12"/>
  <c r="Z77" i="12" s="1"/>
  <c r="Y68" i="12"/>
  <c r="Z68" i="12" s="1"/>
  <c r="Y59" i="12"/>
  <c r="Z59" i="12" s="1"/>
  <c r="Y50" i="12"/>
  <c r="Z50" i="12" s="1"/>
  <c r="Y166" i="12"/>
  <c r="Z166" i="12" s="1"/>
  <c r="Y163" i="12"/>
  <c r="Z163" i="12" s="1"/>
  <c r="Y161" i="12"/>
  <c r="Z161" i="12" s="1"/>
  <c r="Y54" i="12"/>
  <c r="Z54" i="12" s="1"/>
  <c r="Y38" i="12"/>
  <c r="Z38" i="12" s="1"/>
  <c r="Y30" i="12"/>
  <c r="Z30" i="12" s="1"/>
  <c r="Y22" i="12"/>
  <c r="Z22" i="12" s="1"/>
  <c r="Y157" i="12"/>
  <c r="Z157" i="12" s="1"/>
  <c r="Y154" i="12"/>
  <c r="Z154" i="12" s="1"/>
  <c r="Y152" i="12"/>
  <c r="Z152" i="12" s="1"/>
  <c r="Y29" i="12"/>
  <c r="Z29" i="12" s="1"/>
  <c r="Y16" i="12"/>
  <c r="Z16" i="12" s="1"/>
  <c r="Y12" i="12"/>
  <c r="Z12" i="12" s="1"/>
  <c r="Y8" i="12"/>
  <c r="Z8" i="12" s="1"/>
  <c r="Y149" i="12"/>
  <c r="Z149" i="12" s="1"/>
  <c r="Y145" i="12"/>
  <c r="Z145" i="12" s="1"/>
  <c r="Y143" i="12"/>
  <c r="Z143" i="12" s="1"/>
  <c r="Y125" i="12"/>
  <c r="Z125" i="12" s="1"/>
  <c r="Y119" i="12"/>
  <c r="Z119" i="12" s="1"/>
  <c r="Y112" i="12"/>
  <c r="Z112" i="12" s="1"/>
  <c r="Y215" i="12"/>
  <c r="Z215" i="12" s="1"/>
  <c r="Y208" i="12"/>
  <c r="Z208" i="12" s="1"/>
  <c r="Y201" i="12"/>
  <c r="Z201" i="12" s="1"/>
  <c r="Y198" i="12"/>
  <c r="Z198" i="12" s="1"/>
  <c r="Y98" i="12"/>
  <c r="Z98" i="12" s="1"/>
  <c r="Y88" i="12"/>
  <c r="Z88" i="12" s="1"/>
  <c r="Y80" i="12"/>
  <c r="Z80" i="12" s="1"/>
  <c r="Y181" i="12"/>
  <c r="Z181" i="12" s="1"/>
  <c r="Y175" i="12"/>
  <c r="Z175" i="12" s="1"/>
  <c r="Y170" i="12"/>
  <c r="Z170" i="12" s="1"/>
  <c r="Y168" i="12"/>
  <c r="Z168" i="12" s="1"/>
  <c r="Y71" i="12"/>
  <c r="Z71" i="12" s="1"/>
  <c r="Y58" i="12"/>
  <c r="Z58" i="12" s="1"/>
  <c r="Y46" i="12"/>
  <c r="Z46" i="12" s="1"/>
  <c r="Y165" i="12"/>
  <c r="Z165" i="12" s="1"/>
  <c r="Y162" i="12"/>
  <c r="Z162" i="12" s="1"/>
  <c r="Y160" i="12"/>
  <c r="Z160" i="12" s="1"/>
  <c r="Y158" i="12"/>
  <c r="Z158" i="12" s="1"/>
  <c r="Y39" i="12"/>
  <c r="Z39" i="12" s="1"/>
  <c r="Y28" i="12"/>
  <c r="Z28" i="12" s="1"/>
  <c r="Y17" i="12"/>
  <c r="Z17" i="12" s="1"/>
  <c r="Y156" i="12"/>
  <c r="Z156" i="12" s="1"/>
  <c r="Y153" i="12"/>
  <c r="Z153" i="12" s="1"/>
  <c r="Y150" i="12"/>
  <c r="Z150" i="12" s="1"/>
  <c r="Y146" i="12"/>
  <c r="Z146" i="12" s="1"/>
  <c r="Y19" i="12"/>
  <c r="Z19" i="12" s="1"/>
  <c r="Y11" i="12"/>
  <c r="Z11" i="12" s="1"/>
  <c r="Y6" i="12"/>
  <c r="Z6" i="12" s="1"/>
  <c r="Y148" i="12"/>
  <c r="Z148" i="12" s="1"/>
  <c r="Y144" i="12"/>
  <c r="Z144" i="12" s="1"/>
  <c r="Y142" i="12"/>
  <c r="Z142" i="12" s="1"/>
  <c r="Y141" i="12"/>
  <c r="Z141" i="12" s="1"/>
  <c r="Y250" i="9"/>
  <c r="Z250" i="9" s="1"/>
  <c r="Y249" i="9"/>
  <c r="Z249" i="9" s="1"/>
  <c r="Y248" i="9"/>
  <c r="Z248" i="9" s="1"/>
  <c r="Y247" i="9"/>
  <c r="Z247" i="9" s="1"/>
  <c r="Y246" i="9"/>
  <c r="Z246" i="9" s="1"/>
  <c r="Y245" i="9"/>
  <c r="Z245" i="9" s="1"/>
  <c r="Y244" i="9"/>
  <c r="Z244" i="9" s="1"/>
  <c r="Y243" i="9"/>
  <c r="Z243" i="9" s="1"/>
  <c r="Y242" i="9"/>
  <c r="Z242" i="9" s="1"/>
  <c r="Y241" i="9"/>
  <c r="Z241" i="9" s="1"/>
  <c r="Y240" i="9"/>
  <c r="Z240" i="9" s="1"/>
  <c r="Y239" i="9"/>
  <c r="Z239" i="9" s="1"/>
  <c r="Y238" i="9"/>
  <c r="Z238" i="9" s="1"/>
  <c r="Y237" i="9"/>
  <c r="Z237" i="9" s="1"/>
  <c r="Y236" i="9"/>
  <c r="Z236" i="9" s="1"/>
  <c r="Y235" i="9"/>
  <c r="Z235" i="9" s="1"/>
  <c r="Y234" i="9"/>
  <c r="Z234" i="9" s="1"/>
  <c r="Y233" i="9"/>
  <c r="Z233" i="9" s="1"/>
  <c r="Y232" i="9"/>
  <c r="Z232" i="9" s="1"/>
  <c r="Y231" i="9"/>
  <c r="Z231" i="9" s="1"/>
  <c r="Y230" i="9"/>
  <c r="Z230" i="9" s="1"/>
  <c r="Y229" i="9"/>
  <c r="Z229" i="9" s="1"/>
  <c r="Y228" i="9"/>
  <c r="Z228" i="9" s="1"/>
  <c r="Y227" i="9"/>
  <c r="Z227" i="9" s="1"/>
  <c r="Y226" i="9"/>
  <c r="Z226" i="9" s="1"/>
  <c r="Y225" i="9"/>
  <c r="Z225" i="9" s="1"/>
  <c r="Y224" i="9"/>
  <c r="Z224" i="9" s="1"/>
  <c r="Y223" i="9"/>
  <c r="Z223" i="9" s="1"/>
  <c r="Y222" i="9"/>
  <c r="Z222" i="9" s="1"/>
  <c r="Y221" i="9"/>
  <c r="Z221" i="9" s="1"/>
  <c r="Y220" i="9"/>
  <c r="Z220" i="9" s="1"/>
  <c r="Y219" i="9"/>
  <c r="Z219" i="9" s="1"/>
  <c r="Y218" i="9"/>
  <c r="Z218" i="9" s="1"/>
  <c r="Y217" i="9"/>
  <c r="Z217" i="9" s="1"/>
  <c r="Y216" i="9"/>
  <c r="Z216" i="9" s="1"/>
  <c r="Y215" i="9"/>
  <c r="Z215" i="9" s="1"/>
  <c r="Y214" i="9"/>
  <c r="Z214" i="9" s="1"/>
  <c r="Y213" i="9"/>
  <c r="Z213" i="9" s="1"/>
  <c r="Y212" i="9"/>
  <c r="Z212" i="9" s="1"/>
  <c r="Y211" i="9"/>
  <c r="Z211" i="9" s="1"/>
  <c r="Y210" i="9"/>
  <c r="Z210" i="9" s="1"/>
  <c r="Y209" i="9"/>
  <c r="Z209" i="9" s="1"/>
  <c r="Y208" i="9"/>
  <c r="Z208" i="9" s="1"/>
  <c r="Y207" i="9"/>
  <c r="Z207" i="9" s="1"/>
  <c r="Y206" i="9"/>
  <c r="Z206" i="9" s="1"/>
  <c r="Y205" i="9"/>
  <c r="Z205" i="9" s="1"/>
  <c r="Y204" i="9"/>
  <c r="Z204" i="9" s="1"/>
  <c r="Y203" i="9"/>
  <c r="Z203" i="9" s="1"/>
  <c r="Y202" i="9"/>
  <c r="Z202" i="9" s="1"/>
  <c r="Y201" i="9"/>
  <c r="Z201" i="9" s="1"/>
  <c r="Y200" i="9"/>
  <c r="Z200" i="9" s="1"/>
  <c r="Y199" i="9"/>
  <c r="Z199" i="9" s="1"/>
  <c r="Y198" i="9"/>
  <c r="Z198" i="9" s="1"/>
  <c r="Y197" i="9"/>
  <c r="Z197" i="9" s="1"/>
  <c r="Y196" i="9"/>
  <c r="Z196" i="9" s="1"/>
  <c r="Y195" i="9"/>
  <c r="Z195" i="9" s="1"/>
  <c r="Y194" i="9"/>
  <c r="Z194" i="9" s="1"/>
  <c r="Y193" i="9"/>
  <c r="Z193" i="9" s="1"/>
  <c r="Y192" i="9"/>
  <c r="Z192" i="9" s="1"/>
  <c r="Y191" i="9"/>
  <c r="Z191" i="9" s="1"/>
  <c r="Y190" i="9"/>
  <c r="Z190" i="9" s="1"/>
  <c r="Y189" i="9"/>
  <c r="Z189" i="9" s="1"/>
  <c r="Y188" i="9"/>
  <c r="Z188" i="9" s="1"/>
  <c r="Y187" i="9"/>
  <c r="Z187" i="9" s="1"/>
  <c r="Y186" i="9"/>
  <c r="Z186" i="9" s="1"/>
  <c r="Y185" i="9"/>
  <c r="Z185" i="9" s="1"/>
  <c r="Y184" i="9"/>
  <c r="Z184" i="9" s="1"/>
  <c r="Y183" i="9"/>
  <c r="Z183" i="9" s="1"/>
  <c r="Y182" i="9"/>
  <c r="Z182" i="9" s="1"/>
  <c r="Y181" i="9"/>
  <c r="Z181" i="9" s="1"/>
  <c r="Y180" i="9"/>
  <c r="Z180" i="9" s="1"/>
  <c r="Y179" i="9"/>
  <c r="Z179" i="9" s="1"/>
  <c r="Y178" i="9"/>
  <c r="Z178" i="9" s="1"/>
  <c r="Y177" i="9"/>
  <c r="Z177" i="9" s="1"/>
  <c r="Y176" i="9"/>
  <c r="Z176" i="9" s="1"/>
  <c r="Y175" i="9"/>
  <c r="Z175" i="9" s="1"/>
  <c r="Y174" i="9"/>
  <c r="Z174" i="9" s="1"/>
  <c r="Y173" i="9"/>
  <c r="Z173" i="9" s="1"/>
  <c r="Y172" i="9"/>
  <c r="Z172" i="9" s="1"/>
  <c r="Y171" i="9"/>
  <c r="Z171" i="9" s="1"/>
  <c r="Y170" i="9"/>
  <c r="Z170" i="9" s="1"/>
  <c r="Y169" i="9"/>
  <c r="Z169" i="9" s="1"/>
  <c r="Y168" i="9"/>
  <c r="Z168" i="9" s="1"/>
  <c r="Y167" i="9"/>
  <c r="Z167" i="9" s="1"/>
  <c r="Y166" i="9"/>
  <c r="Z166" i="9" s="1"/>
  <c r="Y165" i="9"/>
  <c r="Z165" i="9" s="1"/>
  <c r="Y164" i="9"/>
  <c r="Z164" i="9" s="1"/>
  <c r="Y163" i="9"/>
  <c r="Z163" i="9" s="1"/>
  <c r="Y162" i="9"/>
  <c r="Z162" i="9" s="1"/>
  <c r="Y161" i="9"/>
  <c r="Z161" i="9" s="1"/>
  <c r="Y160" i="9"/>
  <c r="Z160" i="9" s="1"/>
  <c r="Y159" i="9"/>
  <c r="Z159" i="9" s="1"/>
  <c r="Y158" i="9"/>
  <c r="Z158" i="9" s="1"/>
  <c r="Y157" i="9"/>
  <c r="Z157" i="9" s="1"/>
  <c r="Y156" i="9"/>
  <c r="Z156" i="9" s="1"/>
  <c r="Y155" i="9"/>
  <c r="Z155" i="9" s="1"/>
  <c r="Y154" i="9"/>
  <c r="Z154" i="9" s="1"/>
  <c r="Y153" i="9"/>
  <c r="Z153" i="9" s="1"/>
  <c r="Y152" i="9"/>
  <c r="Z152" i="9" s="1"/>
  <c r="Y151" i="9"/>
  <c r="Z151" i="9" s="1"/>
  <c r="Y150" i="9"/>
  <c r="Z150" i="9" s="1"/>
  <c r="Y149" i="9"/>
  <c r="Z149" i="9" s="1"/>
  <c r="Y148" i="9"/>
  <c r="Z148" i="9" s="1"/>
  <c r="Y147" i="9"/>
  <c r="Z147" i="9" s="1"/>
  <c r="Y146" i="9"/>
  <c r="Z146" i="9" s="1"/>
  <c r="Y145" i="9"/>
  <c r="Z145" i="9" s="1"/>
  <c r="Y144" i="9"/>
  <c r="Z144" i="9" s="1"/>
  <c r="Y143" i="9"/>
  <c r="Z143" i="9" s="1"/>
  <c r="Y142" i="9"/>
  <c r="Z142" i="9" s="1"/>
  <c r="Y141" i="9"/>
  <c r="Z141" i="9" s="1"/>
  <c r="Y140" i="9"/>
  <c r="Z140" i="9" s="1"/>
  <c r="Y139" i="9"/>
  <c r="Z139" i="9" s="1"/>
  <c r="Y138" i="9"/>
  <c r="Z138" i="9" s="1"/>
  <c r="Y137" i="9"/>
  <c r="Z137" i="9" s="1"/>
  <c r="Y136" i="9"/>
  <c r="Z136" i="9" s="1"/>
  <c r="Y135" i="9"/>
  <c r="Z135" i="9" s="1"/>
  <c r="Y134" i="9"/>
  <c r="Z134" i="9" s="1"/>
  <c r="Y133" i="9"/>
  <c r="Z133" i="9" s="1"/>
  <c r="Y132" i="9"/>
  <c r="Z132" i="9" s="1"/>
  <c r="Y131" i="9"/>
  <c r="Z131" i="9" s="1"/>
  <c r="Y130" i="9"/>
  <c r="Z130" i="9" s="1"/>
  <c r="Y129" i="9"/>
  <c r="Z129" i="9" s="1"/>
  <c r="Y128" i="9"/>
  <c r="Z128" i="9" s="1"/>
  <c r="Y127" i="9"/>
  <c r="Z127" i="9" s="1"/>
  <c r="Y126" i="9"/>
  <c r="Z126" i="9" s="1"/>
  <c r="Y125" i="9"/>
  <c r="Z125" i="9" s="1"/>
  <c r="Y124" i="9"/>
  <c r="Z124" i="9" s="1"/>
  <c r="Y123" i="9"/>
  <c r="Z123" i="9" s="1"/>
  <c r="Y122" i="9"/>
  <c r="Z122" i="9" s="1"/>
  <c r="Y121" i="9"/>
  <c r="Z121" i="9" s="1"/>
  <c r="Y120" i="9"/>
  <c r="Z120" i="9" s="1"/>
  <c r="Y119" i="9"/>
  <c r="Z119" i="9" s="1"/>
  <c r="Y118" i="9"/>
  <c r="Z118" i="9" s="1"/>
  <c r="Y117" i="9"/>
  <c r="Z117" i="9" s="1"/>
  <c r="Y116" i="9"/>
  <c r="Z116" i="9" s="1"/>
  <c r="Y115" i="9"/>
  <c r="Z115" i="9" s="1"/>
  <c r="Y114" i="9"/>
  <c r="Z114" i="9" s="1"/>
  <c r="Y113" i="9"/>
  <c r="Z113" i="9" s="1"/>
  <c r="Y112" i="9"/>
  <c r="Z112" i="9" s="1"/>
  <c r="Y111" i="9"/>
  <c r="Z111" i="9" s="1"/>
  <c r="Y110" i="9"/>
  <c r="Z110" i="9" s="1"/>
  <c r="Y109" i="9"/>
  <c r="Z109" i="9" s="1"/>
  <c r="Y108" i="9"/>
  <c r="Z108" i="9" s="1"/>
  <c r="Y107" i="9"/>
  <c r="Z107" i="9" s="1"/>
  <c r="Y106" i="9"/>
  <c r="Z106" i="9" s="1"/>
  <c r="Y105" i="9"/>
  <c r="Z105" i="9" s="1"/>
  <c r="Y104" i="9"/>
  <c r="Z104" i="9" s="1"/>
  <c r="Y103" i="9"/>
  <c r="Z103" i="9" s="1"/>
  <c r="Y102" i="9"/>
  <c r="Z102" i="9" s="1"/>
  <c r="Y101" i="9"/>
  <c r="Z101" i="9" s="1"/>
  <c r="Y100" i="9"/>
  <c r="Z100" i="9" s="1"/>
  <c r="Y99" i="9"/>
  <c r="Z99" i="9" s="1"/>
  <c r="Y98" i="9"/>
  <c r="Z98" i="9" s="1"/>
  <c r="Y97" i="9"/>
  <c r="Z97" i="9" s="1"/>
  <c r="Y96" i="9"/>
  <c r="Z96" i="9" s="1"/>
  <c r="Y95" i="9"/>
  <c r="Z95" i="9" s="1"/>
  <c r="Y94" i="9"/>
  <c r="Z94" i="9" s="1"/>
  <c r="Y93" i="9"/>
  <c r="Z93" i="9" s="1"/>
  <c r="Y92" i="9"/>
  <c r="Z92" i="9" s="1"/>
  <c r="Y91" i="9"/>
  <c r="Z91" i="9" s="1"/>
  <c r="Y90" i="9"/>
  <c r="Z90" i="9" s="1"/>
  <c r="Y89" i="9"/>
  <c r="Z89" i="9" s="1"/>
  <c r="Y88" i="9"/>
  <c r="Z88" i="9" s="1"/>
  <c r="Y87" i="9"/>
  <c r="Z87" i="9" s="1"/>
  <c r="Y86" i="9"/>
  <c r="Z86" i="9" s="1"/>
  <c r="Y85" i="9"/>
  <c r="Z85" i="9" s="1"/>
  <c r="Y84" i="9"/>
  <c r="Z84" i="9" s="1"/>
  <c r="Y83" i="9"/>
  <c r="Z83" i="9" s="1"/>
  <c r="Y82" i="9"/>
  <c r="Z82" i="9" s="1"/>
  <c r="Y81" i="9"/>
  <c r="Z81" i="9" s="1"/>
  <c r="Y80" i="9"/>
  <c r="Z80" i="9" s="1"/>
  <c r="Y79" i="9"/>
  <c r="Z79" i="9" s="1"/>
  <c r="Y78" i="9"/>
  <c r="Z78" i="9" s="1"/>
  <c r="Y77" i="9"/>
  <c r="Z77" i="9" s="1"/>
  <c r="Y76" i="9"/>
  <c r="Z76" i="9" s="1"/>
  <c r="Y75" i="9"/>
  <c r="Z75" i="9" s="1"/>
  <c r="Y74" i="9"/>
  <c r="Z74" i="9" s="1"/>
  <c r="Y73" i="9"/>
  <c r="Z73" i="9" s="1"/>
  <c r="Y72" i="9"/>
  <c r="Z72" i="9" s="1"/>
  <c r="Y71" i="9"/>
  <c r="Z71" i="9" s="1"/>
  <c r="Y70" i="9"/>
  <c r="Z70" i="9" s="1"/>
  <c r="Y69" i="9"/>
  <c r="Z69" i="9" s="1"/>
  <c r="Y68" i="9"/>
  <c r="Z68" i="9" s="1"/>
  <c r="Y67" i="9"/>
  <c r="Z67" i="9" s="1"/>
  <c r="Y66" i="9"/>
  <c r="Z66" i="9" s="1"/>
  <c r="Y65" i="9"/>
  <c r="Z65" i="9" s="1"/>
  <c r="Y64" i="9"/>
  <c r="Z64" i="9" s="1"/>
  <c r="Y63" i="9"/>
  <c r="Z63" i="9" s="1"/>
  <c r="Y62" i="9"/>
  <c r="Z62" i="9" s="1"/>
  <c r="Y61" i="9"/>
  <c r="Z61" i="9" s="1"/>
  <c r="Y60" i="9"/>
  <c r="Z60" i="9" s="1"/>
  <c r="Y59" i="9"/>
  <c r="Z59" i="9" s="1"/>
  <c r="Y58" i="9"/>
  <c r="Z58" i="9" s="1"/>
  <c r="Y57" i="9"/>
  <c r="Z57" i="9" s="1"/>
  <c r="Y56" i="9"/>
  <c r="Z56" i="9" s="1"/>
  <c r="Y55" i="9"/>
  <c r="Z55" i="9" s="1"/>
  <c r="Y54" i="9"/>
  <c r="Z54" i="9" s="1"/>
  <c r="Y53" i="9"/>
  <c r="Z53" i="9" s="1"/>
  <c r="Y52" i="9"/>
  <c r="Z52" i="9" s="1"/>
  <c r="Y51" i="9"/>
  <c r="Z51" i="9" s="1"/>
  <c r="Y50" i="9"/>
  <c r="Z50" i="9" s="1"/>
  <c r="Y49" i="9"/>
  <c r="Z49" i="9" s="1"/>
  <c r="Y48" i="9"/>
  <c r="Z48" i="9" s="1"/>
  <c r="Y47" i="9"/>
  <c r="Z47" i="9" s="1"/>
  <c r="Y46" i="9"/>
  <c r="Z46" i="9" s="1"/>
  <c r="Y45" i="9"/>
  <c r="Z45" i="9" s="1"/>
  <c r="Y44" i="9"/>
  <c r="Z44" i="9" s="1"/>
  <c r="Y43" i="9"/>
  <c r="Z43" i="9" s="1"/>
  <c r="Y42" i="9"/>
  <c r="Z42" i="9" s="1"/>
  <c r="Y41" i="9"/>
  <c r="Z41" i="9" s="1"/>
  <c r="Y40" i="9"/>
  <c r="Z40" i="9" s="1"/>
  <c r="Y39" i="9"/>
  <c r="Z39" i="9" s="1"/>
  <c r="Y38" i="9"/>
  <c r="Z38" i="9" s="1"/>
  <c r="Y37" i="9"/>
  <c r="Z37" i="9" s="1"/>
  <c r="Y36" i="9"/>
  <c r="Z36" i="9" s="1"/>
  <c r="Y35" i="9"/>
  <c r="Z35" i="9" s="1"/>
  <c r="Y34" i="9"/>
  <c r="Z34" i="9" s="1"/>
  <c r="Y33" i="9"/>
  <c r="Z33" i="9" s="1"/>
  <c r="Y32" i="9"/>
  <c r="Z32" i="9" s="1"/>
  <c r="Y31" i="9"/>
  <c r="Z31" i="9" s="1"/>
  <c r="Y30" i="9"/>
  <c r="Z30" i="9" s="1"/>
  <c r="Y29" i="9"/>
  <c r="Z29" i="9" s="1"/>
  <c r="Y28" i="9"/>
  <c r="Z28" i="9" s="1"/>
  <c r="Y27" i="9"/>
  <c r="Z27" i="9" s="1"/>
  <c r="Y26" i="9"/>
  <c r="Z26" i="9" s="1"/>
  <c r="Y25" i="9"/>
  <c r="Z25" i="9" s="1"/>
  <c r="Y24" i="9"/>
  <c r="Z24" i="9" s="1"/>
  <c r="Y23" i="9"/>
  <c r="Z23" i="9" s="1"/>
  <c r="Y22" i="9"/>
  <c r="Z22" i="9" s="1"/>
  <c r="Y21" i="9"/>
  <c r="Z21" i="9" s="1"/>
  <c r="Y20" i="9"/>
  <c r="Z20" i="9" s="1"/>
  <c r="Y19" i="9"/>
  <c r="Z19" i="9" s="1"/>
  <c r="Y18" i="9"/>
  <c r="Z18" i="9" s="1"/>
  <c r="Y17" i="9"/>
  <c r="Z17" i="9" s="1"/>
  <c r="Y16" i="9"/>
  <c r="Z16" i="9" s="1"/>
  <c r="Y15" i="9"/>
  <c r="Z15" i="9" s="1"/>
  <c r="Y14" i="9"/>
  <c r="Z14" i="9" s="1"/>
  <c r="Y13" i="9"/>
  <c r="Z13" i="9" s="1"/>
  <c r="Y12" i="9"/>
  <c r="Z12" i="9" s="1"/>
  <c r="Y11" i="9"/>
  <c r="Z11" i="9" s="1"/>
  <c r="Y10" i="9"/>
  <c r="Z10" i="9" s="1"/>
  <c r="Y9" i="9"/>
  <c r="Z9" i="9" s="1"/>
  <c r="Y8" i="9"/>
  <c r="Z8" i="9" s="1"/>
  <c r="Y7" i="9"/>
  <c r="Z7" i="9" s="1"/>
  <c r="Y6" i="9"/>
  <c r="Z6" i="9" s="1"/>
  <c r="Y250" i="11"/>
  <c r="Z250" i="11" s="1"/>
  <c r="Y249" i="11"/>
  <c r="Z249" i="11" s="1"/>
  <c r="Y248" i="11"/>
  <c r="Z248" i="11" s="1"/>
  <c r="Y247" i="11"/>
  <c r="Z247" i="11" s="1"/>
  <c r="Y246" i="11"/>
  <c r="Z246" i="11" s="1"/>
  <c r="Y245" i="11"/>
  <c r="Z245" i="11" s="1"/>
  <c r="Y244" i="11"/>
  <c r="Z244" i="11" s="1"/>
  <c r="Y243" i="11"/>
  <c r="Z243" i="11" s="1"/>
  <c r="Y242" i="11"/>
  <c r="Z242" i="11" s="1"/>
  <c r="Y241" i="11"/>
  <c r="Z241" i="11" s="1"/>
  <c r="Y240" i="11"/>
  <c r="Z240" i="11" s="1"/>
  <c r="Y239" i="11"/>
  <c r="Z239" i="11" s="1"/>
  <c r="Y238" i="11"/>
  <c r="Z238" i="11" s="1"/>
  <c r="Y237" i="11"/>
  <c r="Z237" i="11" s="1"/>
  <c r="Y236" i="11"/>
  <c r="Z236" i="11" s="1"/>
  <c r="Y235" i="11"/>
  <c r="Z235" i="11" s="1"/>
  <c r="Y234" i="11"/>
  <c r="Z234" i="11" s="1"/>
  <c r="Y233" i="11"/>
  <c r="Z233" i="11" s="1"/>
  <c r="Y232" i="11"/>
  <c r="Z232" i="11" s="1"/>
  <c r="Y231" i="11"/>
  <c r="Z231" i="11" s="1"/>
  <c r="Y230" i="11"/>
  <c r="Z230" i="11" s="1"/>
  <c r="Y229" i="11"/>
  <c r="Z229" i="11" s="1"/>
  <c r="Y228" i="11"/>
  <c r="Z228" i="11" s="1"/>
  <c r="Y227" i="11"/>
  <c r="Z227" i="11" s="1"/>
  <c r="Y226" i="11"/>
  <c r="Z226" i="11" s="1"/>
  <c r="Y225" i="11"/>
  <c r="Z225" i="11" s="1"/>
  <c r="Y224" i="11"/>
  <c r="Z224" i="11" s="1"/>
  <c r="Y223" i="11"/>
  <c r="Z223" i="11" s="1"/>
  <c r="Y222" i="11"/>
  <c r="Z222" i="11" s="1"/>
  <c r="Y221" i="11"/>
  <c r="Z221" i="11" s="1"/>
  <c r="Y220" i="11"/>
  <c r="Z220" i="11" s="1"/>
  <c r="Y219" i="11"/>
  <c r="Z219" i="11" s="1"/>
  <c r="Y218" i="11"/>
  <c r="Z218" i="11" s="1"/>
  <c r="Y217" i="11"/>
  <c r="Z217" i="11" s="1"/>
  <c r="Y216" i="11"/>
  <c r="Z216" i="11" s="1"/>
  <c r="Y215" i="11"/>
  <c r="Z215" i="11" s="1"/>
  <c r="Y214" i="11"/>
  <c r="Z214" i="11" s="1"/>
  <c r="Y213" i="11"/>
  <c r="Z213" i="11" s="1"/>
  <c r="Y212" i="11"/>
  <c r="Z212" i="11" s="1"/>
  <c r="Y211" i="11"/>
  <c r="Z211" i="11" s="1"/>
  <c r="Y210" i="11"/>
  <c r="Z210" i="11" s="1"/>
  <c r="Y209" i="11"/>
  <c r="Z209" i="11" s="1"/>
  <c r="Y208" i="11"/>
  <c r="Z208" i="11" s="1"/>
  <c r="Y207" i="11"/>
  <c r="Z207" i="11" s="1"/>
  <c r="Y206" i="11"/>
  <c r="Z206" i="11" s="1"/>
  <c r="Y205" i="11"/>
  <c r="Z205" i="11" s="1"/>
  <c r="Y204" i="11"/>
  <c r="Z204" i="11" s="1"/>
  <c r="Y203" i="11"/>
  <c r="Z203" i="11" s="1"/>
  <c r="Y202" i="11"/>
  <c r="Z202" i="11" s="1"/>
  <c r="Y201" i="11"/>
  <c r="Z201" i="11" s="1"/>
  <c r="Y200" i="11"/>
  <c r="Z200" i="11" s="1"/>
  <c r="Y199" i="11"/>
  <c r="Z199" i="11" s="1"/>
  <c r="Y198" i="11"/>
  <c r="Z198" i="11" s="1"/>
  <c r="Y197" i="11"/>
  <c r="Z197" i="11" s="1"/>
  <c r="Y196" i="11"/>
  <c r="Z196" i="11" s="1"/>
  <c r="Y195" i="11"/>
  <c r="Z195" i="11" s="1"/>
  <c r="Y194" i="11"/>
  <c r="Z194" i="11" s="1"/>
  <c r="Y193" i="11"/>
  <c r="Z193" i="11" s="1"/>
  <c r="Y192" i="11"/>
  <c r="Z192" i="11" s="1"/>
  <c r="Y191" i="11"/>
  <c r="Z191" i="11" s="1"/>
  <c r="Y190" i="11"/>
  <c r="Z190" i="11" s="1"/>
  <c r="Y189" i="11"/>
  <c r="Z189" i="11" s="1"/>
  <c r="Y188" i="11"/>
  <c r="Z188" i="11" s="1"/>
  <c r="Y187" i="11"/>
  <c r="Z187" i="11" s="1"/>
  <c r="Y186" i="11"/>
  <c r="Z186" i="11" s="1"/>
  <c r="Y185" i="11"/>
  <c r="Z185" i="11" s="1"/>
  <c r="Y184" i="11"/>
  <c r="Z184" i="11" s="1"/>
  <c r="Y183" i="11"/>
  <c r="Z183" i="11" s="1"/>
  <c r="Y182" i="11"/>
  <c r="Z182" i="11" s="1"/>
  <c r="Y181" i="11"/>
  <c r="Z181" i="11" s="1"/>
  <c r="Y180" i="11"/>
  <c r="Z180" i="11" s="1"/>
  <c r="Y179" i="11"/>
  <c r="Z179" i="11" s="1"/>
  <c r="Y178" i="11"/>
  <c r="Z178" i="11" s="1"/>
  <c r="Y177" i="11"/>
  <c r="Z177" i="11" s="1"/>
  <c r="Y176" i="11"/>
  <c r="Z176" i="11" s="1"/>
  <c r="Y175" i="11"/>
  <c r="Z175" i="11" s="1"/>
  <c r="Y174" i="11"/>
  <c r="Z174" i="11" s="1"/>
  <c r="Y173" i="11"/>
  <c r="Z173" i="11" s="1"/>
  <c r="Y172" i="11"/>
  <c r="Z172" i="11" s="1"/>
  <c r="Y171" i="11"/>
  <c r="Z171" i="11" s="1"/>
  <c r="Y170" i="11"/>
  <c r="Z170" i="11" s="1"/>
  <c r="Y169" i="11"/>
  <c r="Z169" i="11" s="1"/>
  <c r="Y168" i="11"/>
  <c r="Z168" i="11" s="1"/>
  <c r="Y167" i="11"/>
  <c r="Z167" i="11" s="1"/>
  <c r="Y166" i="11"/>
  <c r="Z166" i="11" s="1"/>
  <c r="Y165" i="11"/>
  <c r="Z165" i="11" s="1"/>
  <c r="Y164" i="11"/>
  <c r="Z164" i="11" s="1"/>
  <c r="Y163" i="11"/>
  <c r="Z163" i="11" s="1"/>
  <c r="Y162" i="11"/>
  <c r="Z162" i="11" s="1"/>
  <c r="Y161" i="11"/>
  <c r="Z161" i="11" s="1"/>
  <c r="Y160" i="11"/>
  <c r="Z160" i="11" s="1"/>
  <c r="Y159" i="11"/>
  <c r="Z159" i="11" s="1"/>
  <c r="Y158" i="11"/>
  <c r="Z158" i="11" s="1"/>
  <c r="Y157" i="11"/>
  <c r="Z157" i="11" s="1"/>
  <c r="Y156" i="11"/>
  <c r="Z156" i="11" s="1"/>
  <c r="Y155" i="11"/>
  <c r="Z155" i="11" s="1"/>
  <c r="Y154" i="11"/>
  <c r="Z154" i="11" s="1"/>
  <c r="Y153" i="11"/>
  <c r="Z153" i="11" s="1"/>
  <c r="Y152" i="11"/>
  <c r="Z152" i="11" s="1"/>
  <c r="Y151" i="11"/>
  <c r="Z151" i="11" s="1"/>
  <c r="Y150" i="11"/>
  <c r="Z150" i="11" s="1"/>
  <c r="Y149" i="11"/>
  <c r="Z149" i="11" s="1"/>
  <c r="Y148" i="11"/>
  <c r="Z148" i="11" s="1"/>
  <c r="Y147" i="11"/>
  <c r="Z147" i="11" s="1"/>
  <c r="Y146" i="11"/>
  <c r="Z146" i="11" s="1"/>
  <c r="Y145" i="11"/>
  <c r="Z145" i="11" s="1"/>
  <c r="Y144" i="11"/>
  <c r="Z144" i="11" s="1"/>
  <c r="Y143" i="11"/>
  <c r="Z143" i="11" s="1"/>
  <c r="Y142" i="11"/>
  <c r="Z142" i="11" s="1"/>
  <c r="Y141" i="11"/>
  <c r="Z141" i="11" s="1"/>
  <c r="Y140" i="11"/>
  <c r="Z140" i="11" s="1"/>
  <c r="Y139" i="11"/>
  <c r="Z139" i="11" s="1"/>
  <c r="Y138" i="11"/>
  <c r="Z138" i="11" s="1"/>
  <c r="Y137" i="11"/>
  <c r="Z137" i="11" s="1"/>
  <c r="Y136" i="11"/>
  <c r="Z136" i="11" s="1"/>
  <c r="Y135" i="11"/>
  <c r="Z135" i="11" s="1"/>
  <c r="Y134" i="11"/>
  <c r="Z134" i="11" s="1"/>
  <c r="Y133" i="11"/>
  <c r="Z133" i="11" s="1"/>
  <c r="Y132" i="11"/>
  <c r="Z132" i="11" s="1"/>
  <c r="Y131" i="11"/>
  <c r="Z131" i="11" s="1"/>
  <c r="Y130" i="11"/>
  <c r="Z130" i="11" s="1"/>
  <c r="Y129" i="11"/>
  <c r="Z129" i="11" s="1"/>
  <c r="Y128" i="11"/>
  <c r="Z128" i="11" s="1"/>
  <c r="Y127" i="11"/>
  <c r="Z127" i="11" s="1"/>
  <c r="Y126" i="11"/>
  <c r="Z126" i="11" s="1"/>
  <c r="Y125" i="11"/>
  <c r="Z125" i="11" s="1"/>
  <c r="Y124" i="11"/>
  <c r="Z124" i="11" s="1"/>
  <c r="Y123" i="11"/>
  <c r="Z123" i="11" s="1"/>
  <c r="Y122" i="11"/>
  <c r="Z122" i="11" s="1"/>
  <c r="Y121" i="11"/>
  <c r="Z121" i="11" s="1"/>
  <c r="Y120" i="11"/>
  <c r="Z120" i="11" s="1"/>
  <c r="Y119" i="11"/>
  <c r="Z119" i="11" s="1"/>
  <c r="Y118" i="11"/>
  <c r="Z118" i="11" s="1"/>
  <c r="Y117" i="11"/>
  <c r="Z117" i="11" s="1"/>
  <c r="Y116" i="11"/>
  <c r="Z116" i="11" s="1"/>
  <c r="Y115" i="11"/>
  <c r="Z115" i="11" s="1"/>
  <c r="Y114" i="11"/>
  <c r="Z114" i="11" s="1"/>
  <c r="Y113" i="11"/>
  <c r="Z113" i="11" s="1"/>
  <c r="Y112" i="11"/>
  <c r="Z112" i="11" s="1"/>
  <c r="Y111" i="11"/>
  <c r="Z111" i="11" s="1"/>
  <c r="Y110" i="11"/>
  <c r="Z110" i="11" s="1"/>
  <c r="Y109" i="11"/>
  <c r="Z109" i="11" s="1"/>
  <c r="Y108" i="11"/>
  <c r="Z108" i="11" s="1"/>
  <c r="Y107" i="11"/>
  <c r="Z107" i="11" s="1"/>
  <c r="Y106" i="11"/>
  <c r="Z106" i="11" s="1"/>
  <c r="Y105" i="11"/>
  <c r="Z105" i="11" s="1"/>
  <c r="Y104" i="11"/>
  <c r="Z104" i="11" s="1"/>
  <c r="Y103" i="11"/>
  <c r="Z103" i="11" s="1"/>
  <c r="Y102" i="11"/>
  <c r="Z102" i="11" s="1"/>
  <c r="Y101" i="11"/>
  <c r="Z101" i="11" s="1"/>
  <c r="Y100" i="11"/>
  <c r="Z100" i="11" s="1"/>
  <c r="Y99" i="11"/>
  <c r="Z99" i="11" s="1"/>
  <c r="Y98" i="11"/>
  <c r="Z98" i="11" s="1"/>
  <c r="Y97" i="11"/>
  <c r="Z97" i="11" s="1"/>
  <c r="Y96" i="11"/>
  <c r="Z96" i="11" s="1"/>
  <c r="Y95" i="11"/>
  <c r="Z95" i="11" s="1"/>
  <c r="Y94" i="11"/>
  <c r="Z94" i="11" s="1"/>
  <c r="Y93" i="11"/>
  <c r="Z93" i="11" s="1"/>
  <c r="Y92" i="11"/>
  <c r="Z92" i="11" s="1"/>
  <c r="Y91" i="11"/>
  <c r="Z91" i="11" s="1"/>
  <c r="Y90" i="11"/>
  <c r="Z90" i="11" s="1"/>
  <c r="Y89" i="11"/>
  <c r="Z89" i="11" s="1"/>
  <c r="Y88" i="11"/>
  <c r="Z88" i="11" s="1"/>
  <c r="Y87" i="11"/>
  <c r="Z87" i="11" s="1"/>
  <c r="Y86" i="11"/>
  <c r="Z86" i="11" s="1"/>
  <c r="Y85" i="11"/>
  <c r="Z85" i="11" s="1"/>
  <c r="Y84" i="11"/>
  <c r="Z84" i="11" s="1"/>
  <c r="Y83" i="11"/>
  <c r="Z83" i="11" s="1"/>
  <c r="Y82" i="11"/>
  <c r="Z82" i="11" s="1"/>
  <c r="Y81" i="11"/>
  <c r="Z81" i="11" s="1"/>
  <c r="Y80" i="11"/>
  <c r="Z80" i="11" s="1"/>
  <c r="Y79" i="11"/>
  <c r="Z79" i="11" s="1"/>
  <c r="Y78" i="11"/>
  <c r="Z78" i="11" s="1"/>
  <c r="Y77" i="11"/>
  <c r="Z77" i="11" s="1"/>
  <c r="Y76" i="11"/>
  <c r="Z76" i="11" s="1"/>
  <c r="Y75" i="11"/>
  <c r="Z75" i="11" s="1"/>
  <c r="Y74" i="11"/>
  <c r="Z74" i="11" s="1"/>
  <c r="Y73" i="11"/>
  <c r="Z73" i="11" s="1"/>
  <c r="Y72" i="11"/>
  <c r="Z72" i="11" s="1"/>
  <c r="Y71" i="11"/>
  <c r="Z71" i="11" s="1"/>
  <c r="Y70" i="11"/>
  <c r="Z70" i="11" s="1"/>
  <c r="Y69" i="11"/>
  <c r="Z69" i="11" s="1"/>
  <c r="Y68" i="11"/>
  <c r="Z68" i="11" s="1"/>
  <c r="Y67" i="11"/>
  <c r="Z67" i="11" s="1"/>
  <c r="Y66" i="11"/>
  <c r="Z66" i="11" s="1"/>
  <c r="Y65" i="11"/>
  <c r="Z65" i="11" s="1"/>
  <c r="Y64" i="11"/>
  <c r="Z64" i="11" s="1"/>
  <c r="Y63" i="11"/>
  <c r="Z63" i="11" s="1"/>
  <c r="Y62" i="11"/>
  <c r="Z62" i="11" s="1"/>
  <c r="Y61" i="11"/>
  <c r="Z61" i="11" s="1"/>
  <c r="Y60" i="11"/>
  <c r="Z60" i="11" s="1"/>
  <c r="Y59" i="11"/>
  <c r="Z59" i="11" s="1"/>
  <c r="Y58" i="11"/>
  <c r="Z58" i="11" s="1"/>
  <c r="Y57" i="11"/>
  <c r="Z57" i="11" s="1"/>
  <c r="Y56" i="11"/>
  <c r="Z56" i="11" s="1"/>
  <c r="Y55" i="11"/>
  <c r="Z55" i="11" s="1"/>
  <c r="Y54" i="11"/>
  <c r="Z54" i="11" s="1"/>
  <c r="Y53" i="11"/>
  <c r="Z53" i="11" s="1"/>
  <c r="Y52" i="11"/>
  <c r="Z52" i="11" s="1"/>
  <c r="Y51" i="11"/>
  <c r="Z51" i="11" s="1"/>
  <c r="Y50" i="11"/>
  <c r="Z50" i="11" s="1"/>
  <c r="Y49" i="11"/>
  <c r="Z49" i="11" s="1"/>
  <c r="Y48" i="11"/>
  <c r="Z48" i="11" s="1"/>
  <c r="Y47" i="11"/>
  <c r="Z47" i="11" s="1"/>
  <c r="Y46" i="11"/>
  <c r="Z46" i="11" s="1"/>
  <c r="Y45" i="11"/>
  <c r="Z45" i="11" s="1"/>
  <c r="Y44" i="11"/>
  <c r="Z44" i="11" s="1"/>
  <c r="Y43" i="11"/>
  <c r="Z43" i="11" s="1"/>
  <c r="Y42" i="11"/>
  <c r="Z42" i="11" s="1"/>
  <c r="Y41" i="11"/>
  <c r="Z41" i="11" s="1"/>
  <c r="Y40" i="11"/>
  <c r="Z40" i="11" s="1"/>
  <c r="Y39" i="11"/>
  <c r="Z39" i="11" s="1"/>
  <c r="Y38" i="11"/>
  <c r="Z38" i="11" s="1"/>
  <c r="Y37" i="11"/>
  <c r="Z37" i="11" s="1"/>
  <c r="Y36" i="11"/>
  <c r="Z36" i="11" s="1"/>
  <c r="Y35" i="11"/>
  <c r="Z35" i="11" s="1"/>
  <c r="Y34" i="11"/>
  <c r="Z34" i="11" s="1"/>
  <c r="Y33" i="11"/>
  <c r="Z33" i="11" s="1"/>
  <c r="Y32" i="11"/>
  <c r="Z32" i="11" s="1"/>
  <c r="Y31" i="11"/>
  <c r="Z31" i="11" s="1"/>
  <c r="Y30" i="11"/>
  <c r="Z30" i="11" s="1"/>
  <c r="Y29" i="11"/>
  <c r="Z29" i="11" s="1"/>
  <c r="Y28" i="11"/>
  <c r="Z28" i="11" s="1"/>
  <c r="Y27" i="11"/>
  <c r="Z27" i="11" s="1"/>
  <c r="Y26" i="11"/>
  <c r="Z26" i="11" s="1"/>
  <c r="Y25" i="11"/>
  <c r="Z25" i="11" s="1"/>
  <c r="Y24" i="11"/>
  <c r="Z24" i="11" s="1"/>
  <c r="Y23" i="11"/>
  <c r="Z23" i="11" s="1"/>
  <c r="Y22" i="11"/>
  <c r="Z22" i="11" s="1"/>
  <c r="Y21" i="11"/>
  <c r="Z21" i="11" s="1"/>
  <c r="Y20" i="11"/>
  <c r="Z20" i="11" s="1"/>
  <c r="Y19" i="11"/>
  <c r="Z19" i="11" s="1"/>
  <c r="Y18" i="11"/>
  <c r="Z18" i="11" s="1"/>
  <c r="Y17" i="11"/>
  <c r="Z17" i="11" s="1"/>
  <c r="Y16" i="11"/>
  <c r="Z16" i="11" s="1"/>
  <c r="Y15" i="11"/>
  <c r="Z15" i="11" s="1"/>
  <c r="Y14" i="11"/>
  <c r="Z14" i="11" s="1"/>
  <c r="Y13" i="11"/>
  <c r="Z13" i="11" s="1"/>
  <c r="Y12" i="11"/>
  <c r="Z12" i="11" s="1"/>
  <c r="Y11" i="11"/>
  <c r="Z11" i="11" s="1"/>
  <c r="Y10" i="11"/>
  <c r="Z10" i="11" s="1"/>
  <c r="Y9" i="11"/>
  <c r="Z9" i="11" s="1"/>
  <c r="Y8" i="11"/>
  <c r="Z8" i="11" s="1"/>
  <c r="Y7" i="11"/>
  <c r="Z7" i="11" s="1"/>
  <c r="Y6" i="11"/>
  <c r="Z6" i="11" s="1"/>
  <c r="Y250" i="10"/>
  <c r="Z250" i="10" s="1"/>
  <c r="Y249" i="10"/>
  <c r="Z249" i="10" s="1"/>
  <c r="Y248" i="10"/>
  <c r="Z248" i="10" s="1"/>
  <c r="Y247" i="10"/>
  <c r="Z247" i="10" s="1"/>
  <c r="Y246" i="10"/>
  <c r="Z246" i="10" s="1"/>
  <c r="Y245" i="10"/>
  <c r="Z245" i="10" s="1"/>
  <c r="Y244" i="10"/>
  <c r="Z244" i="10" s="1"/>
  <c r="Y243" i="10"/>
  <c r="Z243" i="10" s="1"/>
  <c r="Y242" i="10"/>
  <c r="Z242" i="10" s="1"/>
  <c r="Y241" i="10"/>
  <c r="Z241" i="10" s="1"/>
  <c r="Y240" i="10"/>
  <c r="Z240" i="10" s="1"/>
  <c r="Y239" i="10"/>
  <c r="Z239" i="10" s="1"/>
  <c r="Y238" i="10"/>
  <c r="Z238" i="10" s="1"/>
  <c r="Y237" i="10"/>
  <c r="Z237" i="10" s="1"/>
  <c r="Y236" i="10"/>
  <c r="Z236" i="10" s="1"/>
  <c r="Y235" i="10"/>
  <c r="Z235" i="10" s="1"/>
  <c r="Y234" i="10"/>
  <c r="Z234" i="10" s="1"/>
  <c r="Y233" i="10"/>
  <c r="Z233" i="10" s="1"/>
  <c r="Y232" i="10"/>
  <c r="Z232" i="10" s="1"/>
  <c r="Y231" i="10"/>
  <c r="Z231" i="10" s="1"/>
  <c r="Y230" i="10"/>
  <c r="Z230" i="10" s="1"/>
  <c r="Y229" i="10"/>
  <c r="Z229" i="10" s="1"/>
  <c r="Y228" i="10"/>
  <c r="Z228" i="10" s="1"/>
  <c r="Y227" i="10"/>
  <c r="Z227" i="10" s="1"/>
  <c r="Y226" i="10"/>
  <c r="Z226" i="10" s="1"/>
  <c r="Y225" i="10"/>
  <c r="Z225" i="10" s="1"/>
  <c r="Y224" i="10"/>
  <c r="Z224" i="10" s="1"/>
  <c r="Y223" i="10"/>
  <c r="Z223" i="10" s="1"/>
  <c r="Y222" i="10"/>
  <c r="Z222" i="10" s="1"/>
  <c r="Y221" i="10"/>
  <c r="Z221" i="10" s="1"/>
  <c r="Y220" i="10"/>
  <c r="Z220" i="10" s="1"/>
  <c r="Y219" i="10"/>
  <c r="Z219" i="10" s="1"/>
  <c r="Y218" i="10"/>
  <c r="Z218" i="10" s="1"/>
  <c r="Y217" i="10"/>
  <c r="Z217" i="10" s="1"/>
  <c r="Y216" i="10"/>
  <c r="Z216" i="10" s="1"/>
  <c r="Y215" i="10"/>
  <c r="Z215" i="10" s="1"/>
  <c r="Y214" i="10"/>
  <c r="Z214" i="10" s="1"/>
  <c r="Y213" i="10"/>
  <c r="Z213" i="10" s="1"/>
  <c r="Y212" i="10"/>
  <c r="Z212" i="10" s="1"/>
  <c r="Y211" i="10"/>
  <c r="Z211" i="10" s="1"/>
  <c r="Y210" i="10"/>
  <c r="Z210" i="10" s="1"/>
  <c r="Y209" i="10"/>
  <c r="Z209" i="10" s="1"/>
  <c r="Y208" i="10"/>
  <c r="Z208" i="10" s="1"/>
  <c r="Y207" i="10"/>
  <c r="Z207" i="10" s="1"/>
  <c r="Y206" i="10"/>
  <c r="Z206" i="10" s="1"/>
  <c r="Y205" i="10"/>
  <c r="Z205" i="10" s="1"/>
  <c r="Y204" i="10"/>
  <c r="Z204" i="10" s="1"/>
  <c r="Y203" i="10"/>
  <c r="Z203" i="10" s="1"/>
  <c r="Y202" i="10"/>
  <c r="Z202" i="10" s="1"/>
  <c r="Y201" i="10"/>
  <c r="Z201" i="10" s="1"/>
  <c r="Y200" i="10"/>
  <c r="Z200" i="10" s="1"/>
  <c r="Y199" i="10"/>
  <c r="Z199" i="10" s="1"/>
  <c r="Y198" i="10"/>
  <c r="Z198" i="10" s="1"/>
  <c r="Y197" i="10"/>
  <c r="Z197" i="10" s="1"/>
  <c r="Y196" i="10"/>
  <c r="Z196" i="10" s="1"/>
  <c r="Y195" i="10"/>
  <c r="Z195" i="10" s="1"/>
  <c r="Y194" i="10"/>
  <c r="Z194" i="10" s="1"/>
  <c r="Y193" i="10"/>
  <c r="Z193" i="10" s="1"/>
  <c r="Y192" i="10"/>
  <c r="Z192" i="10" s="1"/>
  <c r="Y191" i="10"/>
  <c r="Z191" i="10" s="1"/>
  <c r="Y190" i="10"/>
  <c r="Z190" i="10" s="1"/>
  <c r="Y189" i="10"/>
  <c r="Z189" i="10" s="1"/>
  <c r="Y188" i="10"/>
  <c r="Z188" i="10" s="1"/>
  <c r="Y187" i="10"/>
  <c r="Z187" i="10" s="1"/>
  <c r="Y186" i="10"/>
  <c r="Z186" i="10" s="1"/>
  <c r="Y185" i="10"/>
  <c r="Z185" i="10" s="1"/>
  <c r="Y184" i="10"/>
  <c r="Z184" i="10" s="1"/>
  <c r="Y183" i="10"/>
  <c r="Z183" i="10" s="1"/>
  <c r="Y182" i="10"/>
  <c r="Z182" i="10" s="1"/>
  <c r="Y181" i="10"/>
  <c r="Z181" i="10" s="1"/>
  <c r="Y180" i="10"/>
  <c r="Z180" i="10" s="1"/>
  <c r="Y179" i="10"/>
  <c r="Z179" i="10" s="1"/>
  <c r="Y178" i="10"/>
  <c r="Z178" i="10" s="1"/>
  <c r="Y177" i="10"/>
  <c r="Z177" i="10" s="1"/>
  <c r="Y176" i="10"/>
  <c r="Z176" i="10" s="1"/>
  <c r="Y175" i="10"/>
  <c r="Z175" i="10" s="1"/>
  <c r="Y174" i="10"/>
  <c r="Z174" i="10" s="1"/>
  <c r="Y173" i="10"/>
  <c r="Z173" i="10" s="1"/>
  <c r="Y172" i="10"/>
  <c r="Z172" i="10" s="1"/>
  <c r="Y171" i="10"/>
  <c r="Z171" i="10" s="1"/>
  <c r="Y170" i="10"/>
  <c r="Z170" i="10" s="1"/>
  <c r="Y169" i="10"/>
  <c r="Z169" i="10" s="1"/>
  <c r="Y168" i="10"/>
  <c r="Z168" i="10" s="1"/>
  <c r="Y167" i="10"/>
  <c r="Z167" i="10" s="1"/>
  <c r="Y166" i="10"/>
  <c r="Z166" i="10" s="1"/>
  <c r="Y165" i="10"/>
  <c r="Z165" i="10" s="1"/>
  <c r="Y164" i="10"/>
  <c r="Z164" i="10" s="1"/>
  <c r="Y163" i="10"/>
  <c r="Z163" i="10" s="1"/>
  <c r="Y162" i="10"/>
  <c r="Z162" i="10" s="1"/>
  <c r="Y161" i="10"/>
  <c r="Z161" i="10" s="1"/>
  <c r="Y160" i="10"/>
  <c r="Z160" i="10" s="1"/>
  <c r="Y159" i="10"/>
  <c r="Z159" i="10" s="1"/>
  <c r="Y158" i="10"/>
  <c r="Z158" i="10" s="1"/>
  <c r="Y157" i="10"/>
  <c r="Z157" i="10" s="1"/>
  <c r="Y156" i="10"/>
  <c r="Z156" i="10" s="1"/>
  <c r="Y155" i="10"/>
  <c r="Z155" i="10" s="1"/>
  <c r="Y154" i="10"/>
  <c r="Z154" i="10" s="1"/>
  <c r="Y153" i="10"/>
  <c r="Z153" i="10" s="1"/>
  <c r="Y152" i="10"/>
  <c r="Z152" i="10" s="1"/>
  <c r="Y151" i="10"/>
  <c r="Z151" i="10" s="1"/>
  <c r="Y150" i="10"/>
  <c r="Z150" i="10" s="1"/>
  <c r="Y149" i="10"/>
  <c r="Z149" i="10" s="1"/>
  <c r="Y148" i="10"/>
  <c r="Z148" i="10" s="1"/>
  <c r="Y147" i="10"/>
  <c r="Z147" i="10" s="1"/>
  <c r="Y146" i="10"/>
  <c r="Z146" i="10" s="1"/>
  <c r="Y145" i="10"/>
  <c r="Z145" i="10" s="1"/>
  <c r="Y144" i="10"/>
  <c r="Z144" i="10" s="1"/>
  <c r="Y143" i="10"/>
  <c r="Z143" i="10" s="1"/>
  <c r="Y142" i="10"/>
  <c r="Z142" i="10" s="1"/>
  <c r="Y141" i="10"/>
  <c r="Z141" i="10" s="1"/>
  <c r="Y140" i="10"/>
  <c r="Z140" i="10" s="1"/>
  <c r="Y139" i="10"/>
  <c r="Z139" i="10" s="1"/>
  <c r="Y138" i="10"/>
  <c r="Z138" i="10" s="1"/>
  <c r="Y137" i="10"/>
  <c r="Z137" i="10" s="1"/>
  <c r="Y136" i="10"/>
  <c r="Z136" i="10" s="1"/>
  <c r="Y135" i="10"/>
  <c r="Z135" i="10" s="1"/>
  <c r="Y134" i="10"/>
  <c r="Z134" i="10" s="1"/>
  <c r="Y133" i="10"/>
  <c r="Z133" i="10" s="1"/>
  <c r="Y132" i="10"/>
  <c r="Z132" i="10" s="1"/>
  <c r="Y131" i="10"/>
  <c r="Z131" i="10" s="1"/>
  <c r="Y130" i="10"/>
  <c r="Z130" i="10" s="1"/>
  <c r="Y129" i="10"/>
  <c r="Z129" i="10" s="1"/>
  <c r="Y128" i="10"/>
  <c r="Z128" i="10" s="1"/>
  <c r="Y127" i="10"/>
  <c r="Z127" i="10" s="1"/>
  <c r="Y126" i="10"/>
  <c r="Z126" i="10" s="1"/>
  <c r="Y125" i="10"/>
  <c r="Z125" i="10" s="1"/>
  <c r="Y124" i="10"/>
  <c r="Z124" i="10" s="1"/>
  <c r="Y123" i="10"/>
  <c r="Z123" i="10" s="1"/>
  <c r="Y122" i="10"/>
  <c r="Z122" i="10" s="1"/>
  <c r="Y121" i="10"/>
  <c r="Z121" i="10" s="1"/>
  <c r="Y120" i="10"/>
  <c r="Z120" i="10" s="1"/>
  <c r="Y119" i="10"/>
  <c r="Z119" i="10" s="1"/>
  <c r="Y118" i="10"/>
  <c r="Z118" i="10" s="1"/>
  <c r="Y117" i="10"/>
  <c r="Z117" i="10" s="1"/>
  <c r="Y116" i="10"/>
  <c r="Z116" i="10" s="1"/>
  <c r="Y115" i="10"/>
  <c r="Z115" i="10" s="1"/>
  <c r="Y114" i="10"/>
  <c r="Z114" i="10" s="1"/>
  <c r="Y113" i="10"/>
  <c r="Z113" i="10" s="1"/>
  <c r="Y112" i="10"/>
  <c r="Z112" i="10" s="1"/>
  <c r="Y111" i="10"/>
  <c r="Z111" i="10" s="1"/>
  <c r="Y110" i="10"/>
  <c r="Z110" i="10" s="1"/>
  <c r="Y109" i="10"/>
  <c r="Z109" i="10" s="1"/>
  <c r="Y108" i="10"/>
  <c r="Z108" i="10" s="1"/>
  <c r="Y107" i="10"/>
  <c r="Z107" i="10" s="1"/>
  <c r="Y106" i="10"/>
  <c r="Z106" i="10" s="1"/>
  <c r="Y105" i="10"/>
  <c r="Z105" i="10" s="1"/>
  <c r="Y104" i="10"/>
  <c r="Z104" i="10" s="1"/>
  <c r="Y103" i="10"/>
  <c r="Z103" i="10" s="1"/>
  <c r="Y102" i="10"/>
  <c r="Z102" i="10" s="1"/>
  <c r="Y101" i="10"/>
  <c r="Z101" i="10" s="1"/>
  <c r="Y100" i="10"/>
  <c r="Z100" i="10" s="1"/>
  <c r="Y99" i="10"/>
  <c r="Z99" i="10" s="1"/>
  <c r="Y98" i="10"/>
  <c r="Z98" i="10" s="1"/>
  <c r="Y97" i="10"/>
  <c r="Z97" i="10" s="1"/>
  <c r="Y96" i="10"/>
  <c r="Z96" i="10" s="1"/>
  <c r="Y95" i="10"/>
  <c r="Z95" i="10" s="1"/>
  <c r="Y94" i="10"/>
  <c r="Z94" i="10" s="1"/>
  <c r="Y93" i="10"/>
  <c r="Z93" i="10" s="1"/>
  <c r="Y92" i="10"/>
  <c r="Z92" i="10" s="1"/>
  <c r="Y91" i="10"/>
  <c r="Z91" i="10" s="1"/>
  <c r="Y90" i="10"/>
  <c r="Z90" i="10" s="1"/>
  <c r="Y89" i="10"/>
  <c r="Z89" i="10" s="1"/>
  <c r="Y88" i="10"/>
  <c r="Z88" i="10" s="1"/>
  <c r="Y87" i="10"/>
  <c r="Z87" i="10" s="1"/>
  <c r="Y86" i="10"/>
  <c r="Z86" i="10" s="1"/>
  <c r="Y85" i="10"/>
  <c r="Z85" i="10" s="1"/>
  <c r="Y84" i="10"/>
  <c r="Z84" i="10" s="1"/>
  <c r="Y83" i="10"/>
  <c r="Z83" i="10" s="1"/>
  <c r="Y82" i="10"/>
  <c r="Z82" i="10" s="1"/>
  <c r="Y81" i="10"/>
  <c r="Z81" i="10" s="1"/>
  <c r="Y80" i="10"/>
  <c r="Z80" i="10" s="1"/>
  <c r="Y79" i="10"/>
  <c r="Z79" i="10" s="1"/>
  <c r="Y78" i="10"/>
  <c r="Z78" i="10" s="1"/>
  <c r="Y77" i="10"/>
  <c r="Z77" i="10" s="1"/>
  <c r="Y76" i="10"/>
  <c r="Z76" i="10" s="1"/>
  <c r="Y75" i="10"/>
  <c r="Z75" i="10" s="1"/>
  <c r="Y74" i="10"/>
  <c r="Z74" i="10" s="1"/>
  <c r="Y73" i="10"/>
  <c r="Z73" i="10" s="1"/>
  <c r="Y72" i="10"/>
  <c r="Z72" i="10" s="1"/>
  <c r="Y71" i="10"/>
  <c r="Z71" i="10" s="1"/>
  <c r="Y70" i="10"/>
  <c r="Z70" i="10" s="1"/>
  <c r="Y69" i="10"/>
  <c r="Z69" i="10" s="1"/>
  <c r="Y68" i="10"/>
  <c r="Z68" i="10" s="1"/>
  <c r="Y67" i="10"/>
  <c r="Z67" i="10" s="1"/>
  <c r="Y66" i="10"/>
  <c r="Z66" i="10" s="1"/>
  <c r="Y65" i="10"/>
  <c r="Z65" i="10" s="1"/>
  <c r="Y64" i="10"/>
  <c r="Z64" i="10" s="1"/>
  <c r="Y63" i="10"/>
  <c r="Z63" i="10" s="1"/>
  <c r="Y62" i="10"/>
  <c r="Z62" i="10" s="1"/>
  <c r="Y61" i="10"/>
  <c r="Z61" i="10" s="1"/>
  <c r="Y60" i="10"/>
  <c r="Z60" i="10" s="1"/>
  <c r="Y59" i="10"/>
  <c r="Z59" i="10" s="1"/>
  <c r="Y58" i="10"/>
  <c r="Z58" i="10" s="1"/>
  <c r="Y57" i="10"/>
  <c r="Z57" i="10" s="1"/>
  <c r="Y56" i="10"/>
  <c r="Z56" i="10" s="1"/>
  <c r="Y55" i="10"/>
  <c r="Z55" i="10" s="1"/>
  <c r="Y54" i="10"/>
  <c r="Z54" i="10" s="1"/>
  <c r="Y53" i="10"/>
  <c r="Z53" i="10" s="1"/>
  <c r="Y52" i="10"/>
  <c r="Z52" i="10" s="1"/>
  <c r="Y51" i="10"/>
  <c r="Z51" i="10" s="1"/>
  <c r="Y50" i="10"/>
  <c r="Z50" i="10" s="1"/>
  <c r="Y49" i="10"/>
  <c r="Z49" i="10" s="1"/>
  <c r="Y48" i="10"/>
  <c r="Z48" i="10" s="1"/>
  <c r="Y47" i="10"/>
  <c r="Z47" i="10" s="1"/>
  <c r="Y46" i="10"/>
  <c r="Z46" i="10" s="1"/>
  <c r="Y45" i="10"/>
  <c r="Z45" i="10" s="1"/>
  <c r="Y44" i="10"/>
  <c r="Z44" i="10" s="1"/>
  <c r="Y43" i="10"/>
  <c r="Z43" i="10" s="1"/>
  <c r="Y42" i="10"/>
  <c r="Z42" i="10" s="1"/>
  <c r="Y41" i="10"/>
  <c r="Z41" i="10" s="1"/>
  <c r="Y40" i="10"/>
  <c r="Z40" i="10" s="1"/>
  <c r="Y39" i="10"/>
  <c r="Z39" i="10" s="1"/>
  <c r="Y38" i="10"/>
  <c r="Z38" i="10" s="1"/>
  <c r="Y37" i="10"/>
  <c r="Z37" i="10" s="1"/>
  <c r="Y36" i="10"/>
  <c r="Z36" i="10" s="1"/>
  <c r="Y35" i="10"/>
  <c r="Z35" i="10" s="1"/>
  <c r="Y34" i="10"/>
  <c r="Z34" i="10" s="1"/>
  <c r="Y33" i="10"/>
  <c r="Z33" i="10" s="1"/>
  <c r="Y32" i="10"/>
  <c r="Z32" i="10" s="1"/>
  <c r="Y31" i="10"/>
  <c r="Z31" i="10" s="1"/>
  <c r="Y30" i="10"/>
  <c r="Z30" i="10" s="1"/>
  <c r="Y29" i="10"/>
  <c r="Z29" i="10" s="1"/>
  <c r="Y28" i="10"/>
  <c r="Z28" i="10" s="1"/>
  <c r="Y27" i="10"/>
  <c r="Z27" i="10" s="1"/>
  <c r="Y26" i="10"/>
  <c r="Z26" i="10" s="1"/>
  <c r="Y25" i="10"/>
  <c r="Z25" i="10" s="1"/>
  <c r="Y24" i="10"/>
  <c r="Z24" i="10" s="1"/>
  <c r="Y23" i="10"/>
  <c r="Z23" i="10" s="1"/>
  <c r="Y22" i="10"/>
  <c r="Z22" i="10" s="1"/>
  <c r="Y21" i="10"/>
  <c r="Z21" i="10" s="1"/>
  <c r="Y20" i="10"/>
  <c r="Z20" i="10" s="1"/>
  <c r="Y19" i="10"/>
  <c r="Z19" i="10" s="1"/>
  <c r="Y18" i="10"/>
  <c r="Z18" i="10" s="1"/>
  <c r="Y17" i="10"/>
  <c r="Z17" i="10" s="1"/>
  <c r="Y16" i="10"/>
  <c r="Z16" i="10" s="1"/>
  <c r="Y15" i="10"/>
  <c r="Z15" i="10" s="1"/>
  <c r="Y14" i="10"/>
  <c r="Z14" i="10" s="1"/>
  <c r="Y13" i="10"/>
  <c r="Z13" i="10" s="1"/>
  <c r="Y12" i="10"/>
  <c r="Z12" i="10" s="1"/>
  <c r="Y11" i="10"/>
  <c r="Z11" i="10" s="1"/>
  <c r="Y10" i="10"/>
  <c r="Z10" i="10" s="1"/>
  <c r="Y9" i="10"/>
  <c r="Z9" i="10" s="1"/>
  <c r="Y8" i="10"/>
  <c r="Z8" i="10" s="1"/>
  <c r="Y7" i="10"/>
  <c r="Z7" i="10" s="1"/>
  <c r="Y6" i="10"/>
  <c r="Z6" i="10" s="1"/>
  <c r="Y250" i="8"/>
  <c r="Z250" i="8" s="1"/>
  <c r="Y249" i="8"/>
  <c r="Z249" i="8" s="1"/>
  <c r="Y247" i="8"/>
  <c r="Z247" i="8" s="1"/>
  <c r="Y245" i="8"/>
  <c r="Z245" i="8" s="1"/>
  <c r="Y243" i="8"/>
  <c r="Z243" i="8" s="1"/>
  <c r="Y240" i="8"/>
  <c r="Z240" i="8" s="1"/>
  <c r="Y140" i="8"/>
  <c r="Z140" i="8" s="1"/>
  <c r="Y239" i="8"/>
  <c r="Z239" i="8" s="1"/>
  <c r="Y236" i="8"/>
  <c r="Z236" i="8" s="1"/>
  <c r="Y234" i="8"/>
  <c r="Z234" i="8" s="1"/>
  <c r="Y232" i="8"/>
  <c r="Z232" i="8" s="1"/>
  <c r="Y229" i="8"/>
  <c r="Z229" i="8" s="1"/>
  <c r="Y225" i="8"/>
  <c r="Z225" i="8" s="1"/>
  <c r="Y113" i="8"/>
  <c r="Z113" i="8" s="1"/>
  <c r="Y231" i="8"/>
  <c r="Z231" i="8" s="1"/>
  <c r="Y227" i="8"/>
  <c r="Z227" i="8" s="1"/>
  <c r="Y221" i="8"/>
  <c r="Z221" i="8" s="1"/>
  <c r="Y216" i="8"/>
  <c r="Z216" i="8" s="1"/>
  <c r="Y210" i="8"/>
  <c r="Z210" i="8" s="1"/>
  <c r="Y204" i="8"/>
  <c r="Z204" i="8" s="1"/>
  <c r="Y94" i="8"/>
  <c r="Z94" i="8" s="1"/>
  <c r="Y220" i="8"/>
  <c r="Z220" i="8" s="1"/>
  <c r="Y212" i="8"/>
  <c r="Z212" i="8" s="1"/>
  <c r="Y203" i="8"/>
  <c r="Z203" i="8" s="1"/>
  <c r="Y196" i="8"/>
  <c r="Z196" i="8" s="1"/>
  <c r="Y192" i="8"/>
  <c r="Z192" i="8" s="1"/>
  <c r="Y187" i="8"/>
  <c r="Z187" i="8" s="1"/>
  <c r="Y73" i="8"/>
  <c r="Z73" i="8" s="1"/>
  <c r="Y202" i="8"/>
  <c r="Z202" i="8" s="1"/>
  <c r="Y195" i="8"/>
  <c r="Z195" i="8" s="1"/>
  <c r="Y190" i="8"/>
  <c r="Z190" i="8" s="1"/>
  <c r="Y182" i="8"/>
  <c r="Z182" i="8" s="1"/>
  <c r="Y177" i="8"/>
  <c r="Z177" i="8" s="1"/>
  <c r="Y172" i="8"/>
  <c r="Z172" i="8" s="1"/>
  <c r="Y47" i="8"/>
  <c r="Z47" i="8" s="1"/>
  <c r="Y248" i="8"/>
  <c r="Z248" i="8" s="1"/>
  <c r="Y246" i="8"/>
  <c r="Z246" i="8" s="1"/>
  <c r="Y242" i="8"/>
  <c r="Z242" i="8" s="1"/>
  <c r="Y237" i="8"/>
  <c r="Z237" i="8" s="1"/>
  <c r="Y138" i="8"/>
  <c r="Z138" i="8" s="1"/>
  <c r="Y134" i="8"/>
  <c r="Z134" i="8" s="1"/>
  <c r="Y130" i="8"/>
  <c r="Z130" i="8" s="1"/>
  <c r="Y235" i="8"/>
  <c r="Z235" i="8" s="1"/>
  <c r="Y233" i="8"/>
  <c r="Z233" i="8" s="1"/>
  <c r="Y228" i="8"/>
  <c r="Z228" i="8" s="1"/>
  <c r="Y223" i="8"/>
  <c r="Z223" i="8" s="1"/>
  <c r="Y111" i="8"/>
  <c r="Z111" i="8" s="1"/>
  <c r="Y107" i="8"/>
  <c r="Z107" i="8" s="1"/>
  <c r="Y103" i="8"/>
  <c r="Z103" i="8" s="1"/>
  <c r="Y222" i="8"/>
  <c r="Z222" i="8" s="1"/>
  <c r="Y218" i="8"/>
  <c r="Z218" i="8" s="1"/>
  <c r="Y209" i="8"/>
  <c r="Z209" i="8" s="1"/>
  <c r="Y199" i="8"/>
  <c r="Z199" i="8" s="1"/>
  <c r="Y91" i="8"/>
  <c r="Z91" i="8" s="1"/>
  <c r="Y83" i="8"/>
  <c r="Z83" i="8" s="1"/>
  <c r="Y76" i="8"/>
  <c r="Z76" i="8" s="1"/>
  <c r="Y207" i="8"/>
  <c r="Z207" i="8" s="1"/>
  <c r="Y197" i="8"/>
  <c r="Z197" i="8" s="1"/>
  <c r="Y191" i="8"/>
  <c r="Z191" i="8" s="1"/>
  <c r="Y185" i="8"/>
  <c r="Z185" i="8" s="1"/>
  <c r="Y67" i="8"/>
  <c r="Z67" i="8" s="1"/>
  <c r="Y60" i="8"/>
  <c r="Z60" i="8" s="1"/>
  <c r="Y52" i="8"/>
  <c r="Z52" i="8" s="1"/>
  <c r="Y193" i="8"/>
  <c r="Z193" i="8" s="1"/>
  <c r="Y184" i="8"/>
  <c r="Z184" i="8" s="1"/>
  <c r="Y176" i="8"/>
  <c r="Z176" i="8" s="1"/>
  <c r="Y169" i="8"/>
  <c r="Z169" i="8" s="1"/>
  <c r="Y44" i="8"/>
  <c r="Z44" i="8" s="1"/>
  <c r="Y36" i="8"/>
  <c r="Z36" i="8" s="1"/>
  <c r="Y27" i="8"/>
  <c r="Z27" i="8" s="1"/>
  <c r="Y244" i="8"/>
  <c r="Z244" i="8" s="1"/>
  <c r="Y241" i="8"/>
  <c r="Z241" i="8" s="1"/>
  <c r="Y139" i="8"/>
  <c r="Z139" i="8" s="1"/>
  <c r="Y135" i="8"/>
  <c r="Z135" i="8" s="1"/>
  <c r="Y129" i="8"/>
  <c r="Z129" i="8" s="1"/>
  <c r="Y127" i="8"/>
  <c r="Z127" i="8" s="1"/>
  <c r="Y122" i="8"/>
  <c r="Z122" i="8" s="1"/>
  <c r="Y230" i="8"/>
  <c r="Z230" i="8" s="1"/>
  <c r="Y226" i="8"/>
  <c r="Z226" i="8" s="1"/>
  <c r="Y112" i="8"/>
  <c r="Z112" i="8" s="1"/>
  <c r="Y108" i="8"/>
  <c r="Z108" i="8" s="1"/>
  <c r="Y102" i="8"/>
  <c r="Z102" i="8" s="1"/>
  <c r="Y100" i="8"/>
  <c r="Z100" i="8" s="1"/>
  <c r="Y95" i="8"/>
  <c r="Z95" i="8" s="1"/>
  <c r="Y214" i="8"/>
  <c r="Z214" i="8" s="1"/>
  <c r="Y206" i="8"/>
  <c r="Z206" i="8" s="1"/>
  <c r="Y93" i="8"/>
  <c r="Z93" i="8" s="1"/>
  <c r="Y85" i="8"/>
  <c r="Z85" i="8" s="1"/>
  <c r="Y75" i="8"/>
  <c r="Z75" i="8" s="1"/>
  <c r="Y72" i="8"/>
  <c r="Z72" i="8" s="1"/>
  <c r="Y63" i="8"/>
  <c r="Z63" i="8" s="1"/>
  <c r="Y194" i="8"/>
  <c r="Z194" i="8" s="1"/>
  <c r="Y189" i="8"/>
  <c r="Z189" i="8" s="1"/>
  <c r="Y71" i="8"/>
  <c r="Z71" i="8" s="1"/>
  <c r="Y62" i="8"/>
  <c r="Z62" i="8" s="1"/>
  <c r="Y51" i="8"/>
  <c r="Z51" i="8" s="1"/>
  <c r="Y42" i="8"/>
  <c r="Z42" i="8" s="1"/>
  <c r="Y34" i="8"/>
  <c r="Z34" i="8" s="1"/>
  <c r="Y180" i="8"/>
  <c r="Z180" i="8" s="1"/>
  <c r="Y174" i="8"/>
  <c r="Z174" i="8" s="1"/>
  <c r="Y46" i="8"/>
  <c r="Z46" i="8" s="1"/>
  <c r="Y37" i="8"/>
  <c r="Z37" i="8" s="1"/>
  <c r="Y26" i="8"/>
  <c r="Z26" i="8" s="1"/>
  <c r="Y19" i="8"/>
  <c r="Z19" i="8" s="1"/>
  <c r="Y14" i="8"/>
  <c r="Z14" i="8" s="1"/>
  <c r="Y238" i="8"/>
  <c r="Z238" i="8" s="1"/>
  <c r="Y137" i="8"/>
  <c r="Z137" i="8" s="1"/>
  <c r="Y133" i="8"/>
  <c r="Z133" i="8" s="1"/>
  <c r="Y128" i="8"/>
  <c r="Z128" i="8" s="1"/>
  <c r="Y123" i="8"/>
  <c r="Z123" i="8" s="1"/>
  <c r="Y118" i="8"/>
  <c r="Z118" i="8" s="1"/>
  <c r="Y115" i="8"/>
  <c r="Z115" i="8" s="1"/>
  <c r="Y224" i="8"/>
  <c r="Z224" i="8" s="1"/>
  <c r="Y110" i="8"/>
  <c r="Z110" i="8" s="1"/>
  <c r="Y106" i="8"/>
  <c r="Z106" i="8" s="1"/>
  <c r="Y101" i="8"/>
  <c r="Z101" i="8" s="1"/>
  <c r="Y96" i="8"/>
  <c r="Z96" i="8" s="1"/>
  <c r="Y86" i="8"/>
  <c r="Z86" i="8" s="1"/>
  <c r="Y80" i="8"/>
  <c r="Z80" i="8" s="1"/>
  <c r="Y201" i="8"/>
  <c r="Z201" i="8" s="1"/>
  <c r="Y90" i="8"/>
  <c r="Z90" i="8" s="1"/>
  <c r="Y81" i="8"/>
  <c r="Z81" i="8" s="1"/>
  <c r="Y74" i="8"/>
  <c r="Z74" i="8" s="1"/>
  <c r="Y64" i="8"/>
  <c r="Z64" i="8" s="1"/>
  <c r="Y57" i="8"/>
  <c r="Z57" i="8" s="1"/>
  <c r="Y49" i="8"/>
  <c r="Z49" i="8" s="1"/>
  <c r="Y186" i="8"/>
  <c r="Z186" i="8" s="1"/>
  <c r="Y66" i="8"/>
  <c r="Z66" i="8" s="1"/>
  <c r="Y56" i="8"/>
  <c r="Z56" i="8" s="1"/>
  <c r="Y45" i="8"/>
  <c r="Z45" i="8" s="1"/>
  <c r="Y35" i="8"/>
  <c r="Z35" i="8" s="1"/>
  <c r="Y25" i="8"/>
  <c r="Z25" i="8" s="1"/>
  <c r="Y21" i="8"/>
  <c r="Z21" i="8" s="1"/>
  <c r="Y171" i="8"/>
  <c r="Z171" i="8" s="1"/>
  <c r="Y43" i="8"/>
  <c r="Z43" i="8" s="1"/>
  <c r="Y33" i="8"/>
  <c r="Z33" i="8" s="1"/>
  <c r="Y23" i="8"/>
  <c r="Z23" i="8" s="1"/>
  <c r="Y15" i="8"/>
  <c r="Z15" i="8" s="1"/>
  <c r="Y10" i="8"/>
  <c r="Z10" i="8" s="1"/>
  <c r="Y7" i="8"/>
  <c r="Z7" i="8" s="1"/>
  <c r="Y136" i="8"/>
  <c r="Z136" i="8" s="1"/>
  <c r="Y132" i="8"/>
  <c r="Z132" i="8" s="1"/>
  <c r="Y126" i="8"/>
  <c r="Z126" i="8" s="1"/>
  <c r="Y121" i="8"/>
  <c r="Z121" i="8" s="1"/>
  <c r="Y117" i="8"/>
  <c r="Z117" i="8" s="1"/>
  <c r="Y219" i="8"/>
  <c r="Z219" i="8" s="1"/>
  <c r="Y213" i="8"/>
  <c r="Z213" i="8" s="1"/>
  <c r="Y109" i="8"/>
  <c r="Z109" i="8" s="1"/>
  <c r="Y105" i="8"/>
  <c r="Z105" i="8" s="1"/>
  <c r="Y99" i="8"/>
  <c r="Z99" i="8" s="1"/>
  <c r="Y92" i="8"/>
  <c r="Z92" i="8" s="1"/>
  <c r="Y84" i="8"/>
  <c r="Z84" i="8" s="1"/>
  <c r="Y188" i="8"/>
  <c r="Z188" i="8" s="1"/>
  <c r="Y179" i="8"/>
  <c r="Z179" i="8" s="1"/>
  <c r="Y87" i="8"/>
  <c r="Z87" i="8" s="1"/>
  <c r="Y78" i="8"/>
  <c r="Z78" i="8" s="1"/>
  <c r="Y70" i="8"/>
  <c r="Z70" i="8" s="1"/>
  <c r="Y61" i="8"/>
  <c r="Z61" i="8" s="1"/>
  <c r="Y53" i="8"/>
  <c r="Z53" i="8" s="1"/>
  <c r="Y167" i="8"/>
  <c r="Z167" i="8" s="1"/>
  <c r="Y164" i="8"/>
  <c r="Z164" i="8" s="1"/>
  <c r="Y65" i="8"/>
  <c r="Z65" i="8" s="1"/>
  <c r="Y55" i="8"/>
  <c r="Z55" i="8" s="1"/>
  <c r="Y41" i="8"/>
  <c r="Z41" i="8" s="1"/>
  <c r="Y32" i="8"/>
  <c r="Z32" i="8" s="1"/>
  <c r="Y24" i="8"/>
  <c r="Z24" i="8" s="1"/>
  <c r="Y159" i="8"/>
  <c r="Z159" i="8" s="1"/>
  <c r="Y155" i="8"/>
  <c r="Z155" i="8" s="1"/>
  <c r="Y40" i="8"/>
  <c r="Z40" i="8" s="1"/>
  <c r="Y29" i="8"/>
  <c r="Z29" i="8" s="1"/>
  <c r="Y18" i="8"/>
  <c r="Z18" i="8" s="1"/>
  <c r="Y13" i="8"/>
  <c r="Z13" i="8" s="1"/>
  <c r="Y9" i="8"/>
  <c r="Z9" i="8" s="1"/>
  <c r="Y151" i="8"/>
  <c r="Z151" i="8" s="1"/>
  <c r="Y147" i="8"/>
  <c r="Z147" i="8" s="1"/>
  <c r="Y131" i="8"/>
  <c r="Z131" i="8" s="1"/>
  <c r="Y124" i="8"/>
  <c r="Z124" i="8" s="1"/>
  <c r="Y120" i="8"/>
  <c r="Z120" i="8" s="1"/>
  <c r="Y116" i="8"/>
  <c r="Z116" i="8" s="1"/>
  <c r="Y217" i="8"/>
  <c r="Z217" i="8" s="1"/>
  <c r="Y211" i="8"/>
  <c r="Z211" i="8" s="1"/>
  <c r="Y205" i="8"/>
  <c r="Z205" i="8" s="1"/>
  <c r="Y104" i="8"/>
  <c r="Z104" i="8" s="1"/>
  <c r="Y97" i="8"/>
  <c r="Z97" i="8" s="1"/>
  <c r="Y89" i="8"/>
  <c r="Z89" i="8" s="1"/>
  <c r="Y82" i="8"/>
  <c r="Z82" i="8" s="1"/>
  <c r="Y183" i="8"/>
  <c r="Z183" i="8" s="1"/>
  <c r="Y178" i="8"/>
  <c r="Z178" i="8" s="1"/>
  <c r="Y173" i="8"/>
  <c r="Z173" i="8" s="1"/>
  <c r="Y77" i="8"/>
  <c r="Z77" i="8" s="1"/>
  <c r="Y68" i="8"/>
  <c r="Z68" i="8" s="1"/>
  <c r="Y59" i="8"/>
  <c r="Z59" i="8" s="1"/>
  <c r="Y50" i="8"/>
  <c r="Z50" i="8" s="1"/>
  <c r="Y166" i="8"/>
  <c r="Z166" i="8" s="1"/>
  <c r="Y163" i="8"/>
  <c r="Z163" i="8" s="1"/>
  <c r="Y161" i="8"/>
  <c r="Z161" i="8" s="1"/>
  <c r="Y54" i="8"/>
  <c r="Z54" i="8" s="1"/>
  <c r="Y38" i="8"/>
  <c r="Z38" i="8" s="1"/>
  <c r="Y31" i="8"/>
  <c r="Z31" i="8" s="1"/>
  <c r="Y22" i="8"/>
  <c r="Z22" i="8" s="1"/>
  <c r="Y157" i="8"/>
  <c r="Z157" i="8" s="1"/>
  <c r="Y154" i="8"/>
  <c r="Z154" i="8" s="1"/>
  <c r="Y152" i="8"/>
  <c r="Z152" i="8" s="1"/>
  <c r="Y28" i="8"/>
  <c r="Z28" i="8" s="1"/>
  <c r="Y16" i="8"/>
  <c r="Z16" i="8" s="1"/>
  <c r="Y12" i="8"/>
  <c r="Z12" i="8" s="1"/>
  <c r="Y8" i="8"/>
  <c r="Z8" i="8" s="1"/>
  <c r="Y149" i="8"/>
  <c r="Z149" i="8" s="1"/>
  <c r="Y145" i="8"/>
  <c r="Z145" i="8" s="1"/>
  <c r="Y143" i="8"/>
  <c r="Z143" i="8" s="1"/>
  <c r="Y125" i="8"/>
  <c r="Z125" i="8" s="1"/>
  <c r="Y119" i="8"/>
  <c r="Z119" i="8" s="1"/>
  <c r="Y114" i="8"/>
  <c r="Z114" i="8" s="1"/>
  <c r="Y215" i="8"/>
  <c r="Z215" i="8" s="1"/>
  <c r="Y208" i="8"/>
  <c r="Z208" i="8" s="1"/>
  <c r="Y200" i="8"/>
  <c r="Z200" i="8" s="1"/>
  <c r="Y198" i="8"/>
  <c r="Z198" i="8" s="1"/>
  <c r="Y98" i="8"/>
  <c r="Z98" i="8" s="1"/>
  <c r="Y88" i="8"/>
  <c r="Z88" i="8" s="1"/>
  <c r="Y79" i="8"/>
  <c r="Z79" i="8" s="1"/>
  <c r="Y181" i="8"/>
  <c r="Z181" i="8" s="1"/>
  <c r="Y175" i="8"/>
  <c r="Z175" i="8" s="1"/>
  <c r="Y170" i="8"/>
  <c r="Z170" i="8" s="1"/>
  <c r="Y168" i="8"/>
  <c r="Z168" i="8" s="1"/>
  <c r="Y69" i="8"/>
  <c r="Z69" i="8" s="1"/>
  <c r="Y58" i="8"/>
  <c r="Z58" i="8" s="1"/>
  <c r="Y48" i="8"/>
  <c r="Z48" i="8" s="1"/>
  <c r="Y165" i="8"/>
  <c r="Z165" i="8" s="1"/>
  <c r="Y162" i="8"/>
  <c r="Z162" i="8" s="1"/>
  <c r="Y160" i="8"/>
  <c r="Z160" i="8" s="1"/>
  <c r="Y158" i="8"/>
  <c r="Z158" i="8" s="1"/>
  <c r="Y39" i="8"/>
  <c r="Z39" i="8" s="1"/>
  <c r="Y30" i="8"/>
  <c r="Z30" i="8" s="1"/>
  <c r="Y20" i="8"/>
  <c r="Z20" i="8" s="1"/>
  <c r="Y156" i="8"/>
  <c r="Z156" i="8" s="1"/>
  <c r="Y153" i="8"/>
  <c r="Z153" i="8" s="1"/>
  <c r="Y150" i="8"/>
  <c r="Z150" i="8" s="1"/>
  <c r="Y146" i="8"/>
  <c r="Z146" i="8" s="1"/>
  <c r="Y17" i="8"/>
  <c r="Z17" i="8" s="1"/>
  <c r="Y11" i="8"/>
  <c r="Z11" i="8" s="1"/>
  <c r="Y6" i="8"/>
  <c r="Z6" i="8" s="1"/>
  <c r="Y148" i="8"/>
  <c r="Z148" i="8" s="1"/>
  <c r="Y144" i="8"/>
  <c r="Z144" i="8" s="1"/>
  <c r="Y142" i="8"/>
  <c r="Z142" i="8" s="1"/>
  <c r="Y141" i="8"/>
  <c r="Z141" i="8" s="1"/>
  <c r="Y6" i="5"/>
  <c r="Z6" i="5" s="1"/>
  <c r="X126" i="4" l="1"/>
  <c r="Y126" i="4" s="1"/>
  <c r="Z126" i="4" s="1"/>
  <c r="X88" i="4"/>
  <c r="Y88" i="4" s="1"/>
  <c r="Z88" i="4" s="1"/>
  <c r="X10" i="4"/>
  <c r="Y10" i="4" s="1"/>
  <c r="Z10" i="4" s="1"/>
  <c r="X58" i="4"/>
  <c r="Y58" i="4" s="1"/>
  <c r="Z58" i="4" s="1"/>
  <c r="X136" i="4"/>
  <c r="Y136" i="4" s="1"/>
  <c r="Z136" i="4" s="1"/>
  <c r="X118" i="4"/>
  <c r="Y118" i="4" s="1"/>
  <c r="Z118" i="4" s="1"/>
  <c r="X97" i="4"/>
  <c r="Y97" i="4" s="1"/>
  <c r="Z97" i="4" s="1"/>
  <c r="X137" i="4"/>
  <c r="Y137" i="4" s="1"/>
  <c r="Z137" i="4" s="1"/>
  <c r="X71" i="4"/>
  <c r="Y71" i="4" s="1"/>
  <c r="Z71" i="4" s="1"/>
  <c r="X122" i="4"/>
  <c r="Y122" i="4" s="1"/>
  <c r="Z122" i="4" s="1"/>
  <c r="X154" i="4"/>
  <c r="Y154" i="4" s="1"/>
  <c r="Z154" i="4" s="1"/>
  <c r="X130" i="4"/>
  <c r="Y130" i="4" s="1"/>
  <c r="Z130" i="4" s="1"/>
  <c r="X112" i="4"/>
  <c r="Y112" i="4" s="1"/>
  <c r="Z112" i="4" s="1"/>
  <c r="X146" i="4"/>
  <c r="Y146" i="4" s="1"/>
  <c r="Z146" i="4" s="1"/>
  <c r="X61" i="4"/>
  <c r="Y61" i="4" s="1"/>
  <c r="Z61" i="4" s="1"/>
  <c r="X148" i="4"/>
  <c r="Y148" i="4" s="1"/>
  <c r="Z148" i="4" s="1"/>
  <c r="X117" i="4"/>
  <c r="Y117" i="4" s="1"/>
  <c r="Z117" i="4" s="1"/>
  <c r="X110" i="4"/>
  <c r="Y110" i="4" s="1"/>
  <c r="Z110" i="4" s="1"/>
  <c r="X98" i="4"/>
  <c r="Y98" i="4" s="1"/>
  <c r="Z98" i="4" s="1"/>
  <c r="X125" i="4"/>
  <c r="Y125" i="4" s="1"/>
  <c r="Z125" i="4" s="1"/>
  <c r="X83" i="4"/>
  <c r="Y83" i="4" s="1"/>
  <c r="Z83" i="4" s="1"/>
  <c r="X51" i="4"/>
  <c r="Y51" i="4" s="1"/>
  <c r="Z51" i="4" s="1"/>
  <c r="X106" i="4"/>
  <c r="Y106" i="4" s="1"/>
  <c r="Z106" i="4" s="1"/>
  <c r="X93" i="4"/>
  <c r="Y93" i="4" s="1"/>
  <c r="Z93" i="4" s="1"/>
  <c r="X27" i="4"/>
  <c r="Y27" i="4" s="1"/>
  <c r="Z27" i="4" s="1"/>
  <c r="X39" i="4"/>
  <c r="Y39" i="4" s="1"/>
  <c r="Z39" i="4" s="1"/>
  <c r="X15" i="4"/>
  <c r="Y15" i="4" s="1"/>
  <c r="Z15" i="4" s="1"/>
  <c r="X70" i="4"/>
  <c r="Y70" i="4" s="1"/>
  <c r="Z70" i="4" s="1"/>
  <c r="X139" i="4"/>
  <c r="Y139" i="4" s="1"/>
  <c r="Z139" i="4" s="1"/>
  <c r="X100" i="4"/>
  <c r="Y100" i="4" s="1"/>
  <c r="Z100" i="4" s="1"/>
  <c r="X111" i="4"/>
  <c r="Y111" i="4" s="1"/>
  <c r="Z111" i="4" s="1"/>
  <c r="X87" i="4"/>
  <c r="Y87" i="4" s="1"/>
  <c r="Z87" i="4" s="1"/>
  <c r="X49" i="4"/>
  <c r="Y49" i="4" s="1"/>
  <c r="Z49" i="4" s="1"/>
  <c r="X129" i="4"/>
  <c r="Y129" i="4" s="1"/>
  <c r="Z129" i="4" s="1"/>
  <c r="X101" i="4"/>
  <c r="Y101" i="4" s="1"/>
  <c r="Z101" i="4" s="1"/>
  <c r="X134" i="4"/>
  <c r="Y134" i="4" s="1"/>
  <c r="Z134" i="4" s="1"/>
  <c r="X34" i="4"/>
  <c r="Y34" i="4" s="1"/>
  <c r="Z34" i="4" s="1"/>
  <c r="X63" i="4"/>
  <c r="Y63" i="4" s="1"/>
  <c r="Z63" i="4" s="1"/>
  <c r="X149" i="4"/>
  <c r="Y149" i="4" s="1"/>
  <c r="Z149" i="4" s="1"/>
  <c r="X73" i="4"/>
  <c r="Y73" i="4" s="1"/>
  <c r="Z7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tc={7C8FF0C2-EE8E-480B-93D2-1A33E090ADC5}</author>
    <author>tc={7814389B-6636-43A5-A694-A82106535978}</author>
    <author>tc={A0844816-B75F-4D99-8F42-7618FE8345F4}</author>
  </authors>
  <commentList>
    <comment ref="F80" authorId="0" shapeId="0" xr:uid="{7C8FF0C2-EE8E-480B-93D2-1A33E090ADC5}">
      <text>
        <t>[Threaded comment]
Your version of Excel allows you to read this threaded comment; however, any edits to it will get removed if the file is opened in a newer version of Excel. Learn more: https://go.microsoft.com/fwlink/?linkid=870924
Comment:
    Heavy</t>
      </text>
    </comment>
    <comment ref="F81" authorId="1" shapeId="0" xr:uid="{7814389B-6636-43A5-A694-A82106535978}">
      <text>
        <t>[Threaded comment]
Your version of Excel allows you to read this threaded comment; however, any edits to it will get removed if the file is opened in a newer version of Excel. Learn more: https://go.microsoft.com/fwlink/?linkid=870924
Comment:
    Heavy</t>
      </text>
    </comment>
    <comment ref="F82" authorId="2" shapeId="0" xr:uid="{A0844816-B75F-4D99-8F42-7618FE8345F4}">
      <text>
        <t>[Threaded comment]
Your version of Excel allows you to read this threaded comment; however, any edits to it will get removed if the file is opened in a newer version of Excel. Learn more: https://go.microsoft.com/fwlink/?linkid=870924
Comment:
    Heavy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<sst xmlns="http://schemas.openxmlformats.org/spreadsheetml/2006/main" count="526" uniqueCount="97">
  <si>
    <t>Series</t>
  </si>
  <si>
    <t>Parallel</t>
  </si>
  <si>
    <t>Segments</t>
  </si>
  <si>
    <t>Max A</t>
  </si>
  <si>
    <t>Rated A</t>
  </si>
  <si>
    <t>Weight kg</t>
  </si>
  <si>
    <t>Pack R Ohm</t>
  </si>
  <si>
    <t>Rated KW</t>
  </si>
  <si>
    <t>Pack V</t>
  </si>
  <si>
    <t>Min Pack voltage</t>
  </si>
  <si>
    <t>KW @ Min Voltage</t>
  </si>
  <si>
    <t>kWh 20A</t>
  </si>
  <si>
    <t>kWh 30A</t>
  </si>
  <si>
    <t>kWh @ 4.2V-minV(@20a dis)</t>
  </si>
  <si>
    <t>MJ/Segment</t>
  </si>
  <si>
    <t>Voltage/segment</t>
  </si>
  <si>
    <t>Cell Count</t>
  </si>
  <si>
    <t>Min pack Voltage under Load</t>
  </si>
  <si>
    <t>Voltage Sag Max A</t>
  </si>
  <si>
    <t>I AC assumed 400 VAC fixed</t>
  </si>
  <si>
    <t>current @ min volt @max power</t>
  </si>
  <si>
    <t>current @ min volt include voltage sag @max power</t>
  </si>
  <si>
    <t>Heating @ most current(Kw)</t>
  </si>
  <si>
    <t>time(s) to heat up 10C</t>
  </si>
  <si>
    <t>400+ V configs</t>
  </si>
  <si>
    <t>series@equation</t>
  </si>
  <si>
    <t>parrallel@equation</t>
  </si>
  <si>
    <t>reliance RS50</t>
  </si>
  <si>
    <t>bak 45D</t>
  </si>
  <si>
    <t>P50B</t>
  </si>
  <si>
    <t>400-V configs</t>
  </si>
  <si>
    <t>RS50-1</t>
  </si>
  <si>
    <t>RS50-2</t>
  </si>
  <si>
    <t>RS50-3</t>
  </si>
  <si>
    <t>resistance and voltage curves</t>
  </si>
  <si>
    <t>Information</t>
  </si>
  <si>
    <t>19.6 A average discharge in endurance (LELE)</t>
  </si>
  <si>
    <t>Name</t>
  </si>
  <si>
    <t>Type</t>
  </si>
  <si>
    <t>Size</t>
  </si>
  <si>
    <t>Year</t>
  </si>
  <si>
    <t>Top</t>
  </si>
  <si>
    <t>Protection</t>
  </si>
  <si>
    <t>mAh</t>
  </si>
  <si>
    <t>Min A</t>
  </si>
  <si>
    <t>minimum cell voltage</t>
  </si>
  <si>
    <t>max voltage</t>
  </si>
  <si>
    <t>max discharge v</t>
  </si>
  <si>
    <t>mAh 15A</t>
  </si>
  <si>
    <t>mAh 20A</t>
  </si>
  <si>
    <t>mAh 30A</t>
  </si>
  <si>
    <t>Weight (g)</t>
  </si>
  <si>
    <t>Internal R 50% SOC (ohm)</t>
  </si>
  <si>
    <t>specific heat (J/kg*k)</t>
  </si>
  <si>
    <t>Ampace JP40</t>
  </si>
  <si>
    <t>Li ion</t>
  </si>
  <si>
    <t>flat</t>
  </si>
  <si>
    <t>NA</t>
  </si>
  <si>
    <t>Configuration</t>
  </si>
  <si>
    <t>Ranking</t>
  </si>
  <si>
    <t>Cell Shortlist</t>
  </si>
  <si>
    <t>Capacity (mAh)</t>
  </si>
  <si>
    <t>Comments</t>
  </si>
  <si>
    <t>EVE 50PL</t>
  </si>
  <si>
    <t>Pre-Production</t>
  </si>
  <si>
    <t>Reliant RS50</t>
  </si>
  <si>
    <t>BAK 45D</t>
  </si>
  <si>
    <t>Molicel P50B</t>
  </si>
  <si>
    <t>Tabbed, Lower Continuous Discharge, no Pulse Discharge Data</t>
  </si>
  <si>
    <t>EVE 40PL A</t>
  </si>
  <si>
    <t>Ver 2.0</t>
  </si>
  <si>
    <t>Molicel P45B</t>
  </si>
  <si>
    <t>Tabbed</t>
  </si>
  <si>
    <t>Ampace JP40 (LT22710A)</t>
  </si>
  <si>
    <t xml:space="preserve">AM04 </t>
  </si>
  <si>
    <t>mAh 40A</t>
  </si>
  <si>
    <t>mAh 60A</t>
  </si>
  <si>
    <t>Internal R 100% SOC (ohm)</t>
  </si>
  <si>
    <t>Reliance RS50</t>
  </si>
  <si>
    <t>Usable Config Range</t>
  </si>
  <si>
    <t>kWh 40A</t>
  </si>
  <si>
    <t>kWh 60A</t>
  </si>
  <si>
    <t>kWh @ 4.2V-minV(@30a dis)</t>
  </si>
  <si>
    <t>kWh @ 4.2V-minV(@40a dis)</t>
  </si>
  <si>
    <t>CL-4</t>
  </si>
  <si>
    <t>cd 1.05</t>
  </si>
  <si>
    <t>jacobs target</t>
  </si>
  <si>
    <t>Kj</t>
  </si>
  <si>
    <t>kwH</t>
  </si>
  <si>
    <t>guess from optimum lap</t>
  </si>
  <si>
    <t>KwH /endurance</t>
  </si>
  <si>
    <t>Cl-2</t>
  </si>
  <si>
    <t>cd1.05</t>
  </si>
  <si>
    <t>EVE 40PL</t>
  </si>
  <si>
    <t>Ampace JP40 LT</t>
  </si>
  <si>
    <t>AM04</t>
  </si>
  <si>
    <t>P45B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</si>
</sst>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color rgb="FF000000"/>
      <name val="Liberation Sans"/>
    </font>
    <font>
      <sz val="10"/>
      <color rgb="FF000000"/>
      <name val="Liberation Serif"/>
    </font>
    <font>
      <sz val="10"/>
      <color rgb="FF000000"/>
      <name val="Liberation Sans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5" borderId="0" xfId="0" applyFont="1" applyFill="1" applyAlignment="1">
      <alignment horizontal="right"/>
    </xf>
    <xf numFmtId="0" fontId="3" fillId="0" borderId="0" xfId="0" applyFont="1"/>
    <xf numFmtId="0" fontId="3" fillId="5" borderId="0" xfId="0" applyFont="1" applyFill="1"/>
    <xf numFmtId="0" fontId="3" fillId="4" borderId="0" xfId="0" applyFont="1" applyFill="1"/>
    <xf numFmtId="0" fontId="0" fillId="6" borderId="0" xfId="0" applyFill="1"/>
    <xf numFmtId="0" fontId="3" fillId="6" borderId="0" xfId="0" applyFont="1" applyFill="1"/>
    <xf numFmtId="0" fontId="3" fillId="6" borderId="0" xfId="0" applyFont="1" applyFill="1" applyAlignment="1">
      <alignment horizontal="right"/>
    </xf>
    <xf numFmtId="0" fontId="4" fillId="0" borderId="0" xfId="1"/>
    <xf numFmtId="0" fontId="0" fillId="7" borderId="0" xfId="0" applyFill="1"/>
    <xf numFmtId="0" fontId="0" fillId="8" borderId="0" xfId="0" applyFill="1"/>
    <xf numFmtId="0" fontId="5" fillId="0" borderId="0" xfId="0" applyFont="1"/>
    <xf numFmtId="0" fontId="0" fillId="10" borderId="0" xfId="0" applyFill="1"/>
    <xf numFmtId="0" fontId="0" fillId="9" borderId="0" xfId="0" applyFill="1"/>
    <xf numFmtId="0" fontId="2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concordia.sharepoint.com/teams/ConcordiaFormulaRacing/Shared%20Documents/Powertrain/A-%20Powertrain%202026/ACCUM/Cell%20Selection/Cell%20Selection.xlsx" TargetMode="External"/><Relationship Id="rId1" Type="http://schemas.openxmlformats.org/officeDocument/2006/relationships/externalLinkPath" Target="Cell%20Sel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uirements"/>
      <sheetName val="Potential Cell "/>
      <sheetName val="Inverter Analysis"/>
      <sheetName val="Monte Carlo P50B"/>
      <sheetName val="Monte Carlo P45B"/>
      <sheetName val="Monte Carlo P42B"/>
      <sheetName val="Monte Carlo P30"/>
      <sheetName val="Monte Carlo BAK 45"/>
      <sheetName val="Monte Carlo Ampace JP40"/>
      <sheetName val="Monte Carlo EVE INR21700-50PL"/>
      <sheetName val="Monte Carlo AM04 21700"/>
      <sheetName val="Monte Carlo EVE INR21700-40PL"/>
      <sheetName val="Monte Carlo EVE INR21700-40P"/>
      <sheetName val="Monte Carlo samsung INR2170-40t"/>
      <sheetName val="Monte Carlo samsung INR21700-50"/>
      <sheetName val="Shortlist Louis (Early)"/>
    </sheetNames>
    <sheetDataSet>
      <sheetData sheetId="0" refreshError="1"/>
      <sheetData sheetId="1" refreshError="1"/>
      <sheetData sheetId="2" refreshError="1">
        <row r="2">
          <cell r="L2">
            <v>417.30938435421211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2.85 min" id="{AD9F9C61-94FF-48D8-8267-8DA1E4D0D2AA}">
    <nsvFilter filterId="{55043BF4-4D61-42D5-9C92-15152D91C6A3}" ref="A5:AC194" tableId="0">
      <columnFilter colId="8">
        <dxf>
          <x:fill>
            <x:patternFill patternType="solid">
              <x:fgColor rgb="FFC6EFCE"/>
              <x:bgColor rgb="FF000000"/>
            </x:patternFill>
          </x:fill>
        </dxf>
        <filter colId="8">
          <x:colorFilter/>
        </filter>
      </columnFilter>
      <columnFilter colId="19">
        <filter colId="19">
          <x:customFilters>
            <x:customFilter operator="greaterThan" val="5"/>
          </x:customFilters>
        </filter>
      </columnFilter>
      <columnFilter colId="21">
        <dxf>
          <x:fill>
            <x:patternFill patternType="solid">
              <x:fgColor rgb="FFC6EFCE"/>
              <x:bgColor rgb="FF000000"/>
            </x:patternFill>
          </x:fill>
        </dxf>
        <filter colId="21">
          <x:colorFilter/>
        </filter>
      </columnFilter>
      <sortRules>
        <sortRule colId="19">
          <sortCondition ref="T5:T194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James Savelson" id="{41FC921D-4CDD-4802-ADE8-DF1EF905B3FD}" userId="S::j_savels@live.concordia.ca::89eaa420-21c9-4edb-85fc-b9e76ce5cd8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0" dT="2025-07-13T22:00:03.90" personId="{41FC921D-4CDD-4802-ADE8-DF1EF905B3FD}" id="{7C8FF0C2-EE8E-480B-93D2-1A33E090ADC5}">
    <text>Heavy</text>
  </threadedComment>
  <threadedComment ref="F81" dT="2025-07-13T22:00:19.94" personId="{41FC921D-4CDD-4802-ADE8-DF1EF905B3FD}" id="{7814389B-6636-43A5-A694-A82106535978}">
    <text>Heavy</text>
  </threadedComment>
  <threadedComment ref="F82" dT="2025-07-13T22:00:28.36" personId="{41FC921D-4CDD-4802-ADE8-DF1EF905B3FD}" id="{A0844816-B75F-4D99-8F42-7618FE8345F4}">
    <text>Heavy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rrallel@equation" TargetMode="External"/><Relationship Id="rId1" Type="http://schemas.openxmlformats.org/officeDocument/2006/relationships/hyperlink" Target="mailto:series@equati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96ED-4431-4102-9974-1D55231D0330}">
  <dimension ref="A1:AD23"/>
  <sheetViews>
    <sheetView zoomScaleNormal="100" workbookViewId="0">
      <selection activeCell="K22" sqref="K22"/>
    </sheetView>
  </sheetViews>
  <sheetFormatPr defaultRowHeight="15"/>
  <cols>
    <col min="1" max="1" width="14.5703125" bestFit="1" customWidth="1"/>
    <col min="2" max="2" width="16" bestFit="1" customWidth="1"/>
    <col min="3" max="3" width="18.42578125" bestFit="1" customWidth="1"/>
    <col min="4" max="4" width="10" bestFit="1" customWidth="1"/>
    <col min="7" max="7" width="10.140625" bestFit="1" customWidth="1"/>
    <col min="8" max="8" width="12.140625" bestFit="1" customWidth="1"/>
    <col min="9" max="9" width="10" bestFit="1" customWidth="1"/>
    <col min="11" max="11" width="16.7109375" bestFit="1" customWidth="1"/>
    <col min="12" max="12" width="18.28515625" bestFit="1" customWidth="1"/>
    <col min="19" max="19" width="13.28515625" customWidth="1"/>
    <col min="20" max="20" width="18.7109375" bestFit="1" customWidth="1"/>
    <col min="22" max="22" width="31.140625" bestFit="1" customWidth="1"/>
    <col min="23" max="23" width="50" bestFit="1" customWidth="1"/>
    <col min="24" max="24" width="31.140625" bestFit="1" customWidth="1"/>
    <col min="25" max="25" width="26.85546875" bestFit="1" customWidth="1"/>
    <col min="16383" max="16383" width="8.85546875" bestFit="1" customWidth="1"/>
    <col min="16384" max="16384" width="8.85546875" customWidth="1"/>
  </cols>
  <sheetData>
    <row r="1" spans="1:30"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20</v>
      </c>
      <c r="Y1" s="1" t="s">
        <v>22</v>
      </c>
      <c r="Z1" s="1" t="s">
        <v>23</v>
      </c>
    </row>
    <row r="2" spans="1:30">
      <c r="A2" s="21" t="s">
        <v>24</v>
      </c>
      <c r="B2" s="18" t="s">
        <v>25</v>
      </c>
      <c r="C2" s="18" t="s">
        <v>26</v>
      </c>
      <c r="F2" t="s">
        <v>27</v>
      </c>
    </row>
    <row r="3" spans="1:30" s="15" customFormat="1">
      <c r="A3" s="19" t="str">
        <f>$F$2&amp;AD3</f>
        <v>reliance RS50-1</v>
      </c>
      <c r="B3" s="15">
        <v>14</v>
      </c>
      <c r="C3" s="15">
        <v>3</v>
      </c>
      <c r="D3" s="17">
        <v>8</v>
      </c>
      <c r="E3" s="15">
        <v>750</v>
      </c>
      <c r="F3" s="15">
        <v>210</v>
      </c>
      <c r="G3" s="15">
        <v>21.84</v>
      </c>
      <c r="H3" s="15">
        <v>0.21280000000000002</v>
      </c>
      <c r="I3" s="15">
        <v>98.784000000000006</v>
      </c>
      <c r="J3" s="15">
        <v>470.40000000000003</v>
      </c>
      <c r="K3" s="15">
        <v>313.59999999999997</v>
      </c>
      <c r="L3" s="15">
        <v>65.855999999999995</v>
      </c>
      <c r="M3" s="15">
        <v>7.056</v>
      </c>
      <c r="O3" s="15">
        <v>7.056</v>
      </c>
      <c r="P3" s="15">
        <v>6.8937119999999998</v>
      </c>
      <c r="R3" s="15">
        <v>5.8108235294117652</v>
      </c>
      <c r="S3" s="15">
        <v>3.1749460043196547</v>
      </c>
      <c r="T3" s="15">
        <v>58.800000000000004</v>
      </c>
      <c r="U3" s="15">
        <v>336</v>
      </c>
      <c r="V3" s="15">
        <v>268.91199999999998</v>
      </c>
      <c r="W3" s="15">
        <v>44.688000000000002</v>
      </c>
      <c r="X3" s="15">
        <v>236.71645954683868</v>
      </c>
      <c r="Y3" s="15">
        <v>255.10204081632656</v>
      </c>
      <c r="Z3" s="15">
        <v>297.49509133099309</v>
      </c>
      <c r="AA3" s="15">
        <v>170.068027210884</v>
      </c>
      <c r="AB3" s="15">
        <v>0.50446897738640473</v>
      </c>
      <c r="AC3" s="15">
        <v>2.1646524344421048</v>
      </c>
      <c r="AD3" s="15">
        <v>-1</v>
      </c>
    </row>
    <row r="4" spans="1:30" s="15" customFormat="1">
      <c r="A4" s="20" t="str">
        <f>$F$2&amp;AD4</f>
        <v>reliance RS50-2</v>
      </c>
      <c r="B4" s="15">
        <v>13</v>
      </c>
      <c r="C4" s="15">
        <v>3</v>
      </c>
      <c r="D4" s="17">
        <v>8</v>
      </c>
      <c r="E4" s="15">
        <v>750</v>
      </c>
      <c r="F4" s="15">
        <v>210</v>
      </c>
      <c r="G4" s="15">
        <v>20.28</v>
      </c>
      <c r="H4" s="15">
        <v>0.19760000000000003</v>
      </c>
      <c r="I4" s="15">
        <v>91.727999999999994</v>
      </c>
      <c r="J4" s="15">
        <v>436.8</v>
      </c>
      <c r="K4" s="15">
        <v>291.2</v>
      </c>
      <c r="L4" s="15">
        <v>61.152000000000001</v>
      </c>
      <c r="M4" s="15">
        <v>6.5519999999999996</v>
      </c>
      <c r="O4" s="15">
        <v>6.5519999999999996</v>
      </c>
      <c r="P4" s="15">
        <v>6.4013039999999997</v>
      </c>
      <c r="R4" s="15">
        <v>5.3957647058823532</v>
      </c>
      <c r="S4" s="15">
        <v>2.9481641468682502</v>
      </c>
      <c r="T4" s="15">
        <v>54.6</v>
      </c>
      <c r="U4" s="15">
        <v>312</v>
      </c>
      <c r="V4" s="15">
        <v>249.70399999999998</v>
      </c>
      <c r="W4" s="15">
        <v>41.496000000000002</v>
      </c>
      <c r="X4" s="15">
        <v>219.80814100777877</v>
      </c>
      <c r="Y4" s="15">
        <v>274.72527472527474</v>
      </c>
      <c r="Z4" s="15">
        <v>320.37932912568482</v>
      </c>
      <c r="AA4" s="15">
        <v>183.15018315018315</v>
      </c>
      <c r="AB4" s="15">
        <v>0.58506461282683619</v>
      </c>
      <c r="AC4" s="15">
        <v>1.7331419090631575</v>
      </c>
      <c r="AD4" s="15">
        <v>-2</v>
      </c>
    </row>
    <row r="5" spans="1:30" s="15" customFormat="1">
      <c r="A5" s="15" t="str">
        <f>$F$2&amp;AD5</f>
        <v>reliance RS50-3</v>
      </c>
      <c r="B5" s="15">
        <v>10</v>
      </c>
      <c r="C5" s="15">
        <v>3</v>
      </c>
      <c r="D5" s="17">
        <v>10</v>
      </c>
      <c r="E5" s="15">
        <v>750</v>
      </c>
      <c r="F5" s="15">
        <v>210</v>
      </c>
      <c r="G5" s="15">
        <v>19.5</v>
      </c>
      <c r="H5" s="15">
        <v>0.19000000000000003</v>
      </c>
      <c r="I5" s="15">
        <v>88.2</v>
      </c>
      <c r="J5" s="15">
        <v>420</v>
      </c>
      <c r="K5" s="15">
        <v>280</v>
      </c>
      <c r="L5" s="15">
        <v>58.8</v>
      </c>
      <c r="M5" s="15">
        <v>6.3</v>
      </c>
      <c r="O5" s="15">
        <v>6.3</v>
      </c>
      <c r="P5" s="15">
        <v>6.1550999999999991</v>
      </c>
      <c r="R5" s="15">
        <v>5.1882352941176473</v>
      </c>
      <c r="S5" s="15">
        <v>2.2678185745140391</v>
      </c>
      <c r="T5" s="15">
        <v>42</v>
      </c>
      <c r="U5" s="15">
        <v>300</v>
      </c>
      <c r="V5" s="15">
        <v>240.1</v>
      </c>
      <c r="W5" s="15">
        <v>39.900000000000006</v>
      </c>
      <c r="X5" s="15">
        <v>211.35398173824882</v>
      </c>
      <c r="Y5" s="15">
        <v>285.71428571428572</v>
      </c>
      <c r="Z5" s="15">
        <v>333.19450229071219</v>
      </c>
      <c r="AA5" s="15">
        <v>190.47619047619048</v>
      </c>
      <c r="AB5" s="15">
        <v>0.63280588523350578</v>
      </c>
      <c r="AC5" s="15">
        <v>1.5407568462171053</v>
      </c>
      <c r="AD5" s="15">
        <v>-3</v>
      </c>
    </row>
    <row r="6" spans="1:30" s="15" customFormat="1">
      <c r="A6" s="15" t="str">
        <f>$F$2&amp;AD6</f>
        <v>reliance RS50-4</v>
      </c>
      <c r="B6" s="15">
        <v>12</v>
      </c>
      <c r="C6" s="15">
        <v>2</v>
      </c>
      <c r="D6" s="15">
        <v>12</v>
      </c>
      <c r="E6" s="15">
        <v>500</v>
      </c>
      <c r="F6" s="15">
        <v>140</v>
      </c>
      <c r="G6" s="15">
        <v>18.72</v>
      </c>
      <c r="H6" s="15">
        <v>0.41039999999999999</v>
      </c>
      <c r="I6" s="15">
        <v>84.672000000000011</v>
      </c>
      <c r="J6" s="15">
        <v>604.80000000000007</v>
      </c>
      <c r="K6" s="15">
        <v>403.2</v>
      </c>
      <c r="L6" s="15">
        <v>56.448</v>
      </c>
      <c r="M6" s="15">
        <v>6.0480000000000009</v>
      </c>
      <c r="O6" s="15">
        <v>6.0480000000000009</v>
      </c>
      <c r="P6" s="15">
        <v>5.9088960000000004</v>
      </c>
      <c r="R6" s="15">
        <v>4.9807058823529422</v>
      </c>
      <c r="S6" s="15">
        <v>1.8142548596112313</v>
      </c>
      <c r="T6" s="15">
        <v>50.400000000000006</v>
      </c>
      <c r="U6" s="15">
        <v>288</v>
      </c>
      <c r="V6" s="15">
        <v>345.74399999999997</v>
      </c>
      <c r="W6" s="15">
        <v>57.455999999999996</v>
      </c>
      <c r="X6" s="15">
        <v>202.8998224687189</v>
      </c>
      <c r="Y6" s="15">
        <v>198.4126984126984</v>
      </c>
      <c r="Z6" s="15">
        <v>231.38507103521684</v>
      </c>
      <c r="AA6" s="15">
        <v>132.27513227513225</v>
      </c>
      <c r="AB6" s="15">
        <v>0.30517259125844237</v>
      </c>
      <c r="AC6" s="15">
        <v>3.0671168604631567</v>
      </c>
      <c r="AD6" s="15">
        <v>-4</v>
      </c>
    </row>
    <row r="7" spans="1:30" s="15" customFormat="1">
      <c r="A7" s="15" t="str">
        <f>$F$2&amp;AD7</f>
        <v>reliance RS50-5</v>
      </c>
      <c r="B7" s="15">
        <v>14</v>
      </c>
      <c r="C7" s="15">
        <v>2</v>
      </c>
      <c r="D7" s="17">
        <v>10</v>
      </c>
      <c r="E7" s="15">
        <v>500</v>
      </c>
      <c r="F7" s="15">
        <v>140</v>
      </c>
      <c r="G7" s="15">
        <v>18.2</v>
      </c>
      <c r="H7" s="15">
        <v>0.39900000000000002</v>
      </c>
      <c r="I7" s="15">
        <v>82.32</v>
      </c>
      <c r="J7" s="15">
        <v>588</v>
      </c>
      <c r="K7" s="15">
        <v>392</v>
      </c>
      <c r="L7" s="15">
        <v>54.88</v>
      </c>
      <c r="M7" s="15">
        <v>5.88</v>
      </c>
      <c r="O7" s="15">
        <v>5.88</v>
      </c>
      <c r="P7" s="15">
        <v>5.7447599999999994</v>
      </c>
      <c r="R7" s="15">
        <v>4.842352941176471</v>
      </c>
      <c r="S7" s="15">
        <v>2.1166306695464359</v>
      </c>
      <c r="T7" s="15">
        <v>58.8</v>
      </c>
      <c r="U7" s="15">
        <v>280</v>
      </c>
      <c r="V7" s="15">
        <v>336.14</v>
      </c>
      <c r="W7" s="15">
        <v>55.86</v>
      </c>
      <c r="X7" s="15">
        <v>197.26371628903223</v>
      </c>
      <c r="Y7" s="15">
        <v>204.08163265306123</v>
      </c>
      <c r="Z7" s="15">
        <v>237.99607306479444</v>
      </c>
      <c r="AA7" s="15">
        <v>136.05442176870747</v>
      </c>
      <c r="AB7" s="15">
        <v>0.32286014552729897</v>
      </c>
      <c r="AC7" s="15">
        <v>2.8185578573464909</v>
      </c>
      <c r="AD7" s="15">
        <v>-5</v>
      </c>
    </row>
    <row r="8" spans="1:30">
      <c r="F8" t="s">
        <v>28</v>
      </c>
    </row>
    <row r="9" spans="1:30" s="15" customFormat="1">
      <c r="A9" s="15" t="str">
        <f>$F$8&amp;AD9</f>
        <v>bak 45D-1</v>
      </c>
      <c r="B9" s="15">
        <v>12</v>
      </c>
      <c r="C9" s="15">
        <v>3</v>
      </c>
      <c r="D9" s="16">
        <v>10</v>
      </c>
      <c r="E9" s="15">
        <v>210</v>
      </c>
      <c r="F9" s="15">
        <v>180</v>
      </c>
      <c r="G9" s="15">
        <v>24.84</v>
      </c>
      <c r="H9" s="15">
        <v>0.24</v>
      </c>
      <c r="I9" s="15">
        <v>90.72</v>
      </c>
      <c r="J9" s="15">
        <v>504</v>
      </c>
      <c r="K9" s="15">
        <v>330</v>
      </c>
      <c r="L9" s="15">
        <v>59.4</v>
      </c>
      <c r="M9" s="15">
        <v>6.3504000000000005</v>
      </c>
      <c r="N9" s="15">
        <v>6.1689600000000011</v>
      </c>
      <c r="O9" s="15">
        <v>3.8102399999999998</v>
      </c>
      <c r="P9" s="15">
        <v>5.2617600000000007</v>
      </c>
      <c r="Q9" s="15">
        <v>2.449244060475162</v>
      </c>
      <c r="R9" s="15">
        <v>50.4</v>
      </c>
      <c r="S9" s="15">
        <v>360</v>
      </c>
      <c r="T9" s="15">
        <v>286.8</v>
      </c>
      <c r="U9" s="15">
        <v>43.199999999999996</v>
      </c>
      <c r="V9" s="15">
        <v>217.39266693077019</v>
      </c>
      <c r="W9" s="15">
        <v>242.42424242424244</v>
      </c>
      <c r="X9" s="15">
        <v>278.94002789400275</v>
      </c>
      <c r="Y9" s="15">
        <v>158.73015873015873</v>
      </c>
      <c r="Z9" s="15">
        <v>0.46684523496904223</v>
      </c>
      <c r="AA9" s="15">
        <v>2.6604105750000007</v>
      </c>
      <c r="AD9" s="15">
        <v>-1</v>
      </c>
    </row>
    <row r="10" spans="1:30" s="15" customFormat="1">
      <c r="A10" s="19" t="str">
        <f t="shared" ref="A10:A11" si="0">$F$8&amp;AD10</f>
        <v>bak 45D-2</v>
      </c>
      <c r="B10" s="15">
        <v>14</v>
      </c>
      <c r="C10" s="15">
        <v>3</v>
      </c>
      <c r="D10" s="16">
        <v>8</v>
      </c>
      <c r="E10" s="15">
        <v>210</v>
      </c>
      <c r="F10" s="15">
        <v>180</v>
      </c>
      <c r="G10" s="15">
        <v>23.184000000000001</v>
      </c>
      <c r="H10" s="15">
        <v>0.224</v>
      </c>
      <c r="I10" s="15">
        <v>84.671999999999997</v>
      </c>
      <c r="J10" s="15">
        <v>470.40000000000003</v>
      </c>
      <c r="K10" s="15">
        <v>308</v>
      </c>
      <c r="L10" s="15">
        <v>55.44</v>
      </c>
      <c r="M10" s="15">
        <v>5.9270400000000008</v>
      </c>
      <c r="N10" s="15">
        <v>5.757696000000001</v>
      </c>
      <c r="O10" s="15">
        <v>3.5562240000000003</v>
      </c>
      <c r="P10" s="15">
        <v>4.9109760000000007</v>
      </c>
      <c r="Q10" s="15">
        <v>2.8574514038876893</v>
      </c>
      <c r="R10" s="15">
        <v>58.800000000000004</v>
      </c>
      <c r="S10" s="15">
        <v>336</v>
      </c>
      <c r="T10" s="15">
        <v>267.68</v>
      </c>
      <c r="U10" s="15">
        <v>40.32</v>
      </c>
      <c r="V10" s="15">
        <v>202.89982246871887</v>
      </c>
      <c r="W10" s="15">
        <v>259.74025974025972</v>
      </c>
      <c r="X10" s="15">
        <v>298.86431560071725</v>
      </c>
      <c r="Y10" s="15">
        <v>170.06802721088434</v>
      </c>
      <c r="Z10" s="15">
        <v>0.53591927483691071</v>
      </c>
      <c r="AA10" s="15">
        <v>2.1630123312000005</v>
      </c>
      <c r="AD10" s="15">
        <v>-2</v>
      </c>
    </row>
    <row r="11" spans="1:30" s="15" customFormat="1">
      <c r="A11" s="20" t="str">
        <f t="shared" si="0"/>
        <v>bak 45D-3</v>
      </c>
      <c r="B11" s="15">
        <v>13</v>
      </c>
      <c r="C11" s="15">
        <v>3</v>
      </c>
      <c r="D11" s="16">
        <v>8</v>
      </c>
      <c r="E11" s="15">
        <v>210</v>
      </c>
      <c r="F11" s="15">
        <v>180</v>
      </c>
      <c r="G11" s="15">
        <v>21.527999999999999</v>
      </c>
      <c r="H11" s="15">
        <v>0.20800000000000002</v>
      </c>
      <c r="I11" s="15">
        <v>78.623999999999995</v>
      </c>
      <c r="J11" s="15">
        <v>436.8</v>
      </c>
      <c r="K11" s="15">
        <v>286</v>
      </c>
      <c r="L11" s="15">
        <v>51.48</v>
      </c>
      <c r="M11" s="15">
        <v>5.5036800000000001</v>
      </c>
      <c r="N11" s="15">
        <v>5.3464320000000001</v>
      </c>
      <c r="O11" s="15">
        <v>3.3022080000000007</v>
      </c>
      <c r="P11" s="15">
        <v>4.5601919999999998</v>
      </c>
      <c r="Q11" s="15">
        <v>2.6533477321814254</v>
      </c>
      <c r="R11" s="15">
        <v>54.6</v>
      </c>
      <c r="S11" s="15">
        <v>312</v>
      </c>
      <c r="T11" s="15">
        <v>248.56</v>
      </c>
      <c r="U11" s="15">
        <v>37.440000000000005</v>
      </c>
      <c r="V11" s="15">
        <v>188.40697800666752</v>
      </c>
      <c r="W11" s="15">
        <v>279.72027972027973</v>
      </c>
      <c r="X11" s="15">
        <v>321.85387833923397</v>
      </c>
      <c r="Y11" s="15">
        <v>183.15018315018315</v>
      </c>
      <c r="Z11" s="15">
        <v>0.62153951401203855</v>
      </c>
      <c r="AA11" s="15">
        <v>1.7318287505999999</v>
      </c>
      <c r="AD11" s="15">
        <v>-3</v>
      </c>
    </row>
    <row r="12" spans="1:30">
      <c r="F12" t="s">
        <v>29</v>
      </c>
      <c r="AD12" s="15"/>
    </row>
    <row r="13" spans="1:30" s="15" customFormat="1">
      <c r="A13" s="15" t="str">
        <f>$F$12&amp;AD13</f>
        <v>P50B-1</v>
      </c>
      <c r="B13" s="15">
        <v>14</v>
      </c>
      <c r="C13" s="15">
        <v>3</v>
      </c>
      <c r="D13" s="16">
        <v>10</v>
      </c>
      <c r="E13" s="15">
        <v>270</v>
      </c>
      <c r="F13" s="15">
        <v>180</v>
      </c>
      <c r="G13" s="15">
        <v>29.4</v>
      </c>
      <c r="H13" s="15">
        <v>0.70000000000000007</v>
      </c>
      <c r="I13" s="15">
        <v>105.84</v>
      </c>
      <c r="J13" s="15">
        <v>588</v>
      </c>
      <c r="K13" s="15">
        <v>420</v>
      </c>
      <c r="L13" s="15">
        <v>75.599999999999994</v>
      </c>
      <c r="M13" s="15">
        <v>8.5553999999999988</v>
      </c>
      <c r="N13" s="15">
        <v>8.0755920000000003</v>
      </c>
      <c r="O13" s="15">
        <v>3.7926000000000002</v>
      </c>
      <c r="P13" s="15">
        <v>5.7004178823529417</v>
      </c>
      <c r="Q13" s="15">
        <v>3.1749460043196542</v>
      </c>
      <c r="R13" s="15">
        <v>58.8</v>
      </c>
      <c r="S13" s="15">
        <v>420</v>
      </c>
      <c r="T13" s="15">
        <v>294</v>
      </c>
      <c r="U13" s="15">
        <v>126.00000000000001</v>
      </c>
      <c r="V13" s="15">
        <v>253.62477808589858</v>
      </c>
      <c r="W13" s="15">
        <v>190.47619047619048</v>
      </c>
      <c r="X13" s="15">
        <v>272.10884353741494</v>
      </c>
      <c r="Y13" s="15">
        <v>136.05442176870747</v>
      </c>
      <c r="Z13" s="15">
        <v>1.1106483409690406</v>
      </c>
      <c r="AA13" s="15">
        <v>1.32355125</v>
      </c>
      <c r="AD13" s="15">
        <v>-1</v>
      </c>
    </row>
    <row r="14" spans="1:30" s="15" customFormat="1">
      <c r="A14" s="15" t="str">
        <f>$F$12&amp;AD14</f>
        <v>P50B-2</v>
      </c>
      <c r="B14" s="15">
        <v>12</v>
      </c>
      <c r="C14" s="15">
        <v>4</v>
      </c>
      <c r="D14" s="16">
        <v>8</v>
      </c>
      <c r="E14" s="15">
        <v>360</v>
      </c>
      <c r="F14" s="15">
        <v>240</v>
      </c>
      <c r="G14" s="15">
        <v>26.88</v>
      </c>
      <c r="H14" s="15">
        <v>0.36</v>
      </c>
      <c r="I14" s="15">
        <v>96.768000000000015</v>
      </c>
      <c r="J14" s="15">
        <v>403.20000000000005</v>
      </c>
      <c r="K14" s="15">
        <v>288</v>
      </c>
      <c r="L14" s="15">
        <v>69.12</v>
      </c>
      <c r="M14" s="15">
        <v>7.8220799999999997</v>
      </c>
      <c r="N14" s="15">
        <v>7.3833984000000008</v>
      </c>
      <c r="O14" s="15">
        <v>3.4675200000000004</v>
      </c>
      <c r="P14" s="15">
        <v>5.2118106352941185</v>
      </c>
      <c r="Q14" s="15">
        <v>3.6285097192224627</v>
      </c>
      <c r="R14" s="15">
        <v>50.400000000000006</v>
      </c>
      <c r="S14" s="15">
        <v>384</v>
      </c>
      <c r="T14" s="15">
        <v>201.60000000000002</v>
      </c>
      <c r="U14" s="15">
        <v>86.399999999999991</v>
      </c>
      <c r="V14" s="15">
        <v>231.8855113928216</v>
      </c>
      <c r="W14" s="15">
        <v>277.77777777777777</v>
      </c>
      <c r="X14" s="15">
        <v>396.82539682539681</v>
      </c>
      <c r="Y14" s="15">
        <v>198.4126984126984</v>
      </c>
      <c r="Z14" s="15">
        <v>2.3620559334845042</v>
      </c>
      <c r="AA14" s="15">
        <v>0.56899584000000014</v>
      </c>
      <c r="AD14" s="15">
        <v>-2</v>
      </c>
    </row>
    <row r="15" spans="1:30" s="15" customFormat="1">
      <c r="A15" s="19" t="str">
        <f>$F$12&amp;AD15</f>
        <v>P50B-3</v>
      </c>
      <c r="B15" s="15">
        <v>14</v>
      </c>
      <c r="C15" s="15">
        <v>3</v>
      </c>
      <c r="D15" s="16">
        <v>8</v>
      </c>
      <c r="E15" s="15">
        <v>270</v>
      </c>
      <c r="F15" s="15">
        <v>180</v>
      </c>
      <c r="G15" s="15">
        <v>23.52</v>
      </c>
      <c r="H15" s="15">
        <v>0.56000000000000005</v>
      </c>
      <c r="I15" s="15">
        <v>84.671999999999997</v>
      </c>
      <c r="J15" s="15">
        <v>470.40000000000003</v>
      </c>
      <c r="K15" s="15">
        <v>336</v>
      </c>
      <c r="L15" s="15">
        <v>60.48</v>
      </c>
      <c r="M15" s="15">
        <v>6.8443199999999997</v>
      </c>
      <c r="N15" s="15">
        <v>6.4604736000000011</v>
      </c>
      <c r="O15" s="15">
        <v>3.0340799999999999</v>
      </c>
      <c r="P15" s="15">
        <v>4.5603343058823542</v>
      </c>
      <c r="Q15" s="15">
        <v>3.1749460043196547</v>
      </c>
      <c r="R15" s="15">
        <v>58.800000000000004</v>
      </c>
      <c r="S15" s="15">
        <v>336</v>
      </c>
      <c r="T15" s="15">
        <v>235.2</v>
      </c>
      <c r="U15" s="15">
        <v>100.80000000000001</v>
      </c>
      <c r="V15" s="15">
        <v>202.89982246871887</v>
      </c>
      <c r="W15" s="15">
        <v>238.0952380952381</v>
      </c>
      <c r="X15" s="15">
        <v>340.13605442176873</v>
      </c>
      <c r="Y15" s="15">
        <v>170.06802721088434</v>
      </c>
      <c r="Z15" s="15">
        <v>1.7353880327641265</v>
      </c>
      <c r="AA15" s="15">
        <v>0.67765823999999986</v>
      </c>
      <c r="AD15" s="15">
        <v>-3</v>
      </c>
    </row>
    <row r="17" spans="1:29">
      <c r="A17" s="21" t="s">
        <v>30</v>
      </c>
    </row>
    <row r="18" spans="1:29">
      <c r="A18" s="15" t="s">
        <v>31</v>
      </c>
      <c r="B18" s="15">
        <v>11</v>
      </c>
      <c r="C18" s="15">
        <v>3</v>
      </c>
      <c r="D18" s="15">
        <v>8</v>
      </c>
      <c r="E18" s="15">
        <v>750</v>
      </c>
      <c r="F18" s="15">
        <v>210</v>
      </c>
      <c r="G18" s="15">
        <v>17.16</v>
      </c>
      <c r="H18" s="15">
        <v>0.16720000000000002</v>
      </c>
      <c r="I18" s="22">
        <v>77.616</v>
      </c>
      <c r="J18" s="23">
        <v>369.6</v>
      </c>
      <c r="K18" s="23">
        <v>246.39999999999998</v>
      </c>
      <c r="L18" s="23">
        <v>51.743999999999993</v>
      </c>
      <c r="M18" s="15">
        <v>5.5439999999999996</v>
      </c>
      <c r="N18" s="15"/>
      <c r="O18" s="15">
        <v>5.5439999999999996</v>
      </c>
      <c r="P18" s="15">
        <v>5.4164880000000002</v>
      </c>
      <c r="Q18" s="15"/>
      <c r="R18" s="15">
        <v>4.5656470588235294</v>
      </c>
      <c r="S18" s="15">
        <v>2.4946004319654427</v>
      </c>
      <c r="T18" s="15">
        <v>46.2</v>
      </c>
      <c r="U18" s="15">
        <v>264</v>
      </c>
      <c r="V18" s="15">
        <v>211.28799999999998</v>
      </c>
      <c r="W18" s="15">
        <v>35.112000000000002</v>
      </c>
      <c r="X18" s="15">
        <v>185.99150392965896</v>
      </c>
      <c r="Y18" s="15">
        <v>324.6753246753247</v>
      </c>
      <c r="Z18" s="15">
        <v>378.63011623944573</v>
      </c>
      <c r="AA18" s="15">
        <v>216.45021645021643</v>
      </c>
      <c r="AB18" s="15">
        <v>0.81715636006392822</v>
      </c>
      <c r="AC18" s="15">
        <v>1.0499826495052629</v>
      </c>
    </row>
    <row r="19" spans="1:29" s="15" customFormat="1">
      <c r="A19" s="15" t="s">
        <v>32</v>
      </c>
      <c r="B19" s="15">
        <v>14</v>
      </c>
      <c r="C19" s="15">
        <v>3</v>
      </c>
      <c r="D19" s="15">
        <v>6</v>
      </c>
      <c r="E19" s="15">
        <v>750</v>
      </c>
      <c r="F19" s="15">
        <v>210</v>
      </c>
      <c r="G19" s="15">
        <v>16.38</v>
      </c>
      <c r="H19" s="15">
        <v>0.15960000000000002</v>
      </c>
      <c r="I19" s="22">
        <v>74.087999999999994</v>
      </c>
      <c r="J19" s="23">
        <v>352.8</v>
      </c>
      <c r="K19" s="23">
        <v>235.2</v>
      </c>
      <c r="L19" s="23">
        <v>49.392000000000003</v>
      </c>
      <c r="M19" s="15">
        <v>5.2919999999999998</v>
      </c>
      <c r="O19" s="15">
        <v>5.2919999999999998</v>
      </c>
      <c r="P19" s="15">
        <v>5.1702839999999997</v>
      </c>
      <c r="R19" s="15">
        <v>4.3581176470588234</v>
      </c>
      <c r="S19" s="15">
        <v>3.1749460043196542</v>
      </c>
      <c r="T19" s="15">
        <v>58.800000000000004</v>
      </c>
      <c r="U19" s="15">
        <v>252</v>
      </c>
      <c r="V19" s="15">
        <v>201.68399999999997</v>
      </c>
      <c r="W19" s="15">
        <v>33.516000000000005</v>
      </c>
      <c r="X19" s="15">
        <v>177.53734466012901</v>
      </c>
      <c r="Y19" s="15">
        <v>340.13605442176873</v>
      </c>
      <c r="Z19" s="15">
        <v>396.66012177465745</v>
      </c>
      <c r="AA19" s="15">
        <v>226.75736961451247</v>
      </c>
      <c r="AB19" s="15">
        <v>0.89683373757583085</v>
      </c>
      <c r="AC19" s="15">
        <v>0.91321274578026257</v>
      </c>
    </row>
    <row r="20" spans="1:29" s="15" customFormat="1">
      <c r="A20" s="15" t="s">
        <v>33</v>
      </c>
      <c r="B20" s="15">
        <v>14</v>
      </c>
      <c r="C20" s="15">
        <v>4</v>
      </c>
      <c r="D20" s="15">
        <v>6</v>
      </c>
      <c r="E20" s="15">
        <v>1000</v>
      </c>
      <c r="F20" s="15">
        <v>280</v>
      </c>
      <c r="G20" s="15">
        <v>21.84</v>
      </c>
      <c r="H20" s="15">
        <v>0.11970000000000001</v>
      </c>
      <c r="I20" s="23">
        <v>98.784000000000006</v>
      </c>
      <c r="J20" s="23">
        <v>352.8</v>
      </c>
      <c r="K20" s="23">
        <v>235.2</v>
      </c>
      <c r="L20" s="23">
        <v>65.855999999999995</v>
      </c>
      <c r="M20" s="15">
        <v>7.056</v>
      </c>
      <c r="O20" s="15">
        <v>7.056</v>
      </c>
      <c r="P20" s="15">
        <v>6.8937119999999998</v>
      </c>
      <c r="R20" s="15">
        <v>5.8108235294117652</v>
      </c>
      <c r="S20" s="15">
        <v>4.2332613390928726</v>
      </c>
      <c r="T20" s="15">
        <v>58.800000000000004</v>
      </c>
      <c r="U20" s="15">
        <v>336</v>
      </c>
      <c r="V20" s="15">
        <v>201.68399999999997</v>
      </c>
      <c r="W20" s="15">
        <v>33.516000000000005</v>
      </c>
      <c r="X20" s="15">
        <v>236.71645954683868</v>
      </c>
      <c r="Y20" s="15">
        <v>340.13605442176873</v>
      </c>
      <c r="Z20" s="15">
        <v>396.66012177465745</v>
      </c>
      <c r="AA20" s="15">
        <v>226.75736961451247</v>
      </c>
      <c r="AB20" s="15">
        <v>0.89683373757583085</v>
      </c>
      <c r="AC20" s="15">
        <v>1.2176169943736836</v>
      </c>
    </row>
    <row r="21" spans="1:29">
      <c r="A21" s="15">
        <v>12</v>
      </c>
      <c r="B21" s="15">
        <v>3</v>
      </c>
      <c r="C21" s="15">
        <v>8</v>
      </c>
      <c r="D21" s="15">
        <v>750</v>
      </c>
      <c r="E21" s="15">
        <v>210</v>
      </c>
      <c r="F21" s="15">
        <v>18.72</v>
      </c>
      <c r="G21" s="15">
        <v>0.18240000000000001</v>
      </c>
      <c r="H21" s="15">
        <v>83.58</v>
      </c>
      <c r="I21" s="15">
        <v>398</v>
      </c>
      <c r="J21" s="15"/>
      <c r="K21" s="15">
        <v>278.39999999999998</v>
      </c>
      <c r="L21" s="15">
        <v>58.463999999999992</v>
      </c>
      <c r="M21" s="15">
        <v>5.97</v>
      </c>
      <c r="O21" s="15">
        <v>5.97</v>
      </c>
      <c r="P21" s="15">
        <v>5.8326900000000004</v>
      </c>
      <c r="R21" s="15">
        <v>4.4904460966542752</v>
      </c>
      <c r="S21" s="15">
        <v>2.6862850971922243</v>
      </c>
      <c r="T21" s="15">
        <v>49.75</v>
      </c>
      <c r="U21" s="15">
        <v>288</v>
      </c>
      <c r="V21" s="15">
        <v>240.09599999999998</v>
      </c>
      <c r="W21" s="15">
        <v>38.304000000000002</v>
      </c>
      <c r="X21" s="15">
        <v>200.28305888529292</v>
      </c>
      <c r="Y21" s="15">
        <v>287.35632183908046</v>
      </c>
      <c r="Z21" s="15">
        <v>333.20005331200855</v>
      </c>
      <c r="AA21" s="15">
        <v>201.00502512562815</v>
      </c>
      <c r="AB21" s="15">
        <v>0.63282697050461445</v>
      </c>
      <c r="AC21" s="15">
        <v>1.4790772890947366</v>
      </c>
    </row>
    <row r="22" spans="1:29" s="15" customFormat="1">
      <c r="B22" s="15">
        <v>11</v>
      </c>
      <c r="C22" s="15">
        <v>4</v>
      </c>
      <c r="D22" s="16">
        <v>8</v>
      </c>
      <c r="E22" s="15">
        <v>280</v>
      </c>
      <c r="F22" s="15">
        <v>240</v>
      </c>
      <c r="G22" s="15">
        <v>24.288</v>
      </c>
      <c r="H22" s="15">
        <v>0.308</v>
      </c>
      <c r="I22" s="15">
        <v>88.703999999999994</v>
      </c>
      <c r="J22" s="15">
        <v>369.6</v>
      </c>
      <c r="K22" s="15">
        <v>250.8</v>
      </c>
      <c r="L22" s="15">
        <v>60.192</v>
      </c>
      <c r="M22" s="15">
        <v>6.2092800000000006</v>
      </c>
      <c r="N22" s="15">
        <v>6.0318719999999999</v>
      </c>
      <c r="O22" s="15">
        <v>3.725568</v>
      </c>
      <c r="P22" s="15">
        <v>4.9308988235294118</v>
      </c>
      <c r="Q22" s="15">
        <v>2.9935205183585314</v>
      </c>
      <c r="R22" s="15">
        <v>46.2</v>
      </c>
      <c r="S22" s="15">
        <v>352</v>
      </c>
      <c r="T22" s="15">
        <v>176.88</v>
      </c>
      <c r="U22" s="15">
        <v>73.92</v>
      </c>
      <c r="V22" s="15">
        <v>212.56171877675308</v>
      </c>
      <c r="W22" s="15">
        <v>318.97926634768737</v>
      </c>
      <c r="X22" s="15">
        <v>452.28403437358662</v>
      </c>
      <c r="Y22" s="15">
        <v>216.45021645021643</v>
      </c>
      <c r="Z22" s="15">
        <v>2.8638518684894674</v>
      </c>
      <c r="AA22" s="15">
        <v>0.42404427874285716</v>
      </c>
    </row>
    <row r="23" spans="1:29">
      <c r="A23" s="25" t="s">
        <v>34</v>
      </c>
      <c r="B23" s="25"/>
    </row>
  </sheetData>
  <mergeCells count="1">
    <mergeCell ref="A23:B23"/>
  </mergeCells>
  <conditionalFormatting sqref="I3:I7">
    <cfRule type="cellIs" dxfId="114" priority="29" operator="lessThan">
      <formula>70</formula>
    </cfRule>
    <cfRule type="cellIs" dxfId="113" priority="28" operator="between">
      <formula>70</formula>
      <formula>85</formula>
    </cfRule>
    <cfRule type="cellIs" dxfId="112" priority="30" operator="greaterThan">
      <formula>85</formula>
    </cfRule>
  </conditionalFormatting>
  <conditionalFormatting sqref="I9:I11">
    <cfRule type="cellIs" dxfId="111" priority="22" operator="greaterThan">
      <formula>85</formula>
    </cfRule>
    <cfRule type="cellIs" dxfId="110" priority="21" operator="lessThan">
      <formula>70</formula>
    </cfRule>
    <cfRule type="cellIs" dxfId="109" priority="20" operator="between">
      <formula>70</formula>
      <formula>85</formula>
    </cfRule>
  </conditionalFormatting>
  <conditionalFormatting sqref="I13:I15">
    <cfRule type="cellIs" dxfId="108" priority="13" operator="between">
      <formula>70</formula>
      <formula>85</formula>
    </cfRule>
    <cfRule type="cellIs" dxfId="107" priority="14" operator="lessThan">
      <formula>70</formula>
    </cfRule>
    <cfRule type="cellIs" dxfId="106" priority="15" operator="greaterThan">
      <formula>85</formula>
    </cfRule>
  </conditionalFormatting>
  <conditionalFormatting sqref="I22">
    <cfRule type="cellIs" dxfId="105" priority="2" operator="between">
      <formula>70</formula>
      <formula>85</formula>
    </cfRule>
    <cfRule type="cellIs" dxfId="104" priority="3" operator="lessThan">
      <formula>70</formula>
    </cfRule>
    <cfRule type="cellIs" dxfId="103" priority="4" operator="greaterThan">
      <formula>85</formula>
    </cfRule>
  </conditionalFormatting>
  <conditionalFormatting sqref="J3:J7">
    <cfRule type="cellIs" dxfId="102" priority="27" operator="greaterThan">
      <formula>605</formula>
    </cfRule>
  </conditionalFormatting>
  <conditionalFormatting sqref="J9:J11">
    <cfRule type="cellIs" dxfId="101" priority="19" operator="greaterThan">
      <formula>605</formula>
    </cfRule>
  </conditionalFormatting>
  <conditionalFormatting sqref="J13:J15">
    <cfRule type="cellIs" dxfId="100" priority="12" operator="greaterThan">
      <formula>605</formula>
    </cfRule>
  </conditionalFormatting>
  <conditionalFormatting sqref="J22">
    <cfRule type="cellIs" dxfId="99" priority="1" operator="greaterThan">
      <formula>605</formula>
    </cfRule>
  </conditionalFormatting>
  <conditionalFormatting sqref="J1:L1">
    <cfRule type="cellIs" dxfId="98" priority="9" operator="between">
      <formula>400</formula>
      <formula>600</formula>
    </cfRule>
    <cfRule type="cellIs" dxfId="97" priority="10" operator="lessThan">
      <formula>400</formula>
    </cfRule>
  </conditionalFormatting>
  <conditionalFormatting sqref="J3:L7">
    <cfRule type="cellIs" dxfId="96" priority="34" operator="lessThan">
      <formula>400</formula>
    </cfRule>
    <cfRule type="cellIs" dxfId="95" priority="33" operator="between">
      <formula>400</formula>
      <formula>605</formula>
    </cfRule>
  </conditionalFormatting>
  <conditionalFormatting sqref="J9:L11">
    <cfRule type="cellIs" dxfId="94" priority="25" operator="between">
      <formula>400</formula>
      <formula>605</formula>
    </cfRule>
    <cfRule type="cellIs" dxfId="93" priority="26" operator="lessThan">
      <formula>400</formula>
    </cfRule>
  </conditionalFormatting>
  <conditionalFormatting sqref="J13:L15">
    <cfRule type="cellIs" dxfId="92" priority="11" operator="lessThan">
      <formula>400</formula>
    </cfRule>
    <cfRule type="cellIs" dxfId="91" priority="18" operator="between">
      <formula>400</formula>
      <formula>605</formula>
    </cfRule>
  </conditionalFormatting>
  <conditionalFormatting sqref="J22:L22">
    <cfRule type="cellIs" dxfId="90" priority="8" operator="lessThan">
      <formula>400</formula>
    </cfRule>
    <cfRule type="cellIs" dxfId="89" priority="7" operator="between">
      <formula>400</formula>
      <formula>605</formula>
    </cfRule>
  </conditionalFormatting>
  <conditionalFormatting sqref="R9:R11">
    <cfRule type="cellIs" dxfId="88" priority="23" operator="lessThan">
      <formula>60</formula>
    </cfRule>
    <cfRule type="cellIs" dxfId="87" priority="24" operator="greaterThan">
      <formula>60</formula>
    </cfRule>
  </conditionalFormatting>
  <conditionalFormatting sqref="R13:R15">
    <cfRule type="cellIs" dxfId="86" priority="17" operator="greaterThan">
      <formula>60</formula>
    </cfRule>
    <cfRule type="cellIs" dxfId="85" priority="16" operator="lessThan">
      <formula>60</formula>
    </cfRule>
  </conditionalFormatting>
  <conditionalFormatting sqref="R22">
    <cfRule type="cellIs" dxfId="84" priority="6" operator="greaterThan">
      <formula>60</formula>
    </cfRule>
    <cfRule type="cellIs" dxfId="83" priority="5" operator="lessThan">
      <formula>60</formula>
    </cfRule>
  </conditionalFormatting>
  <conditionalFormatting sqref="T3:T7">
    <cfRule type="cellIs" dxfId="82" priority="31" operator="lessThan">
      <formula>60</formula>
    </cfRule>
    <cfRule type="cellIs" dxfId="81" priority="32" operator="greaterThan">
      <formula>60</formula>
    </cfRule>
  </conditionalFormatting>
  <hyperlinks>
    <hyperlink ref="B2" r:id="rId1" xr:uid="{E338961B-4540-42AB-BDA7-4C347A4F4457}"/>
    <hyperlink ref="C2" r:id="rId2" xr:uid="{100FEF3E-D89F-40F8-A02D-073EB05614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5546-A041-470B-AAA5-B2FEA792D942}">
  <dimension ref="A1:Y7"/>
  <sheetViews>
    <sheetView workbookViewId="0">
      <selection activeCell="Y6" sqref="A6:Y6"/>
    </sheetView>
  </sheetViews>
  <sheetFormatPr defaultRowHeight="15"/>
  <cols>
    <col min="1" max="1" width="13.42578125" bestFit="1" customWidth="1"/>
    <col min="2" max="2" width="8.140625" bestFit="1" customWidth="1"/>
    <col min="3" max="3" width="10" bestFit="1" customWidth="1"/>
    <col min="4" max="4" width="6.7109375" bestFit="1" customWidth="1"/>
    <col min="5" max="5" width="8.140625" bestFit="1" customWidth="1"/>
    <col min="6" max="6" width="10.140625" bestFit="1" customWidth="1"/>
    <col min="7" max="7" width="12.140625" bestFit="1" customWidth="1"/>
    <col min="8" max="8" width="10" bestFit="1" customWidth="1"/>
    <col min="9" max="9" width="7.28515625" bestFit="1" customWidth="1"/>
    <col min="10" max="10" width="16.7109375" bestFit="1" customWidth="1"/>
    <col min="11" max="11" width="21" bestFit="1" customWidth="1"/>
    <col min="12" max="12" width="12.28515625" bestFit="1" customWidth="1"/>
    <col min="13" max="13" width="17.7109375" customWidth="1"/>
    <col min="14" max="14" width="27" bestFit="1" customWidth="1"/>
    <col min="15" max="15" width="12.28515625" bestFit="1" customWidth="1"/>
    <col min="16" max="16" width="16.42578125" bestFit="1" customWidth="1"/>
    <col min="17" max="17" width="10.42578125" bestFit="1" customWidth="1"/>
    <col min="18" max="18" width="28.28515625" bestFit="1" customWidth="1"/>
    <col min="19" max="19" width="18.7109375" bestFit="1" customWidth="1"/>
    <col min="20" max="20" width="28.28515625" bestFit="1" customWidth="1"/>
    <col min="21" max="21" width="31.140625" bestFit="1" customWidth="1"/>
    <col min="22" max="22" width="50" bestFit="1" customWidth="1"/>
    <col min="23" max="23" width="31.140625" bestFit="1" customWidth="1"/>
    <col min="24" max="24" width="26.85546875" bestFit="1" customWidth="1"/>
    <col min="25" max="25" width="20.85546875" bestFit="1" customWidth="1"/>
  </cols>
  <sheetData>
    <row r="1" spans="1: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6" t="s">
        <v>36</v>
      </c>
      <c r="R1" s="26"/>
      <c r="S1" s="26"/>
      <c r="T1" s="1"/>
      <c r="U1" s="1"/>
    </row>
    <row r="2" spans="1:25">
      <c r="A2" s="1" t="s">
        <v>37</v>
      </c>
      <c r="B2" s="1" t="s">
        <v>38</v>
      </c>
      <c r="C2" s="1" t="s">
        <v>39</v>
      </c>
      <c r="D2" s="1"/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3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</row>
    <row r="3" spans="1:25">
      <c r="A3" s="2" t="s">
        <v>54</v>
      </c>
      <c r="B3" s="2" t="s">
        <v>55</v>
      </c>
      <c r="C3" s="2">
        <v>21700</v>
      </c>
      <c r="D3" s="2"/>
      <c r="E3" s="2">
        <v>2023</v>
      </c>
      <c r="F3" s="2" t="s">
        <v>56</v>
      </c>
      <c r="G3" s="2" t="s">
        <v>57</v>
      </c>
      <c r="H3">
        <v>4000</v>
      </c>
      <c r="I3">
        <v>60</v>
      </c>
      <c r="J3" s="2">
        <v>140</v>
      </c>
      <c r="K3" s="2">
        <v>3</v>
      </c>
      <c r="L3" s="2">
        <v>4.2</v>
      </c>
      <c r="M3" s="2">
        <v>2.5</v>
      </c>
      <c r="N3">
        <v>3900</v>
      </c>
      <c r="O3">
        <v>3800</v>
      </c>
      <c r="P3">
        <v>3720</v>
      </c>
      <c r="Q3">
        <v>69</v>
      </c>
      <c r="R3">
        <v>6.0000000000000001E-3</v>
      </c>
      <c r="S3" s="4">
        <v>5</v>
      </c>
    </row>
    <row r="5" spans="1:25">
      <c r="A5" s="1" t="s">
        <v>58</v>
      </c>
    </row>
    <row r="6" spans="1:25">
      <c r="A6" s="3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20</v>
      </c>
      <c r="X6" s="1" t="s">
        <v>22</v>
      </c>
      <c r="Y6" s="1" t="s">
        <v>23</v>
      </c>
    </row>
    <row r="7" spans="1:25">
      <c r="A7">
        <v>14</v>
      </c>
      <c r="B7">
        <v>2</v>
      </c>
      <c r="C7">
        <v>10</v>
      </c>
      <c r="D7">
        <f>B7*$J$3</f>
        <v>280</v>
      </c>
      <c r="E7">
        <f>B7*$I$3</f>
        <v>120</v>
      </c>
      <c r="F7">
        <f>A7*B7*C7*$Q$3/1000</f>
        <v>19.32</v>
      </c>
      <c r="G7">
        <f>((B7*$R$3^(-1))^(-1))*A7*C7</f>
        <v>0.42000000000000004</v>
      </c>
      <c r="H7">
        <f>E7*I7/1000</f>
        <v>70.56</v>
      </c>
      <c r="I7">
        <f>A7*C7*4.2</f>
        <v>588</v>
      </c>
      <c r="J7">
        <f>C7*A7*K3</f>
        <v>420</v>
      </c>
      <c r="K7">
        <f>E7*J7/1000</f>
        <v>50.4</v>
      </c>
      <c r="L7">
        <f>$O$3/1000*I7*B7/1000</f>
        <v>4.4687999999999999</v>
      </c>
      <c r="M7">
        <f>$P$3/1000*I7*B7/1000</f>
        <v>4.3747199999999999</v>
      </c>
      <c r="N7">
        <f>L7*((L3-K3)/(L3-M3))</f>
        <v>3.1544470588235294</v>
      </c>
      <c r="O7">
        <f>$H$3/1000*B7*$I$7/277.8/C7</f>
        <v>1.693304535637149</v>
      </c>
      <c r="P7">
        <f>I7/C7</f>
        <v>58.8</v>
      </c>
      <c r="Q7">
        <f>(A7*B7*C7)</f>
        <v>280</v>
      </c>
      <c r="R7">
        <f>J7-(G7*E7)</f>
        <v>369.6</v>
      </c>
      <c r="S7">
        <f>G7*E7</f>
        <v>50.400000000000006</v>
      </c>
      <c r="T7">
        <f>I7*E7/'[1]Inverter Analysis'!$L$2</f>
        <v>169.08318539059906</v>
      </c>
      <c r="U7">
        <f>80000/J7</f>
        <v>190.47619047619048</v>
      </c>
      <c r="V7">
        <f>80000/R7</f>
        <v>216.45021645021643</v>
      </c>
      <c r="W7">
        <f>80000/I7</f>
        <v>136.05442176870747</v>
      </c>
      <c r="X7">
        <f>(MAX(U7:W7)^2)*R3/1000</f>
        <v>0.28110417720807329</v>
      </c>
      <c r="Y7">
        <f>(S3*F7/(X7*1000))*10</f>
        <v>3.4364484000000002</v>
      </c>
    </row>
  </sheetData>
  <mergeCells count="1">
    <mergeCell ref="Q1:S1"/>
  </mergeCells>
  <conditionalFormatting sqref="H7">
    <cfRule type="cellIs" dxfId="80" priority="2" operator="between">
      <formula>70</formula>
      <formula>85</formula>
    </cfRule>
    <cfRule type="cellIs" dxfId="79" priority="3" operator="lessThan">
      <formula>70</formula>
    </cfRule>
    <cfRule type="cellIs" dxfId="78" priority="4" operator="greaterThan">
      <formula>85</formula>
    </cfRule>
  </conditionalFormatting>
  <conditionalFormatting sqref="I7">
    <cfRule type="cellIs" dxfId="77" priority="1" operator="greaterThan">
      <formula>600</formula>
    </cfRule>
  </conditionalFormatting>
  <conditionalFormatting sqref="I6:K7">
    <cfRule type="cellIs" dxfId="76" priority="7" operator="between">
      <formula>400</formula>
      <formula>600</formula>
    </cfRule>
    <cfRule type="cellIs" dxfId="75" priority="8" operator="lessThan">
      <formula>400</formula>
    </cfRule>
  </conditionalFormatting>
  <conditionalFormatting sqref="P7">
    <cfRule type="cellIs" dxfId="74" priority="5" operator="lessThan">
      <formula>60</formula>
    </cfRule>
    <cfRule type="cellIs" dxfId="73" priority="6" operator="greaterThan">
      <formula>60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A5" sqref="A5"/>
    </sheetView>
  </sheetViews>
  <sheetFormatPr defaultRowHeight="15"/>
  <cols>
    <col min="1" max="1" width="11.42578125" bestFit="1" customWidth="1"/>
    <col min="2" max="2" width="22.7109375" bestFit="1" customWidth="1"/>
    <col min="3" max="3" width="22.7109375" customWidth="1"/>
    <col min="4" max="4" width="30.7109375" customWidth="1"/>
  </cols>
  <sheetData>
    <row r="1" spans="1:4">
      <c r="A1" t="s">
        <v>59</v>
      </c>
      <c r="B1" t="s">
        <v>60</v>
      </c>
      <c r="C1" t="s">
        <v>61</v>
      </c>
      <c r="D1" t="s">
        <v>62</v>
      </c>
    </row>
    <row r="2" spans="1:4">
      <c r="A2">
        <v>1</v>
      </c>
      <c r="B2" s="5" t="s">
        <v>63</v>
      </c>
      <c r="C2">
        <v>5000</v>
      </c>
      <c r="D2" t="s">
        <v>64</v>
      </c>
    </row>
    <row r="3" spans="1:4">
      <c r="A3">
        <v>2</v>
      </c>
      <c r="B3" t="s">
        <v>65</v>
      </c>
      <c r="C3">
        <v>5000</v>
      </c>
    </row>
    <row r="4" spans="1:4">
      <c r="A4">
        <v>3</v>
      </c>
      <c r="B4" t="s">
        <v>66</v>
      </c>
      <c r="C4">
        <v>4500</v>
      </c>
    </row>
    <row r="5" spans="1:4">
      <c r="A5">
        <v>4</v>
      </c>
      <c r="B5" t="s">
        <v>67</v>
      </c>
      <c r="C5">
        <v>5000</v>
      </c>
      <c r="D5" t="s">
        <v>68</v>
      </c>
    </row>
    <row r="6" spans="1:4">
      <c r="A6">
        <v>5</v>
      </c>
      <c r="B6" t="s">
        <v>69</v>
      </c>
      <c r="C6">
        <v>4000</v>
      </c>
      <c r="D6" t="s">
        <v>70</v>
      </c>
    </row>
    <row r="7" spans="1:4">
      <c r="A7">
        <v>6</v>
      </c>
      <c r="B7" t="s">
        <v>71</v>
      </c>
      <c r="C7">
        <v>4500</v>
      </c>
      <c r="D7" t="s">
        <v>72</v>
      </c>
    </row>
    <row r="8" spans="1:4">
      <c r="A8">
        <v>7</v>
      </c>
      <c r="B8" t="s">
        <v>73</v>
      </c>
      <c r="C8">
        <v>4000</v>
      </c>
      <c r="D8" t="s">
        <v>70</v>
      </c>
    </row>
    <row r="9" spans="1:4">
      <c r="A9">
        <v>8</v>
      </c>
      <c r="B9" t="s">
        <v>74</v>
      </c>
      <c r="C9">
        <v>4000</v>
      </c>
    </row>
  </sheetData>
  <autoFilter ref="A1:D1" xr:uid="{00000000-0001-0000-0000-000000000000}">
    <sortState xmlns:xlrd2="http://schemas.microsoft.com/office/spreadsheetml/2017/richdata2" ref="A2:D9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802A-C728-434F-8D2F-79AE310F530B}">
  <dimension ref="A1:Z250"/>
  <sheetViews>
    <sheetView zoomScale="70" zoomScaleNormal="70" workbookViewId="0">
      <selection activeCell="A55" sqref="A55:Z55"/>
    </sheetView>
  </sheetViews>
  <sheetFormatPr defaultRowHeight="15"/>
  <cols>
    <col min="1" max="1" width="22" bestFit="1" customWidth="1"/>
    <col min="2" max="2" width="9.5703125" bestFit="1" customWidth="1"/>
    <col min="3" max="3" width="12.140625" bestFit="1" customWidth="1"/>
    <col min="4" max="4" width="12.140625" customWidth="1"/>
    <col min="5" max="5" width="10.140625" bestFit="1" customWidth="1"/>
    <col min="6" max="6" width="12.140625" bestFit="1" customWidth="1"/>
    <col min="7" max="7" width="14.140625" bestFit="1" customWidth="1"/>
    <col min="8" max="8" width="12" bestFit="1" customWidth="1"/>
    <col min="10" max="10" width="18.42578125" bestFit="1" customWidth="1"/>
    <col min="11" max="11" width="20.140625" bestFit="1" customWidth="1"/>
    <col min="12" max="13" width="17.7109375" bestFit="1" customWidth="1"/>
    <col min="14" max="14" width="17.7109375" customWidth="1"/>
    <col min="15" max="15" width="17.7109375" bestFit="1" customWidth="1"/>
    <col min="16" max="16" width="18" bestFit="1" customWidth="1"/>
    <col min="17" max="17" width="12.28515625" bestFit="1" customWidth="1"/>
    <col min="18" max="18" width="8.7109375" bestFit="1" customWidth="1"/>
    <col min="19" max="19" width="18.28515625" bestFit="1" customWidth="1"/>
    <col min="20" max="20" width="28.85546875" bestFit="1" customWidth="1"/>
    <col min="21" max="21" width="19.5703125" bestFit="1" customWidth="1"/>
    <col min="22" max="22" width="28.28515625" bestFit="1" customWidth="1"/>
  </cols>
  <sheetData>
    <row r="1" spans="1:26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6">
      <c r="A2" s="1" t="s">
        <v>37</v>
      </c>
      <c r="B2" t="s">
        <v>38</v>
      </c>
      <c r="C2" t="s">
        <v>39</v>
      </c>
      <c r="E2" t="s">
        <v>40</v>
      </c>
      <c r="F2" s="1" t="s">
        <v>41</v>
      </c>
      <c r="G2" t="s">
        <v>42</v>
      </c>
      <c r="H2" t="s">
        <v>43</v>
      </c>
      <c r="I2" t="s">
        <v>44</v>
      </c>
      <c r="J2" t="s">
        <v>3</v>
      </c>
      <c r="K2" t="s">
        <v>45</v>
      </c>
      <c r="L2" t="s">
        <v>46</v>
      </c>
      <c r="M2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t="s">
        <v>53</v>
      </c>
    </row>
    <row r="3" spans="1:26">
      <c r="A3" s="2" t="s">
        <v>63</v>
      </c>
      <c r="B3" t="s">
        <v>55</v>
      </c>
      <c r="C3">
        <v>21700</v>
      </c>
      <c r="E3">
        <v>2023</v>
      </c>
      <c r="F3" t="s">
        <v>56</v>
      </c>
      <c r="G3" t="s">
        <v>57</v>
      </c>
      <c r="H3">
        <v>4000</v>
      </c>
      <c r="I3">
        <v>60</v>
      </c>
      <c r="J3">
        <v>140</v>
      </c>
      <c r="K3">
        <v>3</v>
      </c>
      <c r="L3">
        <v>4.2</v>
      </c>
      <c r="M3">
        <v>2.5</v>
      </c>
      <c r="N3">
        <v>5021</v>
      </c>
      <c r="O3">
        <v>4973</v>
      </c>
      <c r="P3">
        <v>4812</v>
      </c>
      <c r="Q3">
        <v>70</v>
      </c>
      <c r="R3">
        <v>4.0000000000000001E-3</v>
      </c>
      <c r="S3">
        <v>5</v>
      </c>
    </row>
    <row r="5" spans="1:26">
      <c r="A5" s="1" t="s">
        <v>58</v>
      </c>
    </row>
    <row r="6" spans="1:26">
      <c r="A6" s="3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20</v>
      </c>
      <c r="X6" s="1" t="s">
        <v>22</v>
      </c>
      <c r="Y6" s="1" t="s">
        <v>23</v>
      </c>
    </row>
    <row r="7" spans="1:26">
      <c r="A7">
        <v>14</v>
      </c>
      <c r="B7">
        <v>4</v>
      </c>
      <c r="C7" s="9">
        <v>10</v>
      </c>
      <c r="D7">
        <f t="shared" ref="D7:D70" si="0">B7*$J$3</f>
        <v>560</v>
      </c>
      <c r="E7">
        <f t="shared" ref="E7:E70" si="1">B7*$I$3</f>
        <v>240</v>
      </c>
      <c r="F7">
        <f t="shared" ref="F7:F70" si="2">A7*B7*C7*$Q$3/1000</f>
        <v>39.200000000000003</v>
      </c>
      <c r="G7">
        <f t="shared" ref="G7:G70" si="3">((B7*$R$3^(-1))^(-1))*A7*C7</f>
        <v>0.14000000000000001</v>
      </c>
      <c r="H7">
        <f t="shared" ref="H7:H70" si="4">E7*I7/1000</f>
        <v>141.12</v>
      </c>
      <c r="I7">
        <f t="shared" ref="I7:I70" si="5">A7*C7*4.2</f>
        <v>588</v>
      </c>
      <c r="J7">
        <f t="shared" ref="J7:J70" si="6">C7*A7*$K$3</f>
        <v>420</v>
      </c>
      <c r="K7">
        <f t="shared" ref="K7:K70" si="7">E7*J7/1000</f>
        <v>100.8</v>
      </c>
      <c r="L7">
        <f t="shared" ref="L7:L70" si="8">$O$3/1000*I7*B7/1000</f>
        <v>11.696496</v>
      </c>
      <c r="M7">
        <f t="shared" ref="M7:M70" si="9">$P$3/1000*I7*B7/1000</f>
        <v>11.317824</v>
      </c>
      <c r="N7">
        <f t="shared" ref="N7:N70" si="10">L7*(($L$3-$K$3)/($L$3-$M$3))</f>
        <v>8.2563501176470595</v>
      </c>
      <c r="O7">
        <f t="shared" ref="O7:O70" si="11">$H$3/1000*B7*$I$7/277.8/C7</f>
        <v>3.386609071274298</v>
      </c>
      <c r="P7">
        <f t="shared" ref="P7:P70" si="12">I7/C7</f>
        <v>58.8</v>
      </c>
      <c r="Q7">
        <f t="shared" ref="Q7:Q70" si="13">(A7*B7*C7)</f>
        <v>560</v>
      </c>
      <c r="R7">
        <f t="shared" ref="R7:R70" si="14">J7-(G7*E7)</f>
        <v>386.4</v>
      </c>
      <c r="S7">
        <f t="shared" ref="S7:S70" si="15">G7*E7</f>
        <v>33.6</v>
      </c>
      <c r="T7">
        <f>I7*E7/'[1]Inverter Analysis'!$L$2</f>
        <v>338.16637078119811</v>
      </c>
      <c r="U7">
        <f t="shared" ref="U7:U70" si="16">80000/J7</f>
        <v>190.47619047619048</v>
      </c>
      <c r="V7">
        <f t="shared" ref="V7:V70" si="17">80000/R7</f>
        <v>207.03933747412009</v>
      </c>
      <c r="W7">
        <f>80000/I7</f>
        <v>136.05442176870747</v>
      </c>
      <c r="X7">
        <f>(MAX(U7:W7)^2)*$R$3/1000</f>
        <v>0.17146114904689033</v>
      </c>
      <c r="Y7">
        <f>($S$3*F7/(X7*1000))*10</f>
        <v>11.431161000000001</v>
      </c>
      <c r="Z7">
        <f>($Q$3*F7/(Y7*1000))*10</f>
        <v>2.4004560866564644</v>
      </c>
    </row>
    <row r="8" spans="1:26">
      <c r="A8" s="8">
        <v>15</v>
      </c>
      <c r="B8" s="9">
        <v>4</v>
      </c>
      <c r="C8" s="9">
        <v>9</v>
      </c>
      <c r="D8">
        <f t="shared" si="0"/>
        <v>560</v>
      </c>
      <c r="E8">
        <f t="shared" si="1"/>
        <v>240</v>
      </c>
      <c r="F8">
        <f t="shared" si="2"/>
        <v>37.799999999999997</v>
      </c>
      <c r="G8">
        <f t="shared" si="3"/>
        <v>0.13500000000000001</v>
      </c>
      <c r="H8">
        <f t="shared" si="4"/>
        <v>136.08000000000001</v>
      </c>
      <c r="I8">
        <f t="shared" si="5"/>
        <v>567</v>
      </c>
      <c r="J8">
        <f t="shared" si="6"/>
        <v>405</v>
      </c>
      <c r="K8">
        <f t="shared" si="7"/>
        <v>97.2</v>
      </c>
      <c r="L8">
        <f t="shared" si="8"/>
        <v>11.278763999999999</v>
      </c>
      <c r="M8">
        <f t="shared" si="9"/>
        <v>10.913615999999999</v>
      </c>
      <c r="N8">
        <f t="shared" si="10"/>
        <v>7.9614804705882349</v>
      </c>
      <c r="O8">
        <f t="shared" si="11"/>
        <v>3.7628989680825535</v>
      </c>
      <c r="P8">
        <f t="shared" si="12"/>
        <v>63</v>
      </c>
      <c r="Q8">
        <f t="shared" si="13"/>
        <v>540</v>
      </c>
      <c r="R8">
        <f t="shared" si="14"/>
        <v>372.6</v>
      </c>
      <c r="S8">
        <f t="shared" si="15"/>
        <v>32.400000000000006</v>
      </c>
      <c r="T8">
        <f>I8*E8/'[1]Inverter Analysis'!$L$2</f>
        <v>326.08900039615531</v>
      </c>
      <c r="U8">
        <f t="shared" si="16"/>
        <v>197.53086419753086</v>
      </c>
      <c r="V8">
        <f t="shared" si="17"/>
        <v>214.70746108427267</v>
      </c>
      <c r="W8">
        <f t="shared" ref="W8:W71" si="18">80000/I8</f>
        <v>141.09347442680777</v>
      </c>
      <c r="X8">
        <f t="shared" ref="X8:X11" si="19">(MAX(U8:W8)^2)*$R$3/1000</f>
        <v>0.18439717538101785</v>
      </c>
      <c r="Y8">
        <f t="shared" ref="Y8:Y11" si="20">($S$3*F8/(X8*1000))*10</f>
        <v>10.249614703125001</v>
      </c>
      <c r="Z8">
        <f t="shared" ref="Z8:Z11" si="21">($Q$3*F8/(Y8*1000))*10</f>
        <v>2.5815604553342504</v>
      </c>
    </row>
    <row r="9" spans="1:26">
      <c r="A9">
        <v>11</v>
      </c>
      <c r="B9">
        <v>4</v>
      </c>
      <c r="C9">
        <v>12</v>
      </c>
      <c r="D9">
        <f t="shared" si="0"/>
        <v>560</v>
      </c>
      <c r="E9">
        <f t="shared" si="1"/>
        <v>240</v>
      </c>
      <c r="F9">
        <f t="shared" si="2"/>
        <v>36.96</v>
      </c>
      <c r="G9">
        <f t="shared" si="3"/>
        <v>0.13200000000000001</v>
      </c>
      <c r="H9">
        <f t="shared" si="4"/>
        <v>133.05600000000001</v>
      </c>
      <c r="I9">
        <f t="shared" si="5"/>
        <v>554.4</v>
      </c>
      <c r="J9">
        <f t="shared" si="6"/>
        <v>396</v>
      </c>
      <c r="K9">
        <f t="shared" si="7"/>
        <v>95.04</v>
      </c>
      <c r="L9">
        <f t="shared" si="8"/>
        <v>11.028124799999999</v>
      </c>
      <c r="M9">
        <f t="shared" si="9"/>
        <v>10.671091200000001</v>
      </c>
      <c r="N9">
        <f t="shared" si="10"/>
        <v>7.7845586823529409</v>
      </c>
      <c r="O9">
        <f t="shared" si="11"/>
        <v>2.8221742260619149</v>
      </c>
      <c r="P9">
        <f t="shared" si="12"/>
        <v>46.199999999999996</v>
      </c>
      <c r="Q9">
        <f t="shared" si="13"/>
        <v>528</v>
      </c>
      <c r="R9">
        <f t="shared" si="14"/>
        <v>364.32</v>
      </c>
      <c r="S9">
        <f t="shared" si="15"/>
        <v>31.68</v>
      </c>
      <c r="T9">
        <f>I9*E9/'[1]Inverter Analysis'!$L$2</f>
        <v>318.84257816512962</v>
      </c>
      <c r="U9">
        <f t="shared" si="16"/>
        <v>202.02020202020202</v>
      </c>
      <c r="V9">
        <f t="shared" si="17"/>
        <v>219.58717610891523</v>
      </c>
      <c r="W9">
        <f t="shared" si="18"/>
        <v>144.3001443001443</v>
      </c>
      <c r="X9">
        <f t="shared" si="19"/>
        <v>0.192874111645951</v>
      </c>
      <c r="Y9">
        <f t="shared" si="20"/>
        <v>9.5813791920000018</v>
      </c>
      <c r="Z9">
        <f t="shared" si="21"/>
        <v>2.7002375630433137</v>
      </c>
    </row>
    <row r="10" spans="1:26">
      <c r="A10">
        <v>12</v>
      </c>
      <c r="B10">
        <v>4</v>
      </c>
      <c r="C10" s="9">
        <v>11</v>
      </c>
      <c r="D10">
        <f t="shared" si="0"/>
        <v>560</v>
      </c>
      <c r="E10">
        <f t="shared" si="1"/>
        <v>240</v>
      </c>
      <c r="F10">
        <f t="shared" si="2"/>
        <v>36.96</v>
      </c>
      <c r="G10">
        <f t="shared" si="3"/>
        <v>0.13200000000000001</v>
      </c>
      <c r="H10">
        <f t="shared" si="4"/>
        <v>133.05600000000001</v>
      </c>
      <c r="I10">
        <f t="shared" si="5"/>
        <v>554.4</v>
      </c>
      <c r="J10">
        <f t="shared" si="6"/>
        <v>396</v>
      </c>
      <c r="K10">
        <f t="shared" si="7"/>
        <v>95.04</v>
      </c>
      <c r="L10">
        <f t="shared" si="8"/>
        <v>11.028124799999999</v>
      </c>
      <c r="M10">
        <f t="shared" si="9"/>
        <v>10.671091200000001</v>
      </c>
      <c r="N10">
        <f t="shared" si="10"/>
        <v>7.7845586823529409</v>
      </c>
      <c r="O10">
        <f t="shared" si="11"/>
        <v>3.0787355193402708</v>
      </c>
      <c r="P10">
        <f t="shared" si="12"/>
        <v>50.4</v>
      </c>
      <c r="Q10">
        <f t="shared" si="13"/>
        <v>528</v>
      </c>
      <c r="R10">
        <f t="shared" si="14"/>
        <v>364.32</v>
      </c>
      <c r="S10">
        <f t="shared" si="15"/>
        <v>31.68</v>
      </c>
      <c r="T10">
        <f>I10*E10/'[1]Inverter Analysis'!$L$2</f>
        <v>318.84257816512962</v>
      </c>
      <c r="U10">
        <f t="shared" si="16"/>
        <v>202.02020202020202</v>
      </c>
      <c r="V10">
        <f t="shared" si="17"/>
        <v>219.58717610891523</v>
      </c>
      <c r="W10">
        <f t="shared" si="18"/>
        <v>144.3001443001443</v>
      </c>
      <c r="X10">
        <f t="shared" si="19"/>
        <v>0.192874111645951</v>
      </c>
      <c r="Y10">
        <f t="shared" si="20"/>
        <v>9.5813791920000018</v>
      </c>
      <c r="Z10">
        <f t="shared" si="21"/>
        <v>2.7002375630433137</v>
      </c>
    </row>
    <row r="11" spans="1:26">
      <c r="A11">
        <v>13</v>
      </c>
      <c r="B11">
        <v>4</v>
      </c>
      <c r="C11" s="9">
        <v>10</v>
      </c>
      <c r="D11">
        <f t="shared" si="0"/>
        <v>560</v>
      </c>
      <c r="E11">
        <f t="shared" si="1"/>
        <v>240</v>
      </c>
      <c r="F11">
        <f t="shared" si="2"/>
        <v>36.4</v>
      </c>
      <c r="G11">
        <f t="shared" si="3"/>
        <v>0.13</v>
      </c>
      <c r="H11">
        <f t="shared" si="4"/>
        <v>131.04</v>
      </c>
      <c r="I11">
        <f t="shared" si="5"/>
        <v>546</v>
      </c>
      <c r="J11">
        <f t="shared" si="6"/>
        <v>390</v>
      </c>
      <c r="K11">
        <f t="shared" si="7"/>
        <v>93.6</v>
      </c>
      <c r="L11">
        <f t="shared" si="8"/>
        <v>10.861032</v>
      </c>
      <c r="M11">
        <f t="shared" si="9"/>
        <v>10.509408000000001</v>
      </c>
      <c r="N11">
        <f t="shared" si="10"/>
        <v>7.6666108235294121</v>
      </c>
      <c r="O11">
        <f t="shared" si="11"/>
        <v>3.386609071274298</v>
      </c>
      <c r="P11">
        <f t="shared" si="12"/>
        <v>54.6</v>
      </c>
      <c r="Q11">
        <f t="shared" si="13"/>
        <v>520</v>
      </c>
      <c r="R11">
        <f t="shared" si="14"/>
        <v>358.8</v>
      </c>
      <c r="S11">
        <f t="shared" si="15"/>
        <v>31.200000000000003</v>
      </c>
      <c r="T11">
        <f>I11*E11/'[1]Inverter Analysis'!$L$2</f>
        <v>314.01163001111252</v>
      </c>
      <c r="U11">
        <f t="shared" si="16"/>
        <v>205.12820512820514</v>
      </c>
      <c r="V11">
        <f t="shared" si="17"/>
        <v>222.96544035674469</v>
      </c>
      <c r="W11">
        <f t="shared" si="18"/>
        <v>146.52014652014651</v>
      </c>
      <c r="X11">
        <f t="shared" si="19"/>
        <v>0.19885435037390828</v>
      </c>
      <c r="Y11">
        <f t="shared" si="20"/>
        <v>9.152427375000002</v>
      </c>
      <c r="Z11">
        <f t="shared" si="21"/>
        <v>2.7839609052347161</v>
      </c>
    </row>
    <row r="12" spans="1:26">
      <c r="A12" s="8">
        <v>16</v>
      </c>
      <c r="B12" s="9">
        <v>4</v>
      </c>
      <c r="C12" s="9">
        <v>8</v>
      </c>
      <c r="D12">
        <f t="shared" si="0"/>
        <v>560</v>
      </c>
      <c r="E12">
        <f t="shared" si="1"/>
        <v>240</v>
      </c>
      <c r="F12">
        <f t="shared" si="2"/>
        <v>35.840000000000003</v>
      </c>
      <c r="G12">
        <f t="shared" si="3"/>
        <v>0.128</v>
      </c>
      <c r="H12">
        <f t="shared" si="4"/>
        <v>129.024</v>
      </c>
      <c r="I12">
        <f t="shared" si="5"/>
        <v>537.6</v>
      </c>
      <c r="J12">
        <f t="shared" si="6"/>
        <v>384</v>
      </c>
      <c r="K12">
        <f t="shared" si="7"/>
        <v>92.16</v>
      </c>
      <c r="L12">
        <f t="shared" si="8"/>
        <v>10.693939200000001</v>
      </c>
      <c r="M12">
        <f t="shared" si="9"/>
        <v>10.347724800000002</v>
      </c>
      <c r="N12">
        <f t="shared" si="10"/>
        <v>7.5486629647058834</v>
      </c>
      <c r="O12">
        <f t="shared" si="11"/>
        <v>4.2332613390928726</v>
      </c>
      <c r="P12">
        <f t="shared" si="12"/>
        <v>67.2</v>
      </c>
      <c r="Q12">
        <f t="shared" si="13"/>
        <v>512</v>
      </c>
      <c r="R12">
        <f t="shared" si="14"/>
        <v>353.28</v>
      </c>
      <c r="S12">
        <f t="shared" si="15"/>
        <v>30.72</v>
      </c>
      <c r="T12">
        <f>I12*E12/'[1]Inverter Analysis'!$L$2</f>
        <v>309.18068185709541</v>
      </c>
      <c r="U12">
        <f t="shared" si="16"/>
        <v>208.33333333333334</v>
      </c>
      <c r="V12">
        <f t="shared" si="17"/>
        <v>226.44927536231887</v>
      </c>
      <c r="W12">
        <f t="shared" si="18"/>
        <v>148.8095238095238</v>
      </c>
      <c r="X12">
        <f t="shared" ref="X12:X75" si="22">(MAX(U12:W12)^2)*$R$3/1000</f>
        <v>0.20511709724847729</v>
      </c>
      <c r="Y12">
        <f t="shared" ref="Y12:Y75" si="23">($S$3*F12/(X12*1000))*10</f>
        <v>8.7364730879999968</v>
      </c>
      <c r="Z12">
        <f t="shared" ref="Z12:Z75" si="24">($Q$3*F12/(Y12*1000))*10</f>
        <v>2.8716393614786822</v>
      </c>
    </row>
    <row r="13" spans="1:26">
      <c r="A13">
        <v>14</v>
      </c>
      <c r="B13">
        <v>4</v>
      </c>
      <c r="C13" s="9">
        <v>9</v>
      </c>
      <c r="D13">
        <f t="shared" si="0"/>
        <v>560</v>
      </c>
      <c r="E13">
        <f t="shared" si="1"/>
        <v>240</v>
      </c>
      <c r="F13">
        <f t="shared" si="2"/>
        <v>35.28</v>
      </c>
      <c r="G13">
        <f t="shared" si="3"/>
        <v>0.126</v>
      </c>
      <c r="H13">
        <f t="shared" si="4"/>
        <v>127.00800000000001</v>
      </c>
      <c r="I13">
        <f t="shared" si="5"/>
        <v>529.20000000000005</v>
      </c>
      <c r="J13">
        <f t="shared" si="6"/>
        <v>378</v>
      </c>
      <c r="K13">
        <f t="shared" si="7"/>
        <v>90.72</v>
      </c>
      <c r="L13">
        <f t="shared" si="8"/>
        <v>10.5268464</v>
      </c>
      <c r="M13">
        <f t="shared" si="9"/>
        <v>10.186041600000003</v>
      </c>
      <c r="N13">
        <f t="shared" si="10"/>
        <v>7.4307151058823537</v>
      </c>
      <c r="O13">
        <f t="shared" si="11"/>
        <v>3.7628989680825535</v>
      </c>
      <c r="P13">
        <f t="shared" si="12"/>
        <v>58.800000000000004</v>
      </c>
      <c r="Q13">
        <f t="shared" si="13"/>
        <v>504</v>
      </c>
      <c r="R13">
        <f t="shared" si="14"/>
        <v>347.76</v>
      </c>
      <c r="S13">
        <f t="shared" si="15"/>
        <v>30.240000000000002</v>
      </c>
      <c r="T13">
        <f>I13*E13/'[1]Inverter Analysis'!$L$2</f>
        <v>304.3497337030783</v>
      </c>
      <c r="U13">
        <f t="shared" si="16"/>
        <v>211.64021164021165</v>
      </c>
      <c r="V13">
        <f t="shared" si="17"/>
        <v>230.04370830457788</v>
      </c>
      <c r="W13">
        <f t="shared" si="18"/>
        <v>151.17157974300829</v>
      </c>
      <c r="X13">
        <f t="shared" si="22"/>
        <v>0.21168043092208685</v>
      </c>
      <c r="Y13">
        <f t="shared" si="23"/>
        <v>8.3333163690000003</v>
      </c>
      <c r="Z13">
        <f t="shared" si="24"/>
        <v>2.9635260329092157</v>
      </c>
    </row>
    <row r="14" spans="1:26">
      <c r="A14">
        <v>11</v>
      </c>
      <c r="B14">
        <v>4</v>
      </c>
      <c r="C14" s="9">
        <v>11</v>
      </c>
      <c r="D14">
        <f t="shared" si="0"/>
        <v>560</v>
      </c>
      <c r="E14">
        <f t="shared" si="1"/>
        <v>240</v>
      </c>
      <c r="F14">
        <f t="shared" si="2"/>
        <v>33.880000000000003</v>
      </c>
      <c r="G14">
        <f t="shared" si="3"/>
        <v>0.121</v>
      </c>
      <c r="H14">
        <f t="shared" si="4"/>
        <v>121.96800000000002</v>
      </c>
      <c r="I14">
        <f t="shared" si="5"/>
        <v>508.20000000000005</v>
      </c>
      <c r="J14">
        <f t="shared" si="6"/>
        <v>363</v>
      </c>
      <c r="K14">
        <f t="shared" si="7"/>
        <v>87.12</v>
      </c>
      <c r="L14">
        <f t="shared" si="8"/>
        <v>10.109114400000001</v>
      </c>
      <c r="M14">
        <f t="shared" si="9"/>
        <v>9.7818336000000023</v>
      </c>
      <c r="N14">
        <f t="shared" si="10"/>
        <v>7.1358454588235309</v>
      </c>
      <c r="O14">
        <f t="shared" si="11"/>
        <v>3.0787355193402708</v>
      </c>
      <c r="P14">
        <f t="shared" si="12"/>
        <v>46.2</v>
      </c>
      <c r="Q14">
        <f t="shared" si="13"/>
        <v>484</v>
      </c>
      <c r="R14">
        <f t="shared" si="14"/>
        <v>333.96</v>
      </c>
      <c r="S14">
        <f t="shared" si="15"/>
        <v>29.04</v>
      </c>
      <c r="T14">
        <f>I14*E14/'[1]Inverter Analysis'!$L$2</f>
        <v>292.2723633180355</v>
      </c>
      <c r="U14">
        <f t="shared" si="16"/>
        <v>220.38567493112947</v>
      </c>
      <c r="V14">
        <f t="shared" si="17"/>
        <v>239.54964666427119</v>
      </c>
      <c r="W14">
        <f t="shared" si="18"/>
        <v>157.41833923652104</v>
      </c>
      <c r="X14">
        <f t="shared" si="22"/>
        <v>0.22953613286790869</v>
      </c>
      <c r="Y14">
        <f t="shared" si="23"/>
        <v>7.3801016808749988</v>
      </c>
      <c r="Z14">
        <f t="shared" si="24"/>
        <v>3.2135058601507223</v>
      </c>
    </row>
    <row r="15" spans="1:26">
      <c r="A15">
        <v>10</v>
      </c>
      <c r="B15">
        <v>4</v>
      </c>
      <c r="C15">
        <v>12</v>
      </c>
      <c r="D15">
        <f t="shared" si="0"/>
        <v>560</v>
      </c>
      <c r="E15">
        <f t="shared" si="1"/>
        <v>240</v>
      </c>
      <c r="F15">
        <f t="shared" si="2"/>
        <v>33.6</v>
      </c>
      <c r="G15">
        <f t="shared" si="3"/>
        <v>0.12</v>
      </c>
      <c r="H15">
        <f t="shared" si="4"/>
        <v>120.96</v>
      </c>
      <c r="I15">
        <f t="shared" si="5"/>
        <v>504</v>
      </c>
      <c r="J15">
        <f t="shared" si="6"/>
        <v>360</v>
      </c>
      <c r="K15">
        <f t="shared" si="7"/>
        <v>86.4</v>
      </c>
      <c r="L15">
        <f t="shared" si="8"/>
        <v>10.025568</v>
      </c>
      <c r="M15">
        <f t="shared" si="9"/>
        <v>9.7009919999999994</v>
      </c>
      <c r="N15">
        <f t="shared" si="10"/>
        <v>7.0768715294117648</v>
      </c>
      <c r="O15">
        <f t="shared" si="11"/>
        <v>2.8221742260619149</v>
      </c>
      <c r="P15">
        <f t="shared" si="12"/>
        <v>42</v>
      </c>
      <c r="Q15">
        <f t="shared" si="13"/>
        <v>480</v>
      </c>
      <c r="R15">
        <f t="shared" si="14"/>
        <v>331.2</v>
      </c>
      <c r="S15">
        <f t="shared" si="15"/>
        <v>28.799999999999997</v>
      </c>
      <c r="T15">
        <f>I15*E15/'[1]Inverter Analysis'!$L$2</f>
        <v>289.85688924102692</v>
      </c>
      <c r="U15">
        <f t="shared" si="16"/>
        <v>222.22222222222223</v>
      </c>
      <c r="V15">
        <f t="shared" si="17"/>
        <v>241.54589371980677</v>
      </c>
      <c r="W15">
        <f t="shared" si="18"/>
        <v>158.73015873015873</v>
      </c>
      <c r="X15">
        <f t="shared" si="22"/>
        <v>0.23337767509160073</v>
      </c>
      <c r="Y15">
        <f t="shared" si="23"/>
        <v>7.1986319999999999</v>
      </c>
      <c r="Z15">
        <f t="shared" si="24"/>
        <v>3.2672874512824106</v>
      </c>
    </row>
    <row r="16" spans="1:26">
      <c r="A16">
        <v>12</v>
      </c>
      <c r="B16">
        <v>4</v>
      </c>
      <c r="C16" s="9">
        <v>10</v>
      </c>
      <c r="D16">
        <f t="shared" si="0"/>
        <v>560</v>
      </c>
      <c r="E16">
        <f t="shared" si="1"/>
        <v>240</v>
      </c>
      <c r="F16">
        <f t="shared" si="2"/>
        <v>33.6</v>
      </c>
      <c r="G16">
        <f t="shared" si="3"/>
        <v>0.12</v>
      </c>
      <c r="H16">
        <f t="shared" si="4"/>
        <v>120.96</v>
      </c>
      <c r="I16">
        <f t="shared" si="5"/>
        <v>504</v>
      </c>
      <c r="J16">
        <f t="shared" si="6"/>
        <v>360</v>
      </c>
      <c r="K16">
        <f t="shared" si="7"/>
        <v>86.4</v>
      </c>
      <c r="L16">
        <f t="shared" si="8"/>
        <v>10.025568</v>
      </c>
      <c r="M16">
        <f t="shared" si="9"/>
        <v>9.7009919999999994</v>
      </c>
      <c r="N16">
        <f t="shared" si="10"/>
        <v>7.0768715294117648</v>
      </c>
      <c r="O16">
        <f t="shared" si="11"/>
        <v>3.386609071274298</v>
      </c>
      <c r="P16">
        <f t="shared" si="12"/>
        <v>50.4</v>
      </c>
      <c r="Q16">
        <f t="shared" si="13"/>
        <v>480</v>
      </c>
      <c r="R16">
        <f t="shared" si="14"/>
        <v>331.2</v>
      </c>
      <c r="S16">
        <f t="shared" si="15"/>
        <v>28.799999999999997</v>
      </c>
      <c r="T16">
        <f>I16*E16/'[1]Inverter Analysis'!$L$2</f>
        <v>289.85688924102692</v>
      </c>
      <c r="U16">
        <f t="shared" si="16"/>
        <v>222.22222222222223</v>
      </c>
      <c r="V16">
        <f t="shared" si="17"/>
        <v>241.54589371980677</v>
      </c>
      <c r="W16">
        <f t="shared" si="18"/>
        <v>158.73015873015873</v>
      </c>
      <c r="X16">
        <f t="shared" si="22"/>
        <v>0.23337767509160073</v>
      </c>
      <c r="Y16">
        <f t="shared" si="23"/>
        <v>7.1986319999999999</v>
      </c>
      <c r="Z16">
        <f t="shared" si="24"/>
        <v>3.2672874512824106</v>
      </c>
    </row>
    <row r="17" spans="1:26">
      <c r="A17" s="8">
        <v>15</v>
      </c>
      <c r="B17" s="9">
        <v>4</v>
      </c>
      <c r="C17" s="9">
        <v>8</v>
      </c>
      <c r="D17">
        <f t="shared" si="0"/>
        <v>560</v>
      </c>
      <c r="E17">
        <f t="shared" si="1"/>
        <v>240</v>
      </c>
      <c r="F17">
        <f t="shared" si="2"/>
        <v>33.6</v>
      </c>
      <c r="G17">
        <f t="shared" si="3"/>
        <v>0.12</v>
      </c>
      <c r="H17">
        <f t="shared" si="4"/>
        <v>120.96</v>
      </c>
      <c r="I17">
        <f t="shared" si="5"/>
        <v>504</v>
      </c>
      <c r="J17">
        <f t="shared" si="6"/>
        <v>360</v>
      </c>
      <c r="K17">
        <f t="shared" si="7"/>
        <v>86.4</v>
      </c>
      <c r="L17">
        <f t="shared" si="8"/>
        <v>10.025568</v>
      </c>
      <c r="M17">
        <f t="shared" si="9"/>
        <v>9.7009919999999994</v>
      </c>
      <c r="N17">
        <f t="shared" si="10"/>
        <v>7.0768715294117648</v>
      </c>
      <c r="O17">
        <f t="shared" si="11"/>
        <v>4.2332613390928726</v>
      </c>
      <c r="P17">
        <f t="shared" si="12"/>
        <v>63</v>
      </c>
      <c r="Q17">
        <f t="shared" si="13"/>
        <v>480</v>
      </c>
      <c r="R17">
        <f t="shared" si="14"/>
        <v>331.2</v>
      </c>
      <c r="S17">
        <f t="shared" si="15"/>
        <v>28.799999999999997</v>
      </c>
      <c r="T17">
        <f>I17*E17/'[1]Inverter Analysis'!$L$2</f>
        <v>289.85688924102692</v>
      </c>
      <c r="U17">
        <f t="shared" si="16"/>
        <v>222.22222222222223</v>
      </c>
      <c r="V17">
        <f t="shared" si="17"/>
        <v>241.54589371980677</v>
      </c>
      <c r="W17">
        <f t="shared" si="18"/>
        <v>158.73015873015873</v>
      </c>
      <c r="X17">
        <f t="shared" si="22"/>
        <v>0.23337767509160073</v>
      </c>
      <c r="Y17">
        <f t="shared" si="23"/>
        <v>7.1986319999999999</v>
      </c>
      <c r="Z17">
        <f t="shared" si="24"/>
        <v>3.2672874512824106</v>
      </c>
    </row>
    <row r="18" spans="1:26">
      <c r="A18">
        <v>13</v>
      </c>
      <c r="B18">
        <v>4</v>
      </c>
      <c r="C18" s="9">
        <v>9</v>
      </c>
      <c r="D18">
        <f t="shared" si="0"/>
        <v>560</v>
      </c>
      <c r="E18">
        <f t="shared" si="1"/>
        <v>240</v>
      </c>
      <c r="F18">
        <f t="shared" si="2"/>
        <v>32.76</v>
      </c>
      <c r="G18">
        <f t="shared" si="3"/>
        <v>0.11700000000000001</v>
      </c>
      <c r="H18">
        <f t="shared" si="4"/>
        <v>117.93600000000002</v>
      </c>
      <c r="I18">
        <f t="shared" si="5"/>
        <v>491.40000000000003</v>
      </c>
      <c r="J18">
        <f t="shared" si="6"/>
        <v>351</v>
      </c>
      <c r="K18">
        <f t="shared" si="7"/>
        <v>84.24</v>
      </c>
      <c r="L18">
        <f t="shared" si="8"/>
        <v>9.7749287999999996</v>
      </c>
      <c r="M18">
        <f t="shared" si="9"/>
        <v>9.4584672000000012</v>
      </c>
      <c r="N18">
        <f t="shared" si="10"/>
        <v>6.8999497411764708</v>
      </c>
      <c r="O18">
        <f t="shared" si="11"/>
        <v>3.7628989680825535</v>
      </c>
      <c r="P18">
        <f t="shared" si="12"/>
        <v>54.6</v>
      </c>
      <c r="Q18">
        <f t="shared" si="13"/>
        <v>468</v>
      </c>
      <c r="R18">
        <f t="shared" si="14"/>
        <v>322.92</v>
      </c>
      <c r="S18">
        <f t="shared" si="15"/>
        <v>28.080000000000002</v>
      </c>
      <c r="T18">
        <f>I18*E18/'[1]Inverter Analysis'!$L$2</f>
        <v>282.61046701000129</v>
      </c>
      <c r="U18">
        <f t="shared" si="16"/>
        <v>227.92022792022792</v>
      </c>
      <c r="V18">
        <f t="shared" si="17"/>
        <v>247.73937817416078</v>
      </c>
      <c r="W18">
        <f t="shared" si="18"/>
        <v>162.80016280016278</v>
      </c>
      <c r="X18">
        <f t="shared" si="22"/>
        <v>0.24549919799247941</v>
      </c>
      <c r="Y18">
        <f t="shared" si="23"/>
        <v>6.6721195563749998</v>
      </c>
      <c r="Z18">
        <f t="shared" si="24"/>
        <v>3.4369887718947116</v>
      </c>
    </row>
    <row r="19" spans="1:26">
      <c r="A19">
        <v>14</v>
      </c>
      <c r="B19">
        <v>4</v>
      </c>
      <c r="C19" s="9">
        <v>8</v>
      </c>
      <c r="D19">
        <f t="shared" si="0"/>
        <v>560</v>
      </c>
      <c r="E19">
        <f t="shared" si="1"/>
        <v>240</v>
      </c>
      <c r="F19">
        <f t="shared" si="2"/>
        <v>31.36</v>
      </c>
      <c r="G19">
        <f t="shared" si="3"/>
        <v>0.112</v>
      </c>
      <c r="H19">
        <f t="shared" si="4"/>
        <v>112.89600000000002</v>
      </c>
      <c r="I19">
        <f t="shared" si="5"/>
        <v>470.40000000000003</v>
      </c>
      <c r="J19">
        <f t="shared" si="6"/>
        <v>336</v>
      </c>
      <c r="K19">
        <f t="shared" si="7"/>
        <v>80.64</v>
      </c>
      <c r="L19">
        <f t="shared" si="8"/>
        <v>9.3571968000000005</v>
      </c>
      <c r="M19">
        <f t="shared" si="9"/>
        <v>9.0542592000000006</v>
      </c>
      <c r="N19">
        <f t="shared" si="10"/>
        <v>6.605080094117648</v>
      </c>
      <c r="O19">
        <f t="shared" si="11"/>
        <v>4.2332613390928726</v>
      </c>
      <c r="P19">
        <f t="shared" si="12"/>
        <v>58.800000000000004</v>
      </c>
      <c r="Q19">
        <f t="shared" si="13"/>
        <v>448</v>
      </c>
      <c r="R19">
        <f t="shared" si="14"/>
        <v>309.12</v>
      </c>
      <c r="S19">
        <f t="shared" si="15"/>
        <v>26.88</v>
      </c>
      <c r="T19">
        <f>I19*E19/'[1]Inverter Analysis'!$L$2</f>
        <v>270.53309662495849</v>
      </c>
      <c r="U19">
        <f t="shared" si="16"/>
        <v>238.0952380952381</v>
      </c>
      <c r="V19">
        <f t="shared" si="17"/>
        <v>258.79917184265008</v>
      </c>
      <c r="W19">
        <f t="shared" si="18"/>
        <v>170.06802721088434</v>
      </c>
      <c r="X19">
        <f t="shared" si="22"/>
        <v>0.26790804538576612</v>
      </c>
      <c r="Y19">
        <f t="shared" si="23"/>
        <v>5.8527544320000011</v>
      </c>
      <c r="Z19">
        <f t="shared" si="24"/>
        <v>3.750712635400725</v>
      </c>
    </row>
    <row r="20" spans="1:26">
      <c r="A20" s="8">
        <v>16</v>
      </c>
      <c r="B20" s="9">
        <v>4</v>
      </c>
      <c r="C20" s="9">
        <v>7</v>
      </c>
      <c r="D20">
        <f t="shared" si="0"/>
        <v>560</v>
      </c>
      <c r="E20">
        <f t="shared" si="1"/>
        <v>240</v>
      </c>
      <c r="F20">
        <f t="shared" si="2"/>
        <v>31.36</v>
      </c>
      <c r="G20">
        <f t="shared" si="3"/>
        <v>0.112</v>
      </c>
      <c r="H20">
        <f t="shared" si="4"/>
        <v>112.89600000000002</v>
      </c>
      <c r="I20">
        <f t="shared" si="5"/>
        <v>470.40000000000003</v>
      </c>
      <c r="J20">
        <f t="shared" si="6"/>
        <v>336</v>
      </c>
      <c r="K20">
        <f t="shared" si="7"/>
        <v>80.64</v>
      </c>
      <c r="L20">
        <f t="shared" si="8"/>
        <v>9.3571968000000005</v>
      </c>
      <c r="M20">
        <f t="shared" si="9"/>
        <v>9.0542592000000006</v>
      </c>
      <c r="N20">
        <f t="shared" si="10"/>
        <v>6.605080094117648</v>
      </c>
      <c r="O20">
        <f t="shared" si="11"/>
        <v>4.838012958963283</v>
      </c>
      <c r="P20">
        <f t="shared" si="12"/>
        <v>67.2</v>
      </c>
      <c r="Q20">
        <f t="shared" si="13"/>
        <v>448</v>
      </c>
      <c r="R20">
        <f t="shared" si="14"/>
        <v>309.12</v>
      </c>
      <c r="S20">
        <f t="shared" si="15"/>
        <v>26.88</v>
      </c>
      <c r="T20">
        <f>I20*E20/'[1]Inverter Analysis'!$L$2</f>
        <v>270.53309662495849</v>
      </c>
      <c r="U20">
        <f t="shared" si="16"/>
        <v>238.0952380952381</v>
      </c>
      <c r="V20">
        <f t="shared" si="17"/>
        <v>258.79917184265008</v>
      </c>
      <c r="W20">
        <f t="shared" si="18"/>
        <v>170.06802721088434</v>
      </c>
      <c r="X20">
        <f t="shared" si="22"/>
        <v>0.26790804538576612</v>
      </c>
      <c r="Y20">
        <f t="shared" si="23"/>
        <v>5.8527544320000011</v>
      </c>
      <c r="Z20">
        <f t="shared" si="24"/>
        <v>3.750712635400725</v>
      </c>
    </row>
    <row r="21" spans="1:26">
      <c r="A21">
        <v>10</v>
      </c>
      <c r="B21">
        <v>4</v>
      </c>
      <c r="C21" s="9">
        <v>11</v>
      </c>
      <c r="D21">
        <f t="shared" si="0"/>
        <v>560</v>
      </c>
      <c r="E21">
        <f t="shared" si="1"/>
        <v>240</v>
      </c>
      <c r="F21">
        <f t="shared" si="2"/>
        <v>30.8</v>
      </c>
      <c r="G21">
        <f t="shared" si="3"/>
        <v>0.11</v>
      </c>
      <c r="H21">
        <f t="shared" si="4"/>
        <v>110.88</v>
      </c>
      <c r="I21">
        <f t="shared" si="5"/>
        <v>462</v>
      </c>
      <c r="J21">
        <f t="shared" si="6"/>
        <v>330</v>
      </c>
      <c r="K21">
        <f t="shared" si="7"/>
        <v>79.2</v>
      </c>
      <c r="L21">
        <f t="shared" si="8"/>
        <v>9.1901039999999998</v>
      </c>
      <c r="M21">
        <f t="shared" si="9"/>
        <v>8.8925760000000018</v>
      </c>
      <c r="N21">
        <f t="shared" si="10"/>
        <v>6.4871322352941183</v>
      </c>
      <c r="O21">
        <f t="shared" si="11"/>
        <v>3.0787355193402708</v>
      </c>
      <c r="P21">
        <f t="shared" si="12"/>
        <v>42</v>
      </c>
      <c r="Q21">
        <f t="shared" si="13"/>
        <v>440</v>
      </c>
      <c r="R21">
        <f t="shared" si="14"/>
        <v>303.60000000000002</v>
      </c>
      <c r="S21">
        <f t="shared" si="15"/>
        <v>26.4</v>
      </c>
      <c r="T21">
        <f>I21*E21/'[1]Inverter Analysis'!$L$2</f>
        <v>265.70214847094138</v>
      </c>
      <c r="U21">
        <f t="shared" si="16"/>
        <v>242.42424242424244</v>
      </c>
      <c r="V21">
        <f t="shared" si="17"/>
        <v>263.50461133069825</v>
      </c>
      <c r="W21">
        <f t="shared" si="18"/>
        <v>173.16017316017317</v>
      </c>
      <c r="X21">
        <f t="shared" si="22"/>
        <v>0.27773872077016937</v>
      </c>
      <c r="Y21">
        <f t="shared" si="23"/>
        <v>5.5447796250000012</v>
      </c>
      <c r="Z21">
        <f t="shared" si="24"/>
        <v>3.8883420907823716</v>
      </c>
    </row>
    <row r="22" spans="1:26">
      <c r="A22">
        <v>11</v>
      </c>
      <c r="B22">
        <v>4</v>
      </c>
      <c r="C22" s="9">
        <v>10</v>
      </c>
      <c r="D22">
        <f t="shared" si="0"/>
        <v>560</v>
      </c>
      <c r="E22">
        <f t="shared" si="1"/>
        <v>240</v>
      </c>
      <c r="F22">
        <f t="shared" si="2"/>
        <v>30.8</v>
      </c>
      <c r="G22">
        <f t="shared" si="3"/>
        <v>0.10999999999999999</v>
      </c>
      <c r="H22">
        <f t="shared" si="4"/>
        <v>110.88</v>
      </c>
      <c r="I22">
        <f t="shared" si="5"/>
        <v>462</v>
      </c>
      <c r="J22">
        <f t="shared" si="6"/>
        <v>330</v>
      </c>
      <c r="K22">
        <f t="shared" si="7"/>
        <v>79.2</v>
      </c>
      <c r="L22">
        <f t="shared" si="8"/>
        <v>9.1901039999999998</v>
      </c>
      <c r="M22">
        <f t="shared" si="9"/>
        <v>8.8925760000000018</v>
      </c>
      <c r="N22">
        <f t="shared" si="10"/>
        <v>6.4871322352941183</v>
      </c>
      <c r="O22">
        <f t="shared" si="11"/>
        <v>3.386609071274298</v>
      </c>
      <c r="P22">
        <f t="shared" si="12"/>
        <v>46.2</v>
      </c>
      <c r="Q22">
        <f t="shared" si="13"/>
        <v>440</v>
      </c>
      <c r="R22">
        <f t="shared" si="14"/>
        <v>303.60000000000002</v>
      </c>
      <c r="S22">
        <f t="shared" si="15"/>
        <v>26.4</v>
      </c>
      <c r="T22">
        <f>I22*E22/'[1]Inverter Analysis'!$L$2</f>
        <v>265.70214847094138</v>
      </c>
      <c r="U22">
        <f t="shared" si="16"/>
        <v>242.42424242424244</v>
      </c>
      <c r="V22">
        <f t="shared" si="17"/>
        <v>263.50461133069825</v>
      </c>
      <c r="W22">
        <f t="shared" si="18"/>
        <v>173.16017316017317</v>
      </c>
      <c r="X22">
        <f t="shared" si="22"/>
        <v>0.27773872077016937</v>
      </c>
      <c r="Y22">
        <f t="shared" si="23"/>
        <v>5.5447796250000012</v>
      </c>
      <c r="Z22">
        <f t="shared" si="24"/>
        <v>3.8883420907823716</v>
      </c>
    </row>
    <row r="23" spans="1:26">
      <c r="A23">
        <v>12</v>
      </c>
      <c r="B23">
        <v>4</v>
      </c>
      <c r="C23" s="9">
        <v>9</v>
      </c>
      <c r="D23">
        <f t="shared" si="0"/>
        <v>560</v>
      </c>
      <c r="E23">
        <f t="shared" si="1"/>
        <v>240</v>
      </c>
      <c r="F23">
        <f t="shared" si="2"/>
        <v>30.24</v>
      </c>
      <c r="G23">
        <f t="shared" si="3"/>
        <v>0.108</v>
      </c>
      <c r="H23">
        <f t="shared" si="4"/>
        <v>108.864</v>
      </c>
      <c r="I23">
        <f t="shared" si="5"/>
        <v>453.6</v>
      </c>
      <c r="J23">
        <f t="shared" si="6"/>
        <v>324</v>
      </c>
      <c r="K23">
        <f t="shared" si="7"/>
        <v>77.760000000000005</v>
      </c>
      <c r="L23">
        <f t="shared" si="8"/>
        <v>9.0230112000000009</v>
      </c>
      <c r="M23">
        <f t="shared" si="9"/>
        <v>8.7308928000000012</v>
      </c>
      <c r="N23">
        <f t="shared" si="10"/>
        <v>6.3691843764705895</v>
      </c>
      <c r="O23">
        <f t="shared" si="11"/>
        <v>3.7628989680825535</v>
      </c>
      <c r="P23">
        <f t="shared" si="12"/>
        <v>50.400000000000006</v>
      </c>
      <c r="Q23">
        <f t="shared" si="13"/>
        <v>432</v>
      </c>
      <c r="R23">
        <f t="shared" si="14"/>
        <v>298.08</v>
      </c>
      <c r="S23">
        <f t="shared" si="15"/>
        <v>25.919999999999998</v>
      </c>
      <c r="T23">
        <f>I23*E23/'[1]Inverter Analysis'!$L$2</f>
        <v>260.87120031692422</v>
      </c>
      <c r="U23">
        <f t="shared" si="16"/>
        <v>246.91358024691357</v>
      </c>
      <c r="V23">
        <f t="shared" si="17"/>
        <v>268.38432635534087</v>
      </c>
      <c r="W23">
        <f t="shared" si="18"/>
        <v>176.3668430335097</v>
      </c>
      <c r="X23">
        <f t="shared" si="22"/>
        <v>0.28812058653284045</v>
      </c>
      <c r="Y23">
        <f t="shared" si="23"/>
        <v>5.2478027279999999</v>
      </c>
      <c r="Z23">
        <f t="shared" si="24"/>
        <v>4.0336882114597659</v>
      </c>
    </row>
    <row r="24" spans="1:26">
      <c r="A24" s="7">
        <v>14</v>
      </c>
      <c r="B24" s="7">
        <v>3</v>
      </c>
      <c r="C24" s="11">
        <v>10</v>
      </c>
      <c r="D24" s="7">
        <f t="shared" si="0"/>
        <v>420</v>
      </c>
      <c r="E24" s="7">
        <f t="shared" si="1"/>
        <v>180</v>
      </c>
      <c r="F24" s="7">
        <f t="shared" si="2"/>
        <v>29.4</v>
      </c>
      <c r="G24" s="7">
        <f t="shared" si="3"/>
        <v>0.18666666666666665</v>
      </c>
      <c r="H24" s="7">
        <f t="shared" si="4"/>
        <v>105.84</v>
      </c>
      <c r="I24" s="7">
        <f t="shared" si="5"/>
        <v>588</v>
      </c>
      <c r="J24" s="7">
        <f t="shared" si="6"/>
        <v>420</v>
      </c>
      <c r="K24" s="7">
        <f t="shared" si="7"/>
        <v>75.599999999999994</v>
      </c>
      <c r="L24" s="7">
        <f t="shared" si="8"/>
        <v>8.7723719999999989</v>
      </c>
      <c r="M24" s="7">
        <f t="shared" si="9"/>
        <v>8.4883680000000012</v>
      </c>
      <c r="N24" s="7">
        <f t="shared" si="10"/>
        <v>6.1922625882352937</v>
      </c>
      <c r="O24" s="7">
        <f t="shared" si="11"/>
        <v>2.5399568034557234</v>
      </c>
      <c r="P24" s="7">
        <f t="shared" si="12"/>
        <v>58.8</v>
      </c>
      <c r="Q24" s="7">
        <f t="shared" si="13"/>
        <v>420</v>
      </c>
      <c r="R24" s="7">
        <f t="shared" si="14"/>
        <v>386.4</v>
      </c>
      <c r="S24" s="7">
        <f t="shared" si="15"/>
        <v>33.599999999999994</v>
      </c>
      <c r="T24" s="7">
        <f>I24*E24/'[1]Inverter Analysis'!$L$2</f>
        <v>253.62477808589858</v>
      </c>
      <c r="U24" s="7">
        <f t="shared" si="16"/>
        <v>190.47619047619048</v>
      </c>
      <c r="V24" s="7">
        <f t="shared" si="17"/>
        <v>207.03933747412009</v>
      </c>
      <c r="W24" s="7">
        <f t="shared" si="18"/>
        <v>136.05442176870747</v>
      </c>
      <c r="X24" s="7">
        <f t="shared" si="22"/>
        <v>0.17146114904689033</v>
      </c>
      <c r="Y24" s="7">
        <f t="shared" si="23"/>
        <v>8.5733707500000005</v>
      </c>
      <c r="Z24" s="7">
        <f t="shared" si="24"/>
        <v>2.4004560866564648</v>
      </c>
    </row>
    <row r="25" spans="1:26">
      <c r="A25" s="8">
        <v>15</v>
      </c>
      <c r="B25" s="9">
        <v>4</v>
      </c>
      <c r="C25" s="9">
        <v>7</v>
      </c>
      <c r="D25">
        <f t="shared" si="0"/>
        <v>560</v>
      </c>
      <c r="E25">
        <f t="shared" si="1"/>
        <v>240</v>
      </c>
      <c r="F25">
        <f t="shared" si="2"/>
        <v>29.4</v>
      </c>
      <c r="G25">
        <f t="shared" si="3"/>
        <v>0.105</v>
      </c>
      <c r="H25">
        <f t="shared" si="4"/>
        <v>105.84</v>
      </c>
      <c r="I25">
        <f t="shared" si="5"/>
        <v>441</v>
      </c>
      <c r="J25">
        <f t="shared" si="6"/>
        <v>315</v>
      </c>
      <c r="K25">
        <f t="shared" si="7"/>
        <v>75.599999999999994</v>
      </c>
      <c r="L25">
        <f t="shared" si="8"/>
        <v>8.7723719999999989</v>
      </c>
      <c r="M25">
        <f t="shared" si="9"/>
        <v>8.4883680000000012</v>
      </c>
      <c r="N25">
        <f t="shared" si="10"/>
        <v>6.1922625882352937</v>
      </c>
      <c r="O25">
        <f t="shared" si="11"/>
        <v>4.838012958963283</v>
      </c>
      <c r="P25">
        <f t="shared" si="12"/>
        <v>63</v>
      </c>
      <c r="Q25">
        <f t="shared" si="13"/>
        <v>420</v>
      </c>
      <c r="R25">
        <f t="shared" si="14"/>
        <v>289.8</v>
      </c>
      <c r="S25">
        <f t="shared" si="15"/>
        <v>25.2</v>
      </c>
      <c r="T25">
        <f>I25*E25/'[1]Inverter Analysis'!$L$2</f>
        <v>253.62477808589858</v>
      </c>
      <c r="U25">
        <f t="shared" si="16"/>
        <v>253.96825396825398</v>
      </c>
      <c r="V25">
        <f t="shared" si="17"/>
        <v>276.05244996549345</v>
      </c>
      <c r="W25">
        <f t="shared" si="18"/>
        <v>181.40589569160997</v>
      </c>
      <c r="X25">
        <f t="shared" si="22"/>
        <v>0.30481982052780504</v>
      </c>
      <c r="Y25">
        <f t="shared" si="23"/>
        <v>4.8225210468749999</v>
      </c>
      <c r="Z25">
        <f t="shared" si="24"/>
        <v>4.2674774873892707</v>
      </c>
    </row>
    <row r="26" spans="1:26">
      <c r="A26">
        <v>13</v>
      </c>
      <c r="B26">
        <v>4</v>
      </c>
      <c r="C26" s="9">
        <v>8</v>
      </c>
      <c r="D26">
        <f t="shared" si="0"/>
        <v>560</v>
      </c>
      <c r="E26">
        <f t="shared" si="1"/>
        <v>240</v>
      </c>
      <c r="F26">
        <f t="shared" si="2"/>
        <v>29.12</v>
      </c>
      <c r="G26">
        <f t="shared" si="3"/>
        <v>0.10400000000000001</v>
      </c>
      <c r="H26">
        <f t="shared" si="4"/>
        <v>104.83199999999999</v>
      </c>
      <c r="I26">
        <f t="shared" si="5"/>
        <v>436.8</v>
      </c>
      <c r="J26">
        <f t="shared" si="6"/>
        <v>312</v>
      </c>
      <c r="K26">
        <f t="shared" si="7"/>
        <v>74.88</v>
      </c>
      <c r="L26">
        <f t="shared" si="8"/>
        <v>8.6888255999999995</v>
      </c>
      <c r="M26">
        <f t="shared" si="9"/>
        <v>8.4075264000000001</v>
      </c>
      <c r="N26">
        <f t="shared" si="10"/>
        <v>6.1332886588235294</v>
      </c>
      <c r="O26">
        <f t="shared" si="11"/>
        <v>4.2332613390928726</v>
      </c>
      <c r="P26">
        <f t="shared" si="12"/>
        <v>54.6</v>
      </c>
      <c r="Q26">
        <f t="shared" si="13"/>
        <v>416</v>
      </c>
      <c r="R26">
        <f t="shared" si="14"/>
        <v>287.04000000000002</v>
      </c>
      <c r="S26">
        <f t="shared" si="15"/>
        <v>24.96</v>
      </c>
      <c r="T26">
        <f>I26*E26/'[1]Inverter Analysis'!$L$2</f>
        <v>251.20930400889</v>
      </c>
      <c r="U26">
        <f t="shared" si="16"/>
        <v>256.41025641025641</v>
      </c>
      <c r="V26">
        <f t="shared" si="17"/>
        <v>278.70680044593087</v>
      </c>
      <c r="W26">
        <f t="shared" si="18"/>
        <v>183.15018315018315</v>
      </c>
      <c r="X26">
        <f t="shared" si="22"/>
        <v>0.31070992245923174</v>
      </c>
      <c r="Y26">
        <f t="shared" si="23"/>
        <v>4.6860428160000005</v>
      </c>
      <c r="Z26">
        <f t="shared" si="24"/>
        <v>4.3499389144292442</v>
      </c>
    </row>
    <row r="27" spans="1:26">
      <c r="A27">
        <v>15</v>
      </c>
      <c r="B27">
        <v>3</v>
      </c>
      <c r="C27" s="9">
        <v>9</v>
      </c>
      <c r="D27">
        <f t="shared" si="0"/>
        <v>420</v>
      </c>
      <c r="E27">
        <f t="shared" si="1"/>
        <v>180</v>
      </c>
      <c r="F27">
        <f t="shared" si="2"/>
        <v>28.35</v>
      </c>
      <c r="G27">
        <f t="shared" si="3"/>
        <v>0.18</v>
      </c>
      <c r="H27">
        <f t="shared" si="4"/>
        <v>102.06</v>
      </c>
      <c r="I27">
        <f t="shared" si="5"/>
        <v>567</v>
      </c>
      <c r="J27">
        <f t="shared" si="6"/>
        <v>405</v>
      </c>
      <c r="K27">
        <f t="shared" si="7"/>
        <v>72.900000000000006</v>
      </c>
      <c r="L27">
        <f t="shared" si="8"/>
        <v>8.4590730000000001</v>
      </c>
      <c r="M27">
        <f t="shared" si="9"/>
        <v>8.1852119999999999</v>
      </c>
      <c r="N27">
        <f t="shared" si="10"/>
        <v>5.9711103529411771</v>
      </c>
      <c r="O27">
        <f t="shared" si="11"/>
        <v>2.8221742260619149</v>
      </c>
      <c r="P27">
        <f t="shared" si="12"/>
        <v>63</v>
      </c>
      <c r="Q27">
        <f t="shared" si="13"/>
        <v>405</v>
      </c>
      <c r="R27">
        <f t="shared" si="14"/>
        <v>372.6</v>
      </c>
      <c r="S27">
        <f t="shared" si="15"/>
        <v>32.4</v>
      </c>
      <c r="T27">
        <f>I27*E27/'[1]Inverter Analysis'!$L$2</f>
        <v>244.56675029711647</v>
      </c>
      <c r="U27">
        <f t="shared" si="16"/>
        <v>197.53086419753086</v>
      </c>
      <c r="V27">
        <f t="shared" si="17"/>
        <v>214.70746108427267</v>
      </c>
      <c r="W27">
        <f t="shared" si="18"/>
        <v>141.09347442680777</v>
      </c>
      <c r="X27">
        <f t="shared" si="22"/>
        <v>0.18439717538101785</v>
      </c>
      <c r="Y27">
        <f t="shared" si="23"/>
        <v>7.6872110273437499</v>
      </c>
      <c r="Z27">
        <f t="shared" si="24"/>
        <v>2.5815604553342504</v>
      </c>
    </row>
    <row r="28" spans="1:26">
      <c r="A28">
        <v>10</v>
      </c>
      <c r="B28">
        <v>4</v>
      </c>
      <c r="C28" s="9">
        <v>10</v>
      </c>
      <c r="D28">
        <f t="shared" si="0"/>
        <v>560</v>
      </c>
      <c r="E28">
        <f t="shared" si="1"/>
        <v>240</v>
      </c>
      <c r="F28">
        <f t="shared" si="2"/>
        <v>28</v>
      </c>
      <c r="G28">
        <f t="shared" si="3"/>
        <v>0.1</v>
      </c>
      <c r="H28">
        <f t="shared" si="4"/>
        <v>100.8</v>
      </c>
      <c r="I28">
        <f t="shared" si="5"/>
        <v>420</v>
      </c>
      <c r="J28">
        <f t="shared" si="6"/>
        <v>300</v>
      </c>
      <c r="K28">
        <f t="shared" si="7"/>
        <v>72</v>
      </c>
      <c r="L28">
        <f t="shared" si="8"/>
        <v>8.3546399999999998</v>
      </c>
      <c r="M28">
        <f t="shared" si="9"/>
        <v>8.0841600000000007</v>
      </c>
      <c r="N28">
        <f t="shared" si="10"/>
        <v>5.8973929411764709</v>
      </c>
      <c r="O28">
        <f t="shared" si="11"/>
        <v>3.386609071274298</v>
      </c>
      <c r="P28">
        <f t="shared" si="12"/>
        <v>42</v>
      </c>
      <c r="Q28">
        <f t="shared" si="13"/>
        <v>400</v>
      </c>
      <c r="R28">
        <f t="shared" si="14"/>
        <v>276</v>
      </c>
      <c r="S28">
        <f t="shared" si="15"/>
        <v>24</v>
      </c>
      <c r="T28">
        <f>I28*E28/'[1]Inverter Analysis'!$L$2</f>
        <v>241.54740770085579</v>
      </c>
      <c r="U28">
        <f t="shared" si="16"/>
        <v>266.66666666666669</v>
      </c>
      <c r="V28">
        <f t="shared" si="17"/>
        <v>289.85507246376812</v>
      </c>
      <c r="W28">
        <f t="shared" si="18"/>
        <v>190.47619047619048</v>
      </c>
      <c r="X28">
        <f t="shared" si="22"/>
        <v>0.33606385213190509</v>
      </c>
      <c r="Y28">
        <f t="shared" si="23"/>
        <v>4.1658749999999998</v>
      </c>
      <c r="Z28">
        <f t="shared" si="24"/>
        <v>4.704893929846671</v>
      </c>
    </row>
    <row r="29" spans="1:26">
      <c r="A29">
        <v>11</v>
      </c>
      <c r="B29">
        <v>3</v>
      </c>
      <c r="C29">
        <v>12</v>
      </c>
      <c r="D29">
        <f t="shared" si="0"/>
        <v>420</v>
      </c>
      <c r="E29">
        <f t="shared" si="1"/>
        <v>180</v>
      </c>
      <c r="F29">
        <f t="shared" si="2"/>
        <v>27.72</v>
      </c>
      <c r="G29">
        <f t="shared" si="3"/>
        <v>0.17599999999999999</v>
      </c>
      <c r="H29">
        <f t="shared" si="4"/>
        <v>99.792000000000002</v>
      </c>
      <c r="I29">
        <f t="shared" si="5"/>
        <v>554.4</v>
      </c>
      <c r="J29">
        <f t="shared" si="6"/>
        <v>396</v>
      </c>
      <c r="K29">
        <f t="shared" si="7"/>
        <v>71.28</v>
      </c>
      <c r="L29">
        <f t="shared" si="8"/>
        <v>8.2710936000000004</v>
      </c>
      <c r="M29">
        <f t="shared" si="9"/>
        <v>8.0033183999999995</v>
      </c>
      <c r="N29">
        <f t="shared" si="10"/>
        <v>5.8384190117647066</v>
      </c>
      <c r="O29">
        <f t="shared" si="11"/>
        <v>2.1166306695464363</v>
      </c>
      <c r="P29">
        <f t="shared" si="12"/>
        <v>46.199999999999996</v>
      </c>
      <c r="Q29">
        <f t="shared" si="13"/>
        <v>396</v>
      </c>
      <c r="R29">
        <f t="shared" si="14"/>
        <v>364.32</v>
      </c>
      <c r="S29">
        <f t="shared" si="15"/>
        <v>31.68</v>
      </c>
      <c r="T29">
        <f>I29*E29/'[1]Inverter Analysis'!$L$2</f>
        <v>239.13193362384723</v>
      </c>
      <c r="U29">
        <f t="shared" si="16"/>
        <v>202.02020202020202</v>
      </c>
      <c r="V29">
        <f t="shared" si="17"/>
        <v>219.58717610891523</v>
      </c>
      <c r="W29">
        <f t="shared" si="18"/>
        <v>144.3001443001443</v>
      </c>
      <c r="X29">
        <f t="shared" si="22"/>
        <v>0.192874111645951</v>
      </c>
      <c r="Y29">
        <f t="shared" si="23"/>
        <v>7.186034394</v>
      </c>
      <c r="Z29">
        <f t="shared" si="24"/>
        <v>2.7002375630433137</v>
      </c>
    </row>
    <row r="30" spans="1:26">
      <c r="A30">
        <v>12</v>
      </c>
      <c r="B30">
        <v>3</v>
      </c>
      <c r="C30" s="9">
        <v>11</v>
      </c>
      <c r="D30">
        <f t="shared" si="0"/>
        <v>420</v>
      </c>
      <c r="E30">
        <f t="shared" si="1"/>
        <v>180</v>
      </c>
      <c r="F30">
        <f t="shared" si="2"/>
        <v>27.72</v>
      </c>
      <c r="G30">
        <f t="shared" si="3"/>
        <v>0.17599999999999999</v>
      </c>
      <c r="H30">
        <f t="shared" si="4"/>
        <v>99.792000000000002</v>
      </c>
      <c r="I30">
        <f t="shared" si="5"/>
        <v>554.4</v>
      </c>
      <c r="J30">
        <f t="shared" si="6"/>
        <v>396</v>
      </c>
      <c r="K30">
        <f t="shared" si="7"/>
        <v>71.28</v>
      </c>
      <c r="L30">
        <f t="shared" si="8"/>
        <v>8.2710936000000004</v>
      </c>
      <c r="M30">
        <f t="shared" si="9"/>
        <v>8.0033183999999995</v>
      </c>
      <c r="N30">
        <f t="shared" si="10"/>
        <v>5.8384190117647066</v>
      </c>
      <c r="O30">
        <f t="shared" si="11"/>
        <v>2.3090516395052032</v>
      </c>
      <c r="P30">
        <f t="shared" si="12"/>
        <v>50.4</v>
      </c>
      <c r="Q30">
        <f t="shared" si="13"/>
        <v>396</v>
      </c>
      <c r="R30">
        <f t="shared" si="14"/>
        <v>364.32</v>
      </c>
      <c r="S30">
        <f t="shared" si="15"/>
        <v>31.68</v>
      </c>
      <c r="T30">
        <f>I30*E30/'[1]Inverter Analysis'!$L$2</f>
        <v>239.13193362384723</v>
      </c>
      <c r="U30">
        <f t="shared" si="16"/>
        <v>202.02020202020202</v>
      </c>
      <c r="V30">
        <f t="shared" si="17"/>
        <v>219.58717610891523</v>
      </c>
      <c r="W30">
        <f t="shared" si="18"/>
        <v>144.3001443001443</v>
      </c>
      <c r="X30">
        <f t="shared" si="22"/>
        <v>0.192874111645951</v>
      </c>
      <c r="Y30">
        <f t="shared" si="23"/>
        <v>7.186034394</v>
      </c>
      <c r="Z30">
        <f t="shared" si="24"/>
        <v>2.7002375630433137</v>
      </c>
    </row>
    <row r="31" spans="1:26">
      <c r="A31">
        <v>11</v>
      </c>
      <c r="B31">
        <v>4</v>
      </c>
      <c r="C31" s="9">
        <v>9</v>
      </c>
      <c r="D31">
        <f t="shared" si="0"/>
        <v>560</v>
      </c>
      <c r="E31">
        <f t="shared" si="1"/>
        <v>240</v>
      </c>
      <c r="F31">
        <f t="shared" si="2"/>
        <v>27.72</v>
      </c>
      <c r="G31">
        <f t="shared" si="3"/>
        <v>9.8999999999999991E-2</v>
      </c>
      <c r="H31">
        <f t="shared" si="4"/>
        <v>99.792000000000002</v>
      </c>
      <c r="I31">
        <f t="shared" si="5"/>
        <v>415.8</v>
      </c>
      <c r="J31">
        <f t="shared" si="6"/>
        <v>297</v>
      </c>
      <c r="K31">
        <f t="shared" si="7"/>
        <v>71.28</v>
      </c>
      <c r="L31">
        <f t="shared" si="8"/>
        <v>8.2710936000000004</v>
      </c>
      <c r="M31">
        <f t="shared" si="9"/>
        <v>8.0033184000000013</v>
      </c>
      <c r="N31">
        <f t="shared" si="10"/>
        <v>5.8384190117647066</v>
      </c>
      <c r="O31">
        <f t="shared" si="11"/>
        <v>3.7628989680825535</v>
      </c>
      <c r="P31">
        <f t="shared" si="12"/>
        <v>46.2</v>
      </c>
      <c r="Q31">
        <f t="shared" si="13"/>
        <v>396</v>
      </c>
      <c r="R31">
        <f t="shared" si="14"/>
        <v>273.24</v>
      </c>
      <c r="S31">
        <f t="shared" si="15"/>
        <v>23.759999999999998</v>
      </c>
      <c r="T31">
        <f>I31*E31/'[1]Inverter Analysis'!$L$2</f>
        <v>239.13193362384723</v>
      </c>
      <c r="U31">
        <f t="shared" si="16"/>
        <v>269.36026936026934</v>
      </c>
      <c r="V31">
        <f t="shared" si="17"/>
        <v>292.78290147855364</v>
      </c>
      <c r="W31">
        <f t="shared" si="18"/>
        <v>192.4001924001924</v>
      </c>
      <c r="X31">
        <f t="shared" si="22"/>
        <v>0.34288730959280178</v>
      </c>
      <c r="Y31">
        <f t="shared" si="23"/>
        <v>4.0421443466250002</v>
      </c>
      <c r="Z31">
        <f t="shared" si="24"/>
        <v>4.8004223342992249</v>
      </c>
    </row>
    <row r="32" spans="1:26">
      <c r="A32">
        <v>14</v>
      </c>
      <c r="B32">
        <v>4</v>
      </c>
      <c r="C32" s="9">
        <v>7</v>
      </c>
      <c r="D32">
        <f t="shared" si="0"/>
        <v>560</v>
      </c>
      <c r="E32">
        <f t="shared" si="1"/>
        <v>240</v>
      </c>
      <c r="F32">
        <f t="shared" si="2"/>
        <v>27.44</v>
      </c>
      <c r="G32">
        <f t="shared" si="3"/>
        <v>9.8000000000000004E-2</v>
      </c>
      <c r="H32">
        <f t="shared" si="4"/>
        <v>98.784000000000006</v>
      </c>
      <c r="I32">
        <f t="shared" si="5"/>
        <v>411.6</v>
      </c>
      <c r="J32">
        <f t="shared" si="6"/>
        <v>294</v>
      </c>
      <c r="K32">
        <f t="shared" si="7"/>
        <v>70.56</v>
      </c>
      <c r="L32">
        <f t="shared" si="8"/>
        <v>8.1875471999999991</v>
      </c>
      <c r="M32">
        <f t="shared" si="9"/>
        <v>7.922476800000001</v>
      </c>
      <c r="N32">
        <f t="shared" si="10"/>
        <v>5.7794450823529413</v>
      </c>
      <c r="O32">
        <f t="shared" si="11"/>
        <v>4.838012958963283</v>
      </c>
      <c r="P32">
        <f t="shared" si="12"/>
        <v>58.800000000000004</v>
      </c>
      <c r="Q32">
        <f t="shared" si="13"/>
        <v>392</v>
      </c>
      <c r="R32">
        <f t="shared" si="14"/>
        <v>270.48</v>
      </c>
      <c r="S32">
        <f t="shared" si="15"/>
        <v>23.52</v>
      </c>
      <c r="T32">
        <f>I32*E32/'[1]Inverter Analysis'!$L$2</f>
        <v>236.71645954683868</v>
      </c>
      <c r="U32">
        <f t="shared" si="16"/>
        <v>272.10884353741494</v>
      </c>
      <c r="V32">
        <f t="shared" si="17"/>
        <v>295.77048210588583</v>
      </c>
      <c r="W32">
        <f t="shared" si="18"/>
        <v>194.36345966958211</v>
      </c>
      <c r="X32">
        <f t="shared" si="22"/>
        <v>0.34992071234059258</v>
      </c>
      <c r="Y32">
        <f t="shared" si="23"/>
        <v>3.9208882230000004</v>
      </c>
      <c r="Z32">
        <f t="shared" si="24"/>
        <v>4.8988899727682957</v>
      </c>
    </row>
    <row r="33" spans="1:26">
      <c r="A33">
        <v>13</v>
      </c>
      <c r="B33">
        <v>3</v>
      </c>
      <c r="C33" s="9">
        <v>10</v>
      </c>
      <c r="D33">
        <f t="shared" si="0"/>
        <v>420</v>
      </c>
      <c r="E33">
        <f t="shared" si="1"/>
        <v>180</v>
      </c>
      <c r="F33">
        <f t="shared" si="2"/>
        <v>27.3</v>
      </c>
      <c r="G33">
        <f t="shared" si="3"/>
        <v>0.17333333333333334</v>
      </c>
      <c r="H33">
        <f t="shared" si="4"/>
        <v>98.28</v>
      </c>
      <c r="I33">
        <f t="shared" si="5"/>
        <v>546</v>
      </c>
      <c r="J33">
        <f t="shared" si="6"/>
        <v>390</v>
      </c>
      <c r="K33">
        <f t="shared" si="7"/>
        <v>70.2</v>
      </c>
      <c r="L33">
        <f t="shared" si="8"/>
        <v>8.1457739999999994</v>
      </c>
      <c r="M33">
        <f t="shared" si="9"/>
        <v>7.8820560000000004</v>
      </c>
      <c r="N33">
        <f t="shared" si="10"/>
        <v>5.7499581176470587</v>
      </c>
      <c r="O33">
        <f t="shared" si="11"/>
        <v>2.5399568034557234</v>
      </c>
      <c r="P33">
        <f t="shared" si="12"/>
        <v>54.6</v>
      </c>
      <c r="Q33">
        <f t="shared" si="13"/>
        <v>390</v>
      </c>
      <c r="R33">
        <f t="shared" si="14"/>
        <v>358.8</v>
      </c>
      <c r="S33">
        <f t="shared" si="15"/>
        <v>31.200000000000003</v>
      </c>
      <c r="T33">
        <f>I33*E33/'[1]Inverter Analysis'!$L$2</f>
        <v>235.50872250833439</v>
      </c>
      <c r="U33">
        <f t="shared" si="16"/>
        <v>205.12820512820514</v>
      </c>
      <c r="V33">
        <f t="shared" si="17"/>
        <v>222.96544035674469</v>
      </c>
      <c r="W33">
        <f t="shared" si="18"/>
        <v>146.52014652014651</v>
      </c>
      <c r="X33">
        <f t="shared" si="22"/>
        <v>0.19885435037390828</v>
      </c>
      <c r="Y33">
        <f t="shared" si="23"/>
        <v>6.8643205312500015</v>
      </c>
      <c r="Z33">
        <f t="shared" si="24"/>
        <v>2.7839609052347161</v>
      </c>
    </row>
    <row r="34" spans="1:26">
      <c r="A34">
        <v>12</v>
      </c>
      <c r="B34">
        <v>4</v>
      </c>
      <c r="C34" s="9">
        <v>8</v>
      </c>
      <c r="D34">
        <f t="shared" si="0"/>
        <v>560</v>
      </c>
      <c r="E34">
        <f t="shared" si="1"/>
        <v>240</v>
      </c>
      <c r="F34">
        <f t="shared" si="2"/>
        <v>26.88</v>
      </c>
      <c r="G34">
        <f t="shared" si="3"/>
        <v>9.6000000000000002E-2</v>
      </c>
      <c r="H34">
        <f t="shared" si="4"/>
        <v>96.768000000000015</v>
      </c>
      <c r="I34">
        <f t="shared" si="5"/>
        <v>403.20000000000005</v>
      </c>
      <c r="J34">
        <f t="shared" si="6"/>
        <v>288</v>
      </c>
      <c r="K34">
        <f t="shared" si="7"/>
        <v>69.12</v>
      </c>
      <c r="L34">
        <f t="shared" si="8"/>
        <v>8.0204544000000002</v>
      </c>
      <c r="M34">
        <f t="shared" si="9"/>
        <v>7.7607936000000013</v>
      </c>
      <c r="N34">
        <f t="shared" si="10"/>
        <v>5.6614972235294125</v>
      </c>
      <c r="O34">
        <f t="shared" si="11"/>
        <v>4.2332613390928726</v>
      </c>
      <c r="P34">
        <f t="shared" si="12"/>
        <v>50.400000000000006</v>
      </c>
      <c r="Q34">
        <f t="shared" si="13"/>
        <v>384</v>
      </c>
      <c r="R34">
        <f t="shared" si="14"/>
        <v>264.95999999999998</v>
      </c>
      <c r="S34">
        <f t="shared" si="15"/>
        <v>23.04</v>
      </c>
      <c r="T34">
        <f>I34*E34/'[1]Inverter Analysis'!$L$2</f>
        <v>231.8855113928216</v>
      </c>
      <c r="U34">
        <f t="shared" si="16"/>
        <v>277.77777777777777</v>
      </c>
      <c r="V34">
        <f t="shared" si="17"/>
        <v>301.93236714975848</v>
      </c>
      <c r="W34">
        <f t="shared" si="18"/>
        <v>198.4126984126984</v>
      </c>
      <c r="X34">
        <f t="shared" si="22"/>
        <v>0.36465261733062626</v>
      </c>
      <c r="Y34">
        <f t="shared" si="23"/>
        <v>3.6856995839999991</v>
      </c>
      <c r="Z34">
        <f t="shared" si="24"/>
        <v>5.105136642628767</v>
      </c>
    </row>
    <row r="35" spans="1:26">
      <c r="A35">
        <v>16</v>
      </c>
      <c r="B35">
        <v>3</v>
      </c>
      <c r="C35" s="9">
        <v>8</v>
      </c>
      <c r="D35">
        <f t="shared" si="0"/>
        <v>420</v>
      </c>
      <c r="E35">
        <f t="shared" si="1"/>
        <v>180</v>
      </c>
      <c r="F35">
        <f t="shared" si="2"/>
        <v>26.88</v>
      </c>
      <c r="G35">
        <f t="shared" si="3"/>
        <v>0.17066666666666666</v>
      </c>
      <c r="H35">
        <f t="shared" si="4"/>
        <v>96.768000000000001</v>
      </c>
      <c r="I35">
        <f t="shared" si="5"/>
        <v>537.6</v>
      </c>
      <c r="J35">
        <f t="shared" si="6"/>
        <v>384</v>
      </c>
      <c r="K35">
        <f t="shared" si="7"/>
        <v>69.12</v>
      </c>
      <c r="L35">
        <f t="shared" si="8"/>
        <v>8.0204544000000002</v>
      </c>
      <c r="M35">
        <f t="shared" si="9"/>
        <v>7.7607936000000013</v>
      </c>
      <c r="N35">
        <f t="shared" si="10"/>
        <v>5.6614972235294125</v>
      </c>
      <c r="O35">
        <f t="shared" si="11"/>
        <v>3.1749460043196542</v>
      </c>
      <c r="P35">
        <f t="shared" si="12"/>
        <v>67.2</v>
      </c>
      <c r="Q35">
        <f t="shared" si="13"/>
        <v>384</v>
      </c>
      <c r="R35">
        <f t="shared" si="14"/>
        <v>353.28</v>
      </c>
      <c r="S35">
        <f t="shared" si="15"/>
        <v>30.72</v>
      </c>
      <c r="T35">
        <f>I35*E35/'[1]Inverter Analysis'!$L$2</f>
        <v>231.88551139282154</v>
      </c>
      <c r="U35">
        <f t="shared" si="16"/>
        <v>208.33333333333334</v>
      </c>
      <c r="V35">
        <f t="shared" si="17"/>
        <v>226.44927536231887</v>
      </c>
      <c r="W35">
        <f t="shared" si="18"/>
        <v>148.8095238095238</v>
      </c>
      <c r="X35">
        <f t="shared" si="22"/>
        <v>0.20511709724847729</v>
      </c>
      <c r="Y35">
        <f t="shared" si="23"/>
        <v>6.5523548159999976</v>
      </c>
      <c r="Z35">
        <f t="shared" si="24"/>
        <v>2.8716393614786822</v>
      </c>
    </row>
    <row r="36" spans="1:26">
      <c r="A36" s="8">
        <v>16</v>
      </c>
      <c r="B36" s="9">
        <v>4</v>
      </c>
      <c r="C36" s="9">
        <v>6</v>
      </c>
      <c r="D36">
        <f t="shared" si="0"/>
        <v>560</v>
      </c>
      <c r="E36">
        <f t="shared" si="1"/>
        <v>240</v>
      </c>
      <c r="F36">
        <f t="shared" si="2"/>
        <v>26.88</v>
      </c>
      <c r="G36">
        <f t="shared" si="3"/>
        <v>9.6000000000000002E-2</v>
      </c>
      <c r="H36">
        <f t="shared" si="4"/>
        <v>96.768000000000015</v>
      </c>
      <c r="I36">
        <f t="shared" si="5"/>
        <v>403.20000000000005</v>
      </c>
      <c r="J36">
        <f t="shared" si="6"/>
        <v>288</v>
      </c>
      <c r="K36">
        <f t="shared" si="7"/>
        <v>69.12</v>
      </c>
      <c r="L36">
        <f t="shared" si="8"/>
        <v>8.0204544000000002</v>
      </c>
      <c r="M36">
        <f t="shared" si="9"/>
        <v>7.7607936000000013</v>
      </c>
      <c r="N36">
        <f t="shared" si="10"/>
        <v>5.6614972235294125</v>
      </c>
      <c r="O36">
        <f t="shared" si="11"/>
        <v>5.6443484521238299</v>
      </c>
      <c r="P36">
        <f t="shared" si="12"/>
        <v>67.2</v>
      </c>
      <c r="Q36">
        <f t="shared" si="13"/>
        <v>384</v>
      </c>
      <c r="R36">
        <f t="shared" si="14"/>
        <v>264.95999999999998</v>
      </c>
      <c r="S36">
        <f t="shared" si="15"/>
        <v>23.04</v>
      </c>
      <c r="T36">
        <f>I36*E36/'[1]Inverter Analysis'!$L$2</f>
        <v>231.8855113928216</v>
      </c>
      <c r="U36">
        <f t="shared" si="16"/>
        <v>277.77777777777777</v>
      </c>
      <c r="V36">
        <f t="shared" si="17"/>
        <v>301.93236714975848</v>
      </c>
      <c r="W36">
        <f t="shared" si="18"/>
        <v>198.4126984126984</v>
      </c>
      <c r="X36">
        <f t="shared" si="22"/>
        <v>0.36465261733062626</v>
      </c>
      <c r="Y36">
        <f t="shared" si="23"/>
        <v>3.6856995839999991</v>
      </c>
      <c r="Z36">
        <f t="shared" si="24"/>
        <v>5.105136642628767</v>
      </c>
    </row>
    <row r="37" spans="1:26">
      <c r="A37">
        <v>14</v>
      </c>
      <c r="B37">
        <v>3</v>
      </c>
      <c r="C37" s="9">
        <v>9</v>
      </c>
      <c r="D37">
        <f t="shared" si="0"/>
        <v>420</v>
      </c>
      <c r="E37">
        <f t="shared" si="1"/>
        <v>180</v>
      </c>
      <c r="F37">
        <f t="shared" si="2"/>
        <v>26.46</v>
      </c>
      <c r="G37">
        <f t="shared" si="3"/>
        <v>0.16799999999999998</v>
      </c>
      <c r="H37">
        <f t="shared" si="4"/>
        <v>95.256000000000014</v>
      </c>
      <c r="I37">
        <f t="shared" si="5"/>
        <v>529.20000000000005</v>
      </c>
      <c r="J37">
        <f t="shared" si="6"/>
        <v>378</v>
      </c>
      <c r="K37">
        <f t="shared" si="7"/>
        <v>68.040000000000006</v>
      </c>
      <c r="L37">
        <f t="shared" si="8"/>
        <v>7.8951348000000001</v>
      </c>
      <c r="M37">
        <f t="shared" si="9"/>
        <v>7.6395312000000013</v>
      </c>
      <c r="N37">
        <f t="shared" si="10"/>
        <v>5.5730363294117655</v>
      </c>
      <c r="O37">
        <f t="shared" si="11"/>
        <v>2.8221742260619149</v>
      </c>
      <c r="P37">
        <f t="shared" si="12"/>
        <v>58.800000000000004</v>
      </c>
      <c r="Q37">
        <f t="shared" si="13"/>
        <v>378</v>
      </c>
      <c r="R37">
        <f t="shared" si="14"/>
        <v>347.76</v>
      </c>
      <c r="S37">
        <f t="shared" si="15"/>
        <v>30.24</v>
      </c>
      <c r="T37">
        <f>I37*E37/'[1]Inverter Analysis'!$L$2</f>
        <v>228.26230027730875</v>
      </c>
      <c r="U37">
        <f t="shared" si="16"/>
        <v>211.64021164021165</v>
      </c>
      <c r="V37">
        <f t="shared" si="17"/>
        <v>230.04370830457788</v>
      </c>
      <c r="W37">
        <f t="shared" si="18"/>
        <v>151.17157974300829</v>
      </c>
      <c r="X37">
        <f t="shared" si="22"/>
        <v>0.21168043092208685</v>
      </c>
      <c r="Y37">
        <f t="shared" si="23"/>
        <v>6.2499872767499998</v>
      </c>
      <c r="Z37">
        <f t="shared" si="24"/>
        <v>2.9635260329092157</v>
      </c>
    </row>
    <row r="38" spans="1:26">
      <c r="A38">
        <v>11</v>
      </c>
      <c r="B38">
        <v>3</v>
      </c>
      <c r="C38" s="9">
        <v>11</v>
      </c>
      <c r="D38">
        <f t="shared" si="0"/>
        <v>420</v>
      </c>
      <c r="E38">
        <f t="shared" si="1"/>
        <v>180</v>
      </c>
      <c r="F38">
        <f t="shared" si="2"/>
        <v>25.41</v>
      </c>
      <c r="G38">
        <f t="shared" si="3"/>
        <v>0.16133333333333333</v>
      </c>
      <c r="H38">
        <f t="shared" si="4"/>
        <v>91.476000000000013</v>
      </c>
      <c r="I38">
        <f t="shared" si="5"/>
        <v>508.20000000000005</v>
      </c>
      <c r="J38">
        <f t="shared" si="6"/>
        <v>363</v>
      </c>
      <c r="K38">
        <f t="shared" si="7"/>
        <v>65.34</v>
      </c>
      <c r="L38">
        <f t="shared" si="8"/>
        <v>7.5818358000000003</v>
      </c>
      <c r="M38">
        <f t="shared" si="9"/>
        <v>7.3363752000000009</v>
      </c>
      <c r="N38">
        <f t="shared" si="10"/>
        <v>5.351884094117648</v>
      </c>
      <c r="O38">
        <f t="shared" si="11"/>
        <v>2.3090516395052032</v>
      </c>
      <c r="P38">
        <f t="shared" si="12"/>
        <v>46.2</v>
      </c>
      <c r="Q38">
        <f t="shared" si="13"/>
        <v>363</v>
      </c>
      <c r="R38">
        <f t="shared" si="14"/>
        <v>333.96</v>
      </c>
      <c r="S38">
        <f t="shared" si="15"/>
        <v>29.04</v>
      </c>
      <c r="T38">
        <f>I38*E38/'[1]Inverter Analysis'!$L$2</f>
        <v>219.20427248852667</v>
      </c>
      <c r="U38">
        <f t="shared" si="16"/>
        <v>220.38567493112947</v>
      </c>
      <c r="V38">
        <f t="shared" si="17"/>
        <v>239.54964666427119</v>
      </c>
      <c r="W38">
        <f t="shared" si="18"/>
        <v>157.41833923652104</v>
      </c>
      <c r="X38">
        <f t="shared" si="22"/>
        <v>0.22953613286790869</v>
      </c>
      <c r="Y38">
        <f t="shared" si="23"/>
        <v>5.5350762606562487</v>
      </c>
      <c r="Z38">
        <f t="shared" si="24"/>
        <v>3.2135058601507223</v>
      </c>
    </row>
    <row r="39" spans="1:26">
      <c r="A39">
        <v>10</v>
      </c>
      <c r="B39">
        <v>3</v>
      </c>
      <c r="C39">
        <v>12</v>
      </c>
      <c r="D39">
        <f t="shared" si="0"/>
        <v>420</v>
      </c>
      <c r="E39">
        <f t="shared" si="1"/>
        <v>180</v>
      </c>
      <c r="F39">
        <f t="shared" si="2"/>
        <v>25.2</v>
      </c>
      <c r="G39">
        <f t="shared" si="3"/>
        <v>0.15999999999999998</v>
      </c>
      <c r="H39">
        <f t="shared" si="4"/>
        <v>90.72</v>
      </c>
      <c r="I39">
        <f t="shared" si="5"/>
        <v>504</v>
      </c>
      <c r="J39">
        <f t="shared" si="6"/>
        <v>360</v>
      </c>
      <c r="K39">
        <f t="shared" si="7"/>
        <v>64.8</v>
      </c>
      <c r="L39">
        <f t="shared" si="8"/>
        <v>7.5191759999999999</v>
      </c>
      <c r="M39">
        <f t="shared" si="9"/>
        <v>7.2757440000000004</v>
      </c>
      <c r="N39">
        <f t="shared" si="10"/>
        <v>5.3076536470588236</v>
      </c>
      <c r="O39">
        <f t="shared" si="11"/>
        <v>2.1166306695464363</v>
      </c>
      <c r="P39">
        <f t="shared" si="12"/>
        <v>42</v>
      </c>
      <c r="Q39">
        <f t="shared" si="13"/>
        <v>360</v>
      </c>
      <c r="R39">
        <f t="shared" si="14"/>
        <v>331.2</v>
      </c>
      <c r="S39">
        <f t="shared" si="15"/>
        <v>28.799999999999997</v>
      </c>
      <c r="T39">
        <f>I39*E39/'[1]Inverter Analysis'!$L$2</f>
        <v>217.39266693077019</v>
      </c>
      <c r="U39">
        <f t="shared" si="16"/>
        <v>222.22222222222223</v>
      </c>
      <c r="V39">
        <f t="shared" si="17"/>
        <v>241.54589371980677</v>
      </c>
      <c r="W39">
        <f t="shared" si="18"/>
        <v>158.73015873015873</v>
      </c>
      <c r="X39">
        <f t="shared" si="22"/>
        <v>0.23337767509160073</v>
      </c>
      <c r="Y39">
        <f t="shared" si="23"/>
        <v>5.3989739999999999</v>
      </c>
      <c r="Z39">
        <f t="shared" si="24"/>
        <v>3.2672874512824102</v>
      </c>
    </row>
    <row r="40" spans="1:26">
      <c r="A40">
        <v>12</v>
      </c>
      <c r="B40">
        <v>3</v>
      </c>
      <c r="C40" s="9">
        <v>10</v>
      </c>
      <c r="D40">
        <f t="shared" si="0"/>
        <v>420</v>
      </c>
      <c r="E40">
        <f t="shared" si="1"/>
        <v>180</v>
      </c>
      <c r="F40">
        <f t="shared" si="2"/>
        <v>25.2</v>
      </c>
      <c r="G40">
        <f t="shared" si="3"/>
        <v>0.16</v>
      </c>
      <c r="H40">
        <f t="shared" si="4"/>
        <v>90.72</v>
      </c>
      <c r="I40">
        <f t="shared" si="5"/>
        <v>504</v>
      </c>
      <c r="J40">
        <f t="shared" si="6"/>
        <v>360</v>
      </c>
      <c r="K40">
        <f t="shared" si="7"/>
        <v>64.8</v>
      </c>
      <c r="L40">
        <f t="shared" si="8"/>
        <v>7.5191759999999999</v>
      </c>
      <c r="M40">
        <f t="shared" si="9"/>
        <v>7.2757440000000004</v>
      </c>
      <c r="N40">
        <f t="shared" si="10"/>
        <v>5.3076536470588236</v>
      </c>
      <c r="O40">
        <f t="shared" si="11"/>
        <v>2.5399568034557234</v>
      </c>
      <c r="P40">
        <f t="shared" si="12"/>
        <v>50.4</v>
      </c>
      <c r="Q40">
        <f t="shared" si="13"/>
        <v>360</v>
      </c>
      <c r="R40">
        <f t="shared" si="14"/>
        <v>331.2</v>
      </c>
      <c r="S40">
        <f t="shared" si="15"/>
        <v>28.8</v>
      </c>
      <c r="T40">
        <f>I40*E40/'[1]Inverter Analysis'!$L$2</f>
        <v>217.39266693077019</v>
      </c>
      <c r="U40">
        <f t="shared" si="16"/>
        <v>222.22222222222223</v>
      </c>
      <c r="V40">
        <f t="shared" si="17"/>
        <v>241.54589371980677</v>
      </c>
      <c r="W40">
        <f t="shared" si="18"/>
        <v>158.73015873015873</v>
      </c>
      <c r="X40">
        <f t="shared" si="22"/>
        <v>0.23337767509160073</v>
      </c>
      <c r="Y40">
        <f t="shared" si="23"/>
        <v>5.3989739999999999</v>
      </c>
      <c r="Z40">
        <f t="shared" si="24"/>
        <v>3.2672874512824102</v>
      </c>
    </row>
    <row r="41" spans="1:26">
      <c r="A41">
        <v>15</v>
      </c>
      <c r="B41">
        <v>3</v>
      </c>
      <c r="C41" s="9">
        <v>8</v>
      </c>
      <c r="D41">
        <f t="shared" si="0"/>
        <v>420</v>
      </c>
      <c r="E41">
        <f t="shared" si="1"/>
        <v>180</v>
      </c>
      <c r="F41">
        <f t="shared" si="2"/>
        <v>25.2</v>
      </c>
      <c r="G41">
        <f t="shared" si="3"/>
        <v>0.16</v>
      </c>
      <c r="H41">
        <f t="shared" si="4"/>
        <v>90.72</v>
      </c>
      <c r="I41">
        <f t="shared" si="5"/>
        <v>504</v>
      </c>
      <c r="J41">
        <f t="shared" si="6"/>
        <v>360</v>
      </c>
      <c r="K41">
        <f t="shared" si="7"/>
        <v>64.8</v>
      </c>
      <c r="L41">
        <f t="shared" si="8"/>
        <v>7.5191759999999999</v>
      </c>
      <c r="M41">
        <f t="shared" si="9"/>
        <v>7.2757440000000004</v>
      </c>
      <c r="N41">
        <f t="shared" si="10"/>
        <v>5.3076536470588236</v>
      </c>
      <c r="O41">
        <f t="shared" si="11"/>
        <v>3.1749460043196542</v>
      </c>
      <c r="P41">
        <f t="shared" si="12"/>
        <v>63</v>
      </c>
      <c r="Q41">
        <f t="shared" si="13"/>
        <v>360</v>
      </c>
      <c r="R41">
        <f t="shared" si="14"/>
        <v>331.2</v>
      </c>
      <c r="S41">
        <f t="shared" si="15"/>
        <v>28.8</v>
      </c>
      <c r="T41">
        <f>I41*E41/'[1]Inverter Analysis'!$L$2</f>
        <v>217.39266693077019</v>
      </c>
      <c r="U41">
        <f t="shared" si="16"/>
        <v>222.22222222222223</v>
      </c>
      <c r="V41">
        <f t="shared" si="17"/>
        <v>241.54589371980677</v>
      </c>
      <c r="W41">
        <f t="shared" si="18"/>
        <v>158.73015873015873</v>
      </c>
      <c r="X41">
        <f t="shared" si="22"/>
        <v>0.23337767509160073</v>
      </c>
      <c r="Y41">
        <f t="shared" si="23"/>
        <v>5.3989739999999999</v>
      </c>
      <c r="Z41">
        <f t="shared" si="24"/>
        <v>3.2672874512824102</v>
      </c>
    </row>
    <row r="42" spans="1:26">
      <c r="A42">
        <v>13</v>
      </c>
      <c r="B42">
        <v>3</v>
      </c>
      <c r="C42" s="9">
        <v>9</v>
      </c>
      <c r="D42">
        <f t="shared" si="0"/>
        <v>420</v>
      </c>
      <c r="E42">
        <f t="shared" si="1"/>
        <v>180</v>
      </c>
      <c r="F42">
        <f t="shared" si="2"/>
        <v>24.57</v>
      </c>
      <c r="G42">
        <f t="shared" si="3"/>
        <v>0.156</v>
      </c>
      <c r="H42">
        <f t="shared" si="4"/>
        <v>88.451999999999998</v>
      </c>
      <c r="I42">
        <f t="shared" si="5"/>
        <v>491.40000000000003</v>
      </c>
      <c r="J42">
        <f t="shared" si="6"/>
        <v>351</v>
      </c>
      <c r="K42">
        <f t="shared" si="7"/>
        <v>63.18</v>
      </c>
      <c r="L42">
        <f t="shared" si="8"/>
        <v>7.3311965999999993</v>
      </c>
      <c r="M42">
        <f t="shared" si="9"/>
        <v>7.0938504000000009</v>
      </c>
      <c r="N42">
        <f t="shared" si="10"/>
        <v>5.1749623058823531</v>
      </c>
      <c r="O42">
        <f t="shared" si="11"/>
        <v>2.8221742260619149</v>
      </c>
      <c r="P42">
        <f t="shared" si="12"/>
        <v>54.6</v>
      </c>
      <c r="Q42">
        <f t="shared" si="13"/>
        <v>351</v>
      </c>
      <c r="R42">
        <f t="shared" si="14"/>
        <v>322.92</v>
      </c>
      <c r="S42">
        <f t="shared" si="15"/>
        <v>28.08</v>
      </c>
      <c r="T42">
        <f>I42*E42/'[1]Inverter Analysis'!$L$2</f>
        <v>211.95785025750095</v>
      </c>
      <c r="U42">
        <f t="shared" si="16"/>
        <v>227.92022792022792</v>
      </c>
      <c r="V42">
        <f t="shared" si="17"/>
        <v>247.73937817416078</v>
      </c>
      <c r="W42">
        <f t="shared" si="18"/>
        <v>162.80016280016278</v>
      </c>
      <c r="X42">
        <f t="shared" si="22"/>
        <v>0.24549919799247941</v>
      </c>
      <c r="Y42">
        <f t="shared" si="23"/>
        <v>5.0040896672812494</v>
      </c>
      <c r="Z42">
        <f t="shared" si="24"/>
        <v>3.4369887718947121</v>
      </c>
    </row>
    <row r="43" spans="1:26">
      <c r="A43">
        <v>14</v>
      </c>
      <c r="B43">
        <v>3</v>
      </c>
      <c r="C43" s="9">
        <v>8</v>
      </c>
      <c r="D43">
        <f t="shared" si="0"/>
        <v>420</v>
      </c>
      <c r="E43">
        <f t="shared" si="1"/>
        <v>180</v>
      </c>
      <c r="F43">
        <f t="shared" si="2"/>
        <v>23.52</v>
      </c>
      <c r="G43">
        <f t="shared" si="3"/>
        <v>0.14933333333333332</v>
      </c>
      <c r="H43">
        <f t="shared" si="4"/>
        <v>84.671999999999997</v>
      </c>
      <c r="I43">
        <f t="shared" si="5"/>
        <v>470.40000000000003</v>
      </c>
      <c r="J43">
        <f t="shared" si="6"/>
        <v>336</v>
      </c>
      <c r="K43">
        <f t="shared" si="7"/>
        <v>60.48</v>
      </c>
      <c r="L43">
        <f t="shared" si="8"/>
        <v>7.0178976000000004</v>
      </c>
      <c r="M43">
        <f t="shared" si="9"/>
        <v>6.7906944000000005</v>
      </c>
      <c r="N43">
        <f t="shared" si="10"/>
        <v>4.9538100705882355</v>
      </c>
      <c r="O43">
        <f t="shared" si="11"/>
        <v>3.1749460043196542</v>
      </c>
      <c r="P43">
        <f t="shared" si="12"/>
        <v>58.800000000000004</v>
      </c>
      <c r="Q43">
        <f t="shared" si="13"/>
        <v>336</v>
      </c>
      <c r="R43">
        <f t="shared" si="14"/>
        <v>309.12</v>
      </c>
      <c r="S43">
        <f t="shared" si="15"/>
        <v>26.879999999999995</v>
      </c>
      <c r="T43">
        <f>I43*E43/'[1]Inverter Analysis'!$L$2</f>
        <v>202.89982246871887</v>
      </c>
      <c r="U43">
        <f t="shared" si="16"/>
        <v>238.0952380952381</v>
      </c>
      <c r="V43">
        <f t="shared" si="17"/>
        <v>258.79917184265008</v>
      </c>
      <c r="W43">
        <f t="shared" si="18"/>
        <v>170.06802721088434</v>
      </c>
      <c r="X43">
        <f t="shared" si="22"/>
        <v>0.26790804538576612</v>
      </c>
      <c r="Y43">
        <f t="shared" si="23"/>
        <v>4.3895658239999999</v>
      </c>
      <c r="Z43">
        <f t="shared" si="24"/>
        <v>3.7507126354007259</v>
      </c>
    </row>
    <row r="44" spans="1:26">
      <c r="A44">
        <v>16</v>
      </c>
      <c r="B44">
        <v>3</v>
      </c>
      <c r="C44" s="9">
        <v>7</v>
      </c>
      <c r="D44">
        <f t="shared" si="0"/>
        <v>420</v>
      </c>
      <c r="E44">
        <f t="shared" si="1"/>
        <v>180</v>
      </c>
      <c r="F44">
        <f t="shared" si="2"/>
        <v>23.52</v>
      </c>
      <c r="G44">
        <f t="shared" si="3"/>
        <v>0.14933333333333332</v>
      </c>
      <c r="H44">
        <f t="shared" si="4"/>
        <v>84.671999999999997</v>
      </c>
      <c r="I44">
        <f t="shared" si="5"/>
        <v>470.40000000000003</v>
      </c>
      <c r="J44">
        <f t="shared" si="6"/>
        <v>336</v>
      </c>
      <c r="K44">
        <f t="shared" si="7"/>
        <v>60.48</v>
      </c>
      <c r="L44">
        <f t="shared" si="8"/>
        <v>7.0178976000000004</v>
      </c>
      <c r="M44">
        <f t="shared" si="9"/>
        <v>6.7906944000000005</v>
      </c>
      <c r="N44">
        <f t="shared" si="10"/>
        <v>4.9538100705882355</v>
      </c>
      <c r="O44">
        <f t="shared" si="11"/>
        <v>3.6285097192224618</v>
      </c>
      <c r="P44">
        <f t="shared" si="12"/>
        <v>67.2</v>
      </c>
      <c r="Q44">
        <f t="shared" si="13"/>
        <v>336</v>
      </c>
      <c r="R44">
        <f t="shared" si="14"/>
        <v>309.12</v>
      </c>
      <c r="S44">
        <f t="shared" si="15"/>
        <v>26.879999999999995</v>
      </c>
      <c r="T44">
        <f>I44*E44/'[1]Inverter Analysis'!$L$2</f>
        <v>202.89982246871887</v>
      </c>
      <c r="U44">
        <f t="shared" si="16"/>
        <v>238.0952380952381</v>
      </c>
      <c r="V44">
        <f t="shared" si="17"/>
        <v>258.79917184265008</v>
      </c>
      <c r="W44">
        <f t="shared" si="18"/>
        <v>170.06802721088434</v>
      </c>
      <c r="X44">
        <f t="shared" si="22"/>
        <v>0.26790804538576612</v>
      </c>
      <c r="Y44">
        <f t="shared" si="23"/>
        <v>4.3895658239999999</v>
      </c>
      <c r="Z44">
        <f t="shared" si="24"/>
        <v>3.7507126354007259</v>
      </c>
    </row>
    <row r="45" spans="1:26">
      <c r="A45">
        <v>10</v>
      </c>
      <c r="B45">
        <v>3</v>
      </c>
      <c r="C45" s="9">
        <v>11</v>
      </c>
      <c r="D45">
        <f t="shared" si="0"/>
        <v>420</v>
      </c>
      <c r="E45">
        <f t="shared" si="1"/>
        <v>180</v>
      </c>
      <c r="F45">
        <f t="shared" si="2"/>
        <v>23.1</v>
      </c>
      <c r="G45">
        <f t="shared" si="3"/>
        <v>0.14666666666666667</v>
      </c>
      <c r="H45">
        <f t="shared" si="4"/>
        <v>83.16</v>
      </c>
      <c r="I45">
        <f t="shared" si="5"/>
        <v>462</v>
      </c>
      <c r="J45">
        <f t="shared" si="6"/>
        <v>330</v>
      </c>
      <c r="K45">
        <f t="shared" si="7"/>
        <v>59.4</v>
      </c>
      <c r="L45">
        <f t="shared" si="8"/>
        <v>6.8925779999999994</v>
      </c>
      <c r="M45">
        <f t="shared" si="9"/>
        <v>6.6694320000000005</v>
      </c>
      <c r="N45">
        <f t="shared" si="10"/>
        <v>4.8653491764705885</v>
      </c>
      <c r="O45">
        <f t="shared" si="11"/>
        <v>2.3090516395052032</v>
      </c>
      <c r="P45">
        <f t="shared" si="12"/>
        <v>42</v>
      </c>
      <c r="Q45">
        <f t="shared" si="13"/>
        <v>330</v>
      </c>
      <c r="R45">
        <f t="shared" si="14"/>
        <v>303.60000000000002</v>
      </c>
      <c r="S45">
        <f t="shared" si="15"/>
        <v>26.4</v>
      </c>
      <c r="T45">
        <f>I45*E45/'[1]Inverter Analysis'!$L$2</f>
        <v>199.27661135320602</v>
      </c>
      <c r="U45">
        <f t="shared" si="16"/>
        <v>242.42424242424244</v>
      </c>
      <c r="V45">
        <f t="shared" si="17"/>
        <v>263.50461133069825</v>
      </c>
      <c r="W45">
        <f t="shared" si="18"/>
        <v>173.16017316017317</v>
      </c>
      <c r="X45">
        <f t="shared" si="22"/>
        <v>0.27773872077016937</v>
      </c>
      <c r="Y45">
        <f t="shared" si="23"/>
        <v>4.1585847187500011</v>
      </c>
      <c r="Z45">
        <f t="shared" si="24"/>
        <v>3.8883420907823711</v>
      </c>
    </row>
    <row r="46" spans="1:26">
      <c r="A46">
        <v>11</v>
      </c>
      <c r="B46">
        <v>3</v>
      </c>
      <c r="C46" s="9">
        <v>10</v>
      </c>
      <c r="D46">
        <f t="shared" si="0"/>
        <v>420</v>
      </c>
      <c r="E46">
        <f t="shared" si="1"/>
        <v>180</v>
      </c>
      <c r="F46">
        <f t="shared" si="2"/>
        <v>23.1</v>
      </c>
      <c r="G46">
        <f t="shared" si="3"/>
        <v>0.14666666666666667</v>
      </c>
      <c r="H46">
        <f t="shared" si="4"/>
        <v>83.16</v>
      </c>
      <c r="I46">
        <f t="shared" si="5"/>
        <v>462</v>
      </c>
      <c r="J46">
        <f t="shared" si="6"/>
        <v>330</v>
      </c>
      <c r="K46">
        <f t="shared" si="7"/>
        <v>59.4</v>
      </c>
      <c r="L46">
        <f t="shared" si="8"/>
        <v>6.8925779999999994</v>
      </c>
      <c r="M46">
        <f t="shared" si="9"/>
        <v>6.6694320000000005</v>
      </c>
      <c r="N46">
        <f t="shared" si="10"/>
        <v>4.8653491764705885</v>
      </c>
      <c r="O46">
        <f t="shared" si="11"/>
        <v>2.5399568034557234</v>
      </c>
      <c r="P46">
        <f t="shared" si="12"/>
        <v>46.2</v>
      </c>
      <c r="Q46">
        <f t="shared" si="13"/>
        <v>330</v>
      </c>
      <c r="R46">
        <f t="shared" si="14"/>
        <v>303.60000000000002</v>
      </c>
      <c r="S46">
        <f t="shared" si="15"/>
        <v>26.4</v>
      </c>
      <c r="T46">
        <f>I46*E46/'[1]Inverter Analysis'!$L$2</f>
        <v>199.27661135320602</v>
      </c>
      <c r="U46">
        <f t="shared" si="16"/>
        <v>242.42424242424244</v>
      </c>
      <c r="V46">
        <f t="shared" si="17"/>
        <v>263.50461133069825</v>
      </c>
      <c r="W46">
        <f t="shared" si="18"/>
        <v>173.16017316017317</v>
      </c>
      <c r="X46">
        <f t="shared" si="22"/>
        <v>0.27773872077016937</v>
      </c>
      <c r="Y46">
        <f t="shared" si="23"/>
        <v>4.1585847187500011</v>
      </c>
      <c r="Z46">
        <f t="shared" si="24"/>
        <v>3.8883420907823711</v>
      </c>
    </row>
    <row r="47" spans="1:26">
      <c r="A47">
        <v>12</v>
      </c>
      <c r="B47">
        <v>3</v>
      </c>
      <c r="C47" s="9">
        <v>9</v>
      </c>
      <c r="D47">
        <f t="shared" si="0"/>
        <v>420</v>
      </c>
      <c r="E47">
        <f t="shared" si="1"/>
        <v>180</v>
      </c>
      <c r="F47">
        <f t="shared" si="2"/>
        <v>22.68</v>
      </c>
      <c r="G47">
        <f t="shared" si="3"/>
        <v>0.14400000000000002</v>
      </c>
      <c r="H47">
        <f t="shared" si="4"/>
        <v>81.647999999999996</v>
      </c>
      <c r="I47">
        <f t="shared" si="5"/>
        <v>453.6</v>
      </c>
      <c r="J47">
        <f t="shared" si="6"/>
        <v>324</v>
      </c>
      <c r="K47">
        <f t="shared" si="7"/>
        <v>58.32</v>
      </c>
      <c r="L47">
        <f t="shared" si="8"/>
        <v>6.7672584000000002</v>
      </c>
      <c r="M47">
        <f t="shared" si="9"/>
        <v>6.5481696000000014</v>
      </c>
      <c r="N47">
        <f t="shared" si="10"/>
        <v>4.7768882823529415</v>
      </c>
      <c r="O47">
        <f t="shared" si="11"/>
        <v>2.8221742260619149</v>
      </c>
      <c r="P47">
        <f t="shared" si="12"/>
        <v>50.400000000000006</v>
      </c>
      <c r="Q47">
        <f t="shared" si="13"/>
        <v>324</v>
      </c>
      <c r="R47">
        <f t="shared" si="14"/>
        <v>298.08</v>
      </c>
      <c r="S47">
        <f t="shared" si="15"/>
        <v>25.92</v>
      </c>
      <c r="T47">
        <f>I47*E47/'[1]Inverter Analysis'!$L$2</f>
        <v>195.65340023769318</v>
      </c>
      <c r="U47">
        <f t="shared" si="16"/>
        <v>246.91358024691357</v>
      </c>
      <c r="V47">
        <f t="shared" si="17"/>
        <v>268.38432635534087</v>
      </c>
      <c r="W47">
        <f t="shared" si="18"/>
        <v>176.3668430335097</v>
      </c>
      <c r="X47">
        <f t="shared" si="22"/>
        <v>0.28812058653284045</v>
      </c>
      <c r="Y47">
        <f t="shared" si="23"/>
        <v>3.9358520459999999</v>
      </c>
      <c r="Z47">
        <f t="shared" si="24"/>
        <v>4.0336882114597659</v>
      </c>
    </row>
    <row r="48" spans="1:26">
      <c r="A48">
        <v>15</v>
      </c>
      <c r="B48">
        <v>3</v>
      </c>
      <c r="C48" s="9">
        <v>7</v>
      </c>
      <c r="D48">
        <f t="shared" si="0"/>
        <v>420</v>
      </c>
      <c r="E48">
        <f t="shared" si="1"/>
        <v>180</v>
      </c>
      <c r="F48">
        <f t="shared" si="2"/>
        <v>22.05</v>
      </c>
      <c r="G48">
        <f t="shared" si="3"/>
        <v>0.14000000000000001</v>
      </c>
      <c r="H48">
        <f t="shared" si="4"/>
        <v>79.38</v>
      </c>
      <c r="I48">
        <f t="shared" si="5"/>
        <v>441</v>
      </c>
      <c r="J48">
        <f t="shared" si="6"/>
        <v>315</v>
      </c>
      <c r="K48">
        <f t="shared" si="7"/>
        <v>56.7</v>
      </c>
      <c r="L48">
        <f t="shared" si="8"/>
        <v>6.5792789999999997</v>
      </c>
      <c r="M48">
        <f t="shared" si="9"/>
        <v>6.366276</v>
      </c>
      <c r="N48">
        <f t="shared" si="10"/>
        <v>4.644196941176471</v>
      </c>
      <c r="O48">
        <f t="shared" si="11"/>
        <v>3.6285097192224618</v>
      </c>
      <c r="P48">
        <f t="shared" si="12"/>
        <v>63</v>
      </c>
      <c r="Q48">
        <f t="shared" si="13"/>
        <v>315</v>
      </c>
      <c r="R48">
        <f t="shared" si="14"/>
        <v>289.8</v>
      </c>
      <c r="S48">
        <f t="shared" si="15"/>
        <v>25.200000000000003</v>
      </c>
      <c r="T48">
        <f>I48*E48/'[1]Inverter Analysis'!$L$2</f>
        <v>190.21858356442394</v>
      </c>
      <c r="U48">
        <f t="shared" si="16"/>
        <v>253.96825396825398</v>
      </c>
      <c r="V48">
        <f t="shared" si="17"/>
        <v>276.05244996549345</v>
      </c>
      <c r="W48">
        <f t="shared" si="18"/>
        <v>181.40589569160997</v>
      </c>
      <c r="X48">
        <f t="shared" si="22"/>
        <v>0.30481982052780504</v>
      </c>
      <c r="Y48">
        <f t="shared" si="23"/>
        <v>3.61689078515625</v>
      </c>
      <c r="Z48">
        <f t="shared" si="24"/>
        <v>4.2674774873892707</v>
      </c>
    </row>
    <row r="49" spans="1:26">
      <c r="A49">
        <v>13</v>
      </c>
      <c r="B49">
        <v>3</v>
      </c>
      <c r="C49" s="9">
        <v>8</v>
      </c>
      <c r="D49">
        <f t="shared" si="0"/>
        <v>420</v>
      </c>
      <c r="E49">
        <f t="shared" si="1"/>
        <v>180</v>
      </c>
      <c r="F49">
        <f t="shared" si="2"/>
        <v>21.84</v>
      </c>
      <c r="G49">
        <f t="shared" si="3"/>
        <v>0.13866666666666666</v>
      </c>
      <c r="H49">
        <f t="shared" si="4"/>
        <v>78.623999999999995</v>
      </c>
      <c r="I49">
        <f t="shared" si="5"/>
        <v>436.8</v>
      </c>
      <c r="J49">
        <f t="shared" si="6"/>
        <v>312</v>
      </c>
      <c r="K49">
        <f t="shared" si="7"/>
        <v>56.16</v>
      </c>
      <c r="L49">
        <f t="shared" si="8"/>
        <v>6.5166192000000001</v>
      </c>
      <c r="M49">
        <f t="shared" si="9"/>
        <v>6.3056447999999996</v>
      </c>
      <c r="N49">
        <f t="shared" si="10"/>
        <v>4.5999664941176475</v>
      </c>
      <c r="O49">
        <f t="shared" si="11"/>
        <v>3.1749460043196542</v>
      </c>
      <c r="P49">
        <f t="shared" si="12"/>
        <v>54.6</v>
      </c>
      <c r="Q49">
        <f t="shared" si="13"/>
        <v>312</v>
      </c>
      <c r="R49">
        <f t="shared" si="14"/>
        <v>287.04000000000002</v>
      </c>
      <c r="S49">
        <f t="shared" si="15"/>
        <v>24.959999999999997</v>
      </c>
      <c r="T49">
        <f>I49*E49/'[1]Inverter Analysis'!$L$2</f>
        <v>188.40697800666752</v>
      </c>
      <c r="U49">
        <f t="shared" si="16"/>
        <v>256.41025641025641</v>
      </c>
      <c r="V49">
        <f t="shared" si="17"/>
        <v>278.70680044593087</v>
      </c>
      <c r="W49">
        <f t="shared" si="18"/>
        <v>183.15018315018315</v>
      </c>
      <c r="X49">
        <f t="shared" si="22"/>
        <v>0.31070992245923174</v>
      </c>
      <c r="Y49">
        <f t="shared" si="23"/>
        <v>3.5145321119999999</v>
      </c>
      <c r="Z49">
        <f t="shared" si="24"/>
        <v>4.3499389144292442</v>
      </c>
    </row>
    <row r="50" spans="1:26">
      <c r="A50">
        <v>10</v>
      </c>
      <c r="B50">
        <v>3</v>
      </c>
      <c r="C50" s="9">
        <v>10</v>
      </c>
      <c r="D50">
        <f t="shared" si="0"/>
        <v>420</v>
      </c>
      <c r="E50">
        <f t="shared" si="1"/>
        <v>180</v>
      </c>
      <c r="F50">
        <f t="shared" si="2"/>
        <v>21</v>
      </c>
      <c r="G50">
        <f t="shared" si="3"/>
        <v>0.13333333333333333</v>
      </c>
      <c r="H50">
        <f t="shared" si="4"/>
        <v>75.599999999999994</v>
      </c>
      <c r="I50">
        <f t="shared" si="5"/>
        <v>420</v>
      </c>
      <c r="J50">
        <f t="shared" si="6"/>
        <v>300</v>
      </c>
      <c r="K50">
        <f t="shared" si="7"/>
        <v>54</v>
      </c>
      <c r="L50">
        <f t="shared" si="8"/>
        <v>6.2659799999999999</v>
      </c>
      <c r="M50">
        <f t="shared" si="9"/>
        <v>6.0631200000000005</v>
      </c>
      <c r="N50">
        <f t="shared" si="10"/>
        <v>4.4230447058823534</v>
      </c>
      <c r="O50">
        <f t="shared" si="11"/>
        <v>2.5399568034557234</v>
      </c>
      <c r="P50">
        <f t="shared" si="12"/>
        <v>42</v>
      </c>
      <c r="Q50">
        <f t="shared" si="13"/>
        <v>300</v>
      </c>
      <c r="R50">
        <f t="shared" si="14"/>
        <v>276</v>
      </c>
      <c r="S50">
        <f t="shared" si="15"/>
        <v>24</v>
      </c>
      <c r="T50">
        <f>I50*E50/'[1]Inverter Analysis'!$L$2</f>
        <v>181.16055577564182</v>
      </c>
      <c r="U50">
        <f t="shared" si="16"/>
        <v>266.66666666666669</v>
      </c>
      <c r="V50">
        <f t="shared" si="17"/>
        <v>289.85507246376812</v>
      </c>
      <c r="W50">
        <f t="shared" si="18"/>
        <v>190.47619047619048</v>
      </c>
      <c r="X50">
        <f t="shared" si="22"/>
        <v>0.33606385213190509</v>
      </c>
      <c r="Y50">
        <f t="shared" si="23"/>
        <v>3.1244062499999998</v>
      </c>
      <c r="Z50">
        <f t="shared" si="24"/>
        <v>4.704893929846671</v>
      </c>
    </row>
    <row r="51" spans="1:26">
      <c r="A51">
        <v>11</v>
      </c>
      <c r="B51">
        <v>3</v>
      </c>
      <c r="C51" s="9">
        <v>9</v>
      </c>
      <c r="D51">
        <f t="shared" si="0"/>
        <v>420</v>
      </c>
      <c r="E51">
        <f t="shared" si="1"/>
        <v>180</v>
      </c>
      <c r="F51">
        <f t="shared" si="2"/>
        <v>20.79</v>
      </c>
      <c r="G51">
        <f t="shared" si="3"/>
        <v>0.13200000000000001</v>
      </c>
      <c r="H51">
        <f t="shared" si="4"/>
        <v>74.843999999999994</v>
      </c>
      <c r="I51">
        <f t="shared" si="5"/>
        <v>415.8</v>
      </c>
      <c r="J51">
        <f t="shared" si="6"/>
        <v>297</v>
      </c>
      <c r="K51">
        <f t="shared" si="7"/>
        <v>53.46</v>
      </c>
      <c r="L51">
        <f t="shared" si="8"/>
        <v>6.2033202000000003</v>
      </c>
      <c r="M51">
        <f t="shared" si="9"/>
        <v>6.002488800000001</v>
      </c>
      <c r="N51">
        <f t="shared" si="10"/>
        <v>4.3788142588235299</v>
      </c>
      <c r="O51">
        <f t="shared" si="11"/>
        <v>2.8221742260619149</v>
      </c>
      <c r="P51">
        <f t="shared" si="12"/>
        <v>46.2</v>
      </c>
      <c r="Q51">
        <f t="shared" si="13"/>
        <v>297</v>
      </c>
      <c r="R51">
        <f t="shared" si="14"/>
        <v>273.24</v>
      </c>
      <c r="S51">
        <f t="shared" si="15"/>
        <v>23.76</v>
      </c>
      <c r="T51">
        <f>I51*E51/'[1]Inverter Analysis'!$L$2</f>
        <v>179.34895021788543</v>
      </c>
      <c r="U51">
        <f t="shared" si="16"/>
        <v>269.36026936026934</v>
      </c>
      <c r="V51">
        <f t="shared" si="17"/>
        <v>292.78290147855364</v>
      </c>
      <c r="W51">
        <f t="shared" si="18"/>
        <v>192.4001924001924</v>
      </c>
      <c r="X51">
        <f t="shared" si="22"/>
        <v>0.34288730959280178</v>
      </c>
      <c r="Y51">
        <f t="shared" si="23"/>
        <v>3.0316082599687499</v>
      </c>
      <c r="Z51">
        <f t="shared" si="24"/>
        <v>4.8004223342992258</v>
      </c>
    </row>
    <row r="52" spans="1:26">
      <c r="A52">
        <v>14</v>
      </c>
      <c r="B52">
        <v>3</v>
      </c>
      <c r="C52" s="9">
        <v>7</v>
      </c>
      <c r="D52">
        <f t="shared" si="0"/>
        <v>420</v>
      </c>
      <c r="E52">
        <f t="shared" si="1"/>
        <v>180</v>
      </c>
      <c r="F52">
        <f t="shared" si="2"/>
        <v>20.58</v>
      </c>
      <c r="G52">
        <f t="shared" si="3"/>
        <v>0.13066666666666665</v>
      </c>
      <c r="H52">
        <f t="shared" si="4"/>
        <v>74.087999999999994</v>
      </c>
      <c r="I52">
        <f t="shared" si="5"/>
        <v>411.6</v>
      </c>
      <c r="J52">
        <f t="shared" si="6"/>
        <v>294</v>
      </c>
      <c r="K52">
        <f t="shared" si="7"/>
        <v>52.92</v>
      </c>
      <c r="L52">
        <f t="shared" si="8"/>
        <v>6.1406603999999998</v>
      </c>
      <c r="M52">
        <f t="shared" si="9"/>
        <v>5.9418576000000014</v>
      </c>
      <c r="N52">
        <f t="shared" si="10"/>
        <v>4.3345838117647064</v>
      </c>
      <c r="O52">
        <f t="shared" si="11"/>
        <v>3.6285097192224618</v>
      </c>
      <c r="P52">
        <f t="shared" si="12"/>
        <v>58.800000000000004</v>
      </c>
      <c r="Q52">
        <f t="shared" si="13"/>
        <v>294</v>
      </c>
      <c r="R52">
        <f t="shared" si="14"/>
        <v>270.48</v>
      </c>
      <c r="S52">
        <f t="shared" si="15"/>
        <v>23.519999999999996</v>
      </c>
      <c r="T52">
        <f>I52*E52/'[1]Inverter Analysis'!$L$2</f>
        <v>177.53734466012901</v>
      </c>
      <c r="U52">
        <f t="shared" si="16"/>
        <v>272.10884353741494</v>
      </c>
      <c r="V52">
        <f t="shared" si="17"/>
        <v>295.77048210588583</v>
      </c>
      <c r="W52">
        <f t="shared" si="18"/>
        <v>194.36345966958211</v>
      </c>
      <c r="X52">
        <f t="shared" si="22"/>
        <v>0.34992071234059258</v>
      </c>
      <c r="Y52">
        <f t="shared" si="23"/>
        <v>2.9406661672499994</v>
      </c>
      <c r="Z52">
        <f t="shared" si="24"/>
        <v>4.8988899727682957</v>
      </c>
    </row>
    <row r="53" spans="1:26">
      <c r="A53">
        <v>12</v>
      </c>
      <c r="B53">
        <v>3</v>
      </c>
      <c r="C53" s="9">
        <v>8</v>
      </c>
      <c r="D53">
        <f t="shared" si="0"/>
        <v>420</v>
      </c>
      <c r="E53">
        <f t="shared" si="1"/>
        <v>180</v>
      </c>
      <c r="F53">
        <f t="shared" si="2"/>
        <v>20.16</v>
      </c>
      <c r="G53">
        <f t="shared" si="3"/>
        <v>0.128</v>
      </c>
      <c r="H53">
        <f t="shared" si="4"/>
        <v>72.576000000000008</v>
      </c>
      <c r="I53">
        <f t="shared" si="5"/>
        <v>403.20000000000005</v>
      </c>
      <c r="J53">
        <f t="shared" si="6"/>
        <v>288</v>
      </c>
      <c r="K53">
        <f t="shared" si="7"/>
        <v>51.84</v>
      </c>
      <c r="L53">
        <f t="shared" si="8"/>
        <v>6.0153407999999997</v>
      </c>
      <c r="M53">
        <f t="shared" si="9"/>
        <v>5.8205952000000005</v>
      </c>
      <c r="N53">
        <f t="shared" si="10"/>
        <v>4.2461229176470585</v>
      </c>
      <c r="O53">
        <f t="shared" si="11"/>
        <v>3.1749460043196542</v>
      </c>
      <c r="P53">
        <f t="shared" si="12"/>
        <v>50.400000000000006</v>
      </c>
      <c r="Q53">
        <f t="shared" si="13"/>
        <v>288</v>
      </c>
      <c r="R53">
        <f t="shared" si="14"/>
        <v>264.95999999999998</v>
      </c>
      <c r="S53">
        <f t="shared" si="15"/>
        <v>23.04</v>
      </c>
      <c r="T53">
        <f>I53*E53/'[1]Inverter Analysis'!$L$2</f>
        <v>173.91413354461619</v>
      </c>
      <c r="U53">
        <f t="shared" si="16"/>
        <v>277.77777777777777</v>
      </c>
      <c r="V53">
        <f t="shared" si="17"/>
        <v>301.93236714975848</v>
      </c>
      <c r="W53">
        <f t="shared" si="18"/>
        <v>198.4126984126984</v>
      </c>
      <c r="X53">
        <f t="shared" si="22"/>
        <v>0.36465261733062626</v>
      </c>
      <c r="Y53">
        <f t="shared" si="23"/>
        <v>2.7642746879999991</v>
      </c>
      <c r="Z53">
        <f t="shared" si="24"/>
        <v>5.1051366426287679</v>
      </c>
    </row>
    <row r="54" spans="1:26">
      <c r="A54">
        <v>16</v>
      </c>
      <c r="B54">
        <v>3</v>
      </c>
      <c r="C54" s="9">
        <v>6</v>
      </c>
      <c r="D54">
        <f t="shared" si="0"/>
        <v>420</v>
      </c>
      <c r="E54">
        <f t="shared" si="1"/>
        <v>180</v>
      </c>
      <c r="F54">
        <f t="shared" si="2"/>
        <v>20.16</v>
      </c>
      <c r="G54">
        <f t="shared" si="3"/>
        <v>0.128</v>
      </c>
      <c r="H54">
        <f t="shared" si="4"/>
        <v>72.576000000000008</v>
      </c>
      <c r="I54">
        <f t="shared" si="5"/>
        <v>403.20000000000005</v>
      </c>
      <c r="J54">
        <f t="shared" si="6"/>
        <v>288</v>
      </c>
      <c r="K54">
        <f t="shared" si="7"/>
        <v>51.84</v>
      </c>
      <c r="L54">
        <f t="shared" si="8"/>
        <v>6.0153407999999997</v>
      </c>
      <c r="M54">
        <f t="shared" si="9"/>
        <v>5.8205952000000005</v>
      </c>
      <c r="N54">
        <f t="shared" si="10"/>
        <v>4.2461229176470585</v>
      </c>
      <c r="O54">
        <f t="shared" si="11"/>
        <v>4.2332613390928726</v>
      </c>
      <c r="P54">
        <f t="shared" si="12"/>
        <v>67.2</v>
      </c>
      <c r="Q54">
        <f t="shared" si="13"/>
        <v>288</v>
      </c>
      <c r="R54">
        <f t="shared" si="14"/>
        <v>264.95999999999998</v>
      </c>
      <c r="S54">
        <f t="shared" si="15"/>
        <v>23.04</v>
      </c>
      <c r="T54">
        <f>I54*E54/'[1]Inverter Analysis'!$L$2</f>
        <v>173.91413354461619</v>
      </c>
      <c r="U54">
        <f t="shared" si="16"/>
        <v>277.77777777777777</v>
      </c>
      <c r="V54">
        <f t="shared" si="17"/>
        <v>301.93236714975848</v>
      </c>
      <c r="W54">
        <f t="shared" si="18"/>
        <v>198.4126984126984</v>
      </c>
      <c r="X54">
        <f t="shared" si="22"/>
        <v>0.36465261733062626</v>
      </c>
      <c r="Y54">
        <f t="shared" si="23"/>
        <v>2.7642746879999991</v>
      </c>
      <c r="Z54">
        <f t="shared" si="24"/>
        <v>5.1051366426287679</v>
      </c>
    </row>
    <row r="55" spans="1:26">
      <c r="A55" s="7">
        <v>14</v>
      </c>
      <c r="B55" s="7">
        <v>2</v>
      </c>
      <c r="C55" s="11">
        <v>10</v>
      </c>
      <c r="D55" s="7">
        <f t="shared" si="0"/>
        <v>280</v>
      </c>
      <c r="E55" s="7">
        <f t="shared" si="1"/>
        <v>120</v>
      </c>
      <c r="F55" s="7">
        <f t="shared" si="2"/>
        <v>19.600000000000001</v>
      </c>
      <c r="G55" s="7">
        <f t="shared" si="3"/>
        <v>0.28000000000000003</v>
      </c>
      <c r="H55" s="7">
        <f t="shared" si="4"/>
        <v>70.56</v>
      </c>
      <c r="I55" s="7">
        <f t="shared" si="5"/>
        <v>588</v>
      </c>
      <c r="J55" s="7">
        <f t="shared" si="6"/>
        <v>420</v>
      </c>
      <c r="K55" s="7">
        <f t="shared" si="7"/>
        <v>50.4</v>
      </c>
      <c r="L55" s="7">
        <f t="shared" si="8"/>
        <v>5.8482479999999999</v>
      </c>
      <c r="M55" s="7">
        <f t="shared" si="9"/>
        <v>5.6589119999999999</v>
      </c>
      <c r="N55" s="7">
        <f t="shared" si="10"/>
        <v>4.1281750588235298</v>
      </c>
      <c r="O55" s="7">
        <f t="shared" si="11"/>
        <v>1.693304535637149</v>
      </c>
      <c r="P55" s="7">
        <f t="shared" si="12"/>
        <v>58.8</v>
      </c>
      <c r="Q55" s="7">
        <f t="shared" si="13"/>
        <v>280</v>
      </c>
      <c r="R55" s="7">
        <f t="shared" si="14"/>
        <v>386.4</v>
      </c>
      <c r="S55" s="7">
        <f t="shared" si="15"/>
        <v>33.6</v>
      </c>
      <c r="T55" s="7">
        <f>I55*E55/'[1]Inverter Analysis'!$L$2</f>
        <v>169.08318539059906</v>
      </c>
      <c r="U55" s="7">
        <f t="shared" si="16"/>
        <v>190.47619047619048</v>
      </c>
      <c r="V55" s="7">
        <f t="shared" si="17"/>
        <v>207.03933747412009</v>
      </c>
      <c r="W55" s="7">
        <f t="shared" si="18"/>
        <v>136.05442176870747</v>
      </c>
      <c r="X55" s="7">
        <f t="shared" si="22"/>
        <v>0.17146114904689033</v>
      </c>
      <c r="Y55" s="7">
        <f t="shared" si="23"/>
        <v>5.7155805000000006</v>
      </c>
      <c r="Z55" s="7">
        <f t="shared" si="24"/>
        <v>2.4004560866564644</v>
      </c>
    </row>
    <row r="56" spans="1:26">
      <c r="A56">
        <v>15</v>
      </c>
      <c r="B56">
        <v>2</v>
      </c>
      <c r="C56" s="9">
        <v>9</v>
      </c>
      <c r="D56">
        <f t="shared" si="0"/>
        <v>280</v>
      </c>
      <c r="E56">
        <f t="shared" si="1"/>
        <v>120</v>
      </c>
      <c r="F56">
        <f t="shared" si="2"/>
        <v>18.899999999999999</v>
      </c>
      <c r="G56">
        <f t="shared" si="3"/>
        <v>0.27</v>
      </c>
      <c r="H56">
        <f t="shared" si="4"/>
        <v>68.040000000000006</v>
      </c>
      <c r="I56">
        <f t="shared" si="5"/>
        <v>567</v>
      </c>
      <c r="J56">
        <f t="shared" si="6"/>
        <v>405</v>
      </c>
      <c r="K56">
        <f t="shared" si="7"/>
        <v>48.6</v>
      </c>
      <c r="L56">
        <f t="shared" si="8"/>
        <v>5.6393819999999995</v>
      </c>
      <c r="M56">
        <f t="shared" si="9"/>
        <v>5.4568079999999997</v>
      </c>
      <c r="N56">
        <f t="shared" si="10"/>
        <v>3.9807402352941175</v>
      </c>
      <c r="O56">
        <f t="shared" si="11"/>
        <v>1.8814494840412768</v>
      </c>
      <c r="P56">
        <f t="shared" si="12"/>
        <v>63</v>
      </c>
      <c r="Q56">
        <f t="shared" si="13"/>
        <v>270</v>
      </c>
      <c r="R56">
        <f t="shared" si="14"/>
        <v>372.6</v>
      </c>
      <c r="S56">
        <f t="shared" si="15"/>
        <v>32.400000000000006</v>
      </c>
      <c r="T56">
        <f>I56*E56/'[1]Inverter Analysis'!$L$2</f>
        <v>163.04450019807766</v>
      </c>
      <c r="U56">
        <f t="shared" si="16"/>
        <v>197.53086419753086</v>
      </c>
      <c r="V56">
        <f t="shared" si="17"/>
        <v>214.70746108427267</v>
      </c>
      <c r="W56">
        <f t="shared" si="18"/>
        <v>141.09347442680777</v>
      </c>
      <c r="X56">
        <f t="shared" si="22"/>
        <v>0.18439717538101785</v>
      </c>
      <c r="Y56">
        <f t="shared" si="23"/>
        <v>5.1248073515625006</v>
      </c>
      <c r="Z56">
        <f t="shared" si="24"/>
        <v>2.5815604553342504</v>
      </c>
    </row>
    <row r="57" spans="1:26">
      <c r="A57">
        <v>11</v>
      </c>
      <c r="B57">
        <v>2</v>
      </c>
      <c r="C57">
        <v>12</v>
      </c>
      <c r="D57">
        <f t="shared" si="0"/>
        <v>280</v>
      </c>
      <c r="E57">
        <f t="shared" si="1"/>
        <v>120</v>
      </c>
      <c r="F57">
        <f t="shared" si="2"/>
        <v>18.48</v>
      </c>
      <c r="G57">
        <f t="shared" si="3"/>
        <v>0.26400000000000001</v>
      </c>
      <c r="H57">
        <f t="shared" si="4"/>
        <v>66.528000000000006</v>
      </c>
      <c r="I57">
        <f t="shared" si="5"/>
        <v>554.4</v>
      </c>
      <c r="J57">
        <f t="shared" si="6"/>
        <v>396</v>
      </c>
      <c r="K57">
        <f t="shared" si="7"/>
        <v>47.52</v>
      </c>
      <c r="L57">
        <f t="shared" si="8"/>
        <v>5.5140623999999994</v>
      </c>
      <c r="M57">
        <f t="shared" si="9"/>
        <v>5.3355456000000006</v>
      </c>
      <c r="N57">
        <f t="shared" si="10"/>
        <v>3.8922793411764705</v>
      </c>
      <c r="O57">
        <f t="shared" si="11"/>
        <v>1.4110871130309575</v>
      </c>
      <c r="P57">
        <f t="shared" si="12"/>
        <v>46.199999999999996</v>
      </c>
      <c r="Q57">
        <f t="shared" si="13"/>
        <v>264</v>
      </c>
      <c r="R57">
        <f t="shared" si="14"/>
        <v>364.32</v>
      </c>
      <c r="S57">
        <f t="shared" si="15"/>
        <v>31.68</v>
      </c>
      <c r="T57">
        <f>I57*E57/'[1]Inverter Analysis'!$L$2</f>
        <v>159.42128908256481</v>
      </c>
      <c r="U57">
        <f t="shared" si="16"/>
        <v>202.02020202020202</v>
      </c>
      <c r="V57">
        <f t="shared" si="17"/>
        <v>219.58717610891523</v>
      </c>
      <c r="W57">
        <f t="shared" si="18"/>
        <v>144.3001443001443</v>
      </c>
      <c r="X57">
        <f t="shared" si="22"/>
        <v>0.192874111645951</v>
      </c>
      <c r="Y57">
        <f t="shared" si="23"/>
        <v>4.7906895960000009</v>
      </c>
      <c r="Z57">
        <f t="shared" si="24"/>
        <v>2.7002375630433137</v>
      </c>
    </row>
    <row r="58" spans="1:26">
      <c r="A58">
        <v>12</v>
      </c>
      <c r="B58">
        <v>2</v>
      </c>
      <c r="C58" s="9">
        <v>11</v>
      </c>
      <c r="D58">
        <f t="shared" si="0"/>
        <v>280</v>
      </c>
      <c r="E58">
        <f t="shared" si="1"/>
        <v>120</v>
      </c>
      <c r="F58">
        <f t="shared" si="2"/>
        <v>18.48</v>
      </c>
      <c r="G58">
        <f t="shared" si="3"/>
        <v>0.26400000000000001</v>
      </c>
      <c r="H58">
        <f t="shared" si="4"/>
        <v>66.528000000000006</v>
      </c>
      <c r="I58">
        <f t="shared" si="5"/>
        <v>554.4</v>
      </c>
      <c r="J58">
        <f t="shared" si="6"/>
        <v>396</v>
      </c>
      <c r="K58">
        <f t="shared" si="7"/>
        <v>47.52</v>
      </c>
      <c r="L58">
        <f t="shared" si="8"/>
        <v>5.5140623999999994</v>
      </c>
      <c r="M58">
        <f t="shared" si="9"/>
        <v>5.3355456000000006</v>
      </c>
      <c r="N58">
        <f t="shared" si="10"/>
        <v>3.8922793411764705</v>
      </c>
      <c r="O58">
        <f t="shared" si="11"/>
        <v>1.5393677596701354</v>
      </c>
      <c r="P58">
        <f t="shared" si="12"/>
        <v>50.4</v>
      </c>
      <c r="Q58">
        <f t="shared" si="13"/>
        <v>264</v>
      </c>
      <c r="R58">
        <f t="shared" si="14"/>
        <v>364.32</v>
      </c>
      <c r="S58">
        <f t="shared" si="15"/>
        <v>31.68</v>
      </c>
      <c r="T58">
        <f>I58*E58/'[1]Inverter Analysis'!$L$2</f>
        <v>159.42128908256481</v>
      </c>
      <c r="U58">
        <f t="shared" si="16"/>
        <v>202.02020202020202</v>
      </c>
      <c r="V58">
        <f t="shared" si="17"/>
        <v>219.58717610891523</v>
      </c>
      <c r="W58">
        <f t="shared" si="18"/>
        <v>144.3001443001443</v>
      </c>
      <c r="X58">
        <f t="shared" si="22"/>
        <v>0.192874111645951</v>
      </c>
      <c r="Y58">
        <f t="shared" si="23"/>
        <v>4.7906895960000009</v>
      </c>
      <c r="Z58">
        <f t="shared" si="24"/>
        <v>2.7002375630433137</v>
      </c>
    </row>
    <row r="59" spans="1:26">
      <c r="A59">
        <v>13</v>
      </c>
      <c r="B59">
        <v>2</v>
      </c>
      <c r="C59" s="9">
        <v>10</v>
      </c>
      <c r="D59">
        <f t="shared" si="0"/>
        <v>280</v>
      </c>
      <c r="E59">
        <f t="shared" si="1"/>
        <v>120</v>
      </c>
      <c r="F59">
        <f t="shared" si="2"/>
        <v>18.2</v>
      </c>
      <c r="G59">
        <f t="shared" si="3"/>
        <v>0.26</v>
      </c>
      <c r="H59">
        <f t="shared" si="4"/>
        <v>65.52</v>
      </c>
      <c r="I59">
        <f t="shared" si="5"/>
        <v>546</v>
      </c>
      <c r="J59">
        <f t="shared" si="6"/>
        <v>390</v>
      </c>
      <c r="K59">
        <f t="shared" si="7"/>
        <v>46.8</v>
      </c>
      <c r="L59">
        <f t="shared" si="8"/>
        <v>5.4305159999999999</v>
      </c>
      <c r="M59">
        <f t="shared" si="9"/>
        <v>5.2547040000000003</v>
      </c>
      <c r="N59">
        <f t="shared" si="10"/>
        <v>3.8333054117647061</v>
      </c>
      <c r="O59">
        <f t="shared" si="11"/>
        <v>1.693304535637149</v>
      </c>
      <c r="P59">
        <f t="shared" si="12"/>
        <v>54.6</v>
      </c>
      <c r="Q59">
        <f t="shared" si="13"/>
        <v>260</v>
      </c>
      <c r="R59">
        <f t="shared" si="14"/>
        <v>358.8</v>
      </c>
      <c r="S59">
        <f t="shared" si="15"/>
        <v>31.200000000000003</v>
      </c>
      <c r="T59">
        <f>I59*E59/'[1]Inverter Analysis'!$L$2</f>
        <v>157.00581500555626</v>
      </c>
      <c r="U59">
        <f t="shared" si="16"/>
        <v>205.12820512820514</v>
      </c>
      <c r="V59">
        <f t="shared" si="17"/>
        <v>222.96544035674469</v>
      </c>
      <c r="W59">
        <f t="shared" si="18"/>
        <v>146.52014652014651</v>
      </c>
      <c r="X59">
        <f t="shared" si="22"/>
        <v>0.19885435037390828</v>
      </c>
      <c r="Y59">
        <f t="shared" si="23"/>
        <v>4.576213687500001</v>
      </c>
      <c r="Z59">
        <f t="shared" si="24"/>
        <v>2.7839609052347161</v>
      </c>
    </row>
    <row r="60" spans="1:26">
      <c r="A60">
        <v>16</v>
      </c>
      <c r="B60">
        <v>2</v>
      </c>
      <c r="C60" s="9">
        <v>8</v>
      </c>
      <c r="D60">
        <f t="shared" si="0"/>
        <v>280</v>
      </c>
      <c r="E60">
        <f t="shared" si="1"/>
        <v>120</v>
      </c>
      <c r="F60">
        <f t="shared" si="2"/>
        <v>17.920000000000002</v>
      </c>
      <c r="G60">
        <f t="shared" si="3"/>
        <v>0.25600000000000001</v>
      </c>
      <c r="H60">
        <f t="shared" si="4"/>
        <v>64.512</v>
      </c>
      <c r="I60">
        <f t="shared" si="5"/>
        <v>537.6</v>
      </c>
      <c r="J60">
        <f t="shared" si="6"/>
        <v>384</v>
      </c>
      <c r="K60">
        <f t="shared" si="7"/>
        <v>46.08</v>
      </c>
      <c r="L60">
        <f t="shared" si="8"/>
        <v>5.3469696000000004</v>
      </c>
      <c r="M60">
        <f t="shared" si="9"/>
        <v>5.1738624000000009</v>
      </c>
      <c r="N60">
        <f t="shared" si="10"/>
        <v>3.7743314823529417</v>
      </c>
      <c r="O60">
        <f t="shared" si="11"/>
        <v>2.1166306695464363</v>
      </c>
      <c r="P60">
        <f t="shared" si="12"/>
        <v>67.2</v>
      </c>
      <c r="Q60">
        <f t="shared" si="13"/>
        <v>256</v>
      </c>
      <c r="R60">
        <f t="shared" si="14"/>
        <v>353.28</v>
      </c>
      <c r="S60">
        <f t="shared" si="15"/>
        <v>30.72</v>
      </c>
      <c r="T60">
        <f>I60*E60/'[1]Inverter Analysis'!$L$2</f>
        <v>154.5903409285477</v>
      </c>
      <c r="U60">
        <f t="shared" si="16"/>
        <v>208.33333333333334</v>
      </c>
      <c r="V60">
        <f t="shared" si="17"/>
        <v>226.44927536231887</v>
      </c>
      <c r="W60">
        <f t="shared" si="18"/>
        <v>148.8095238095238</v>
      </c>
      <c r="X60">
        <f t="shared" si="22"/>
        <v>0.20511709724847729</v>
      </c>
      <c r="Y60">
        <f t="shared" si="23"/>
        <v>4.3682365439999984</v>
      </c>
      <c r="Z60">
        <f t="shared" si="24"/>
        <v>2.8716393614786822</v>
      </c>
    </row>
    <row r="61" spans="1:26">
      <c r="A61">
        <v>14</v>
      </c>
      <c r="B61">
        <v>2</v>
      </c>
      <c r="C61" s="9">
        <v>9</v>
      </c>
      <c r="D61">
        <f t="shared" si="0"/>
        <v>280</v>
      </c>
      <c r="E61">
        <f t="shared" si="1"/>
        <v>120</v>
      </c>
      <c r="F61">
        <f t="shared" si="2"/>
        <v>17.64</v>
      </c>
      <c r="G61">
        <f t="shared" si="3"/>
        <v>0.252</v>
      </c>
      <c r="H61">
        <f t="shared" si="4"/>
        <v>63.504000000000005</v>
      </c>
      <c r="I61">
        <f t="shared" si="5"/>
        <v>529.20000000000005</v>
      </c>
      <c r="J61">
        <f t="shared" si="6"/>
        <v>378</v>
      </c>
      <c r="K61">
        <f t="shared" si="7"/>
        <v>45.36</v>
      </c>
      <c r="L61">
        <f t="shared" si="8"/>
        <v>5.2634232000000001</v>
      </c>
      <c r="M61">
        <f t="shared" si="9"/>
        <v>5.0930208000000015</v>
      </c>
      <c r="N61">
        <f t="shared" si="10"/>
        <v>3.7153575529411769</v>
      </c>
      <c r="O61">
        <f t="shared" si="11"/>
        <v>1.8814494840412768</v>
      </c>
      <c r="P61">
        <f t="shared" si="12"/>
        <v>58.800000000000004</v>
      </c>
      <c r="Q61">
        <f t="shared" si="13"/>
        <v>252</v>
      </c>
      <c r="R61">
        <f t="shared" si="14"/>
        <v>347.76</v>
      </c>
      <c r="S61">
        <f t="shared" si="15"/>
        <v>30.240000000000002</v>
      </c>
      <c r="T61">
        <f>I61*E61/'[1]Inverter Analysis'!$L$2</f>
        <v>152.17486685153915</v>
      </c>
      <c r="U61">
        <f t="shared" si="16"/>
        <v>211.64021164021165</v>
      </c>
      <c r="V61">
        <f t="shared" si="17"/>
        <v>230.04370830457788</v>
      </c>
      <c r="W61">
        <f t="shared" si="18"/>
        <v>151.17157974300829</v>
      </c>
      <c r="X61">
        <f t="shared" si="22"/>
        <v>0.21168043092208685</v>
      </c>
      <c r="Y61">
        <f t="shared" si="23"/>
        <v>4.1666581845000001</v>
      </c>
      <c r="Z61">
        <f t="shared" si="24"/>
        <v>2.9635260329092157</v>
      </c>
    </row>
    <row r="62" spans="1:26">
      <c r="A62">
        <v>11</v>
      </c>
      <c r="B62">
        <v>2</v>
      </c>
      <c r="C62" s="9">
        <v>11</v>
      </c>
      <c r="D62">
        <f t="shared" si="0"/>
        <v>280</v>
      </c>
      <c r="E62">
        <f t="shared" si="1"/>
        <v>120</v>
      </c>
      <c r="F62">
        <f t="shared" si="2"/>
        <v>16.940000000000001</v>
      </c>
      <c r="G62">
        <f t="shared" si="3"/>
        <v>0.24199999999999999</v>
      </c>
      <c r="H62">
        <f t="shared" si="4"/>
        <v>60.984000000000009</v>
      </c>
      <c r="I62">
        <f t="shared" si="5"/>
        <v>508.20000000000005</v>
      </c>
      <c r="J62">
        <f t="shared" si="6"/>
        <v>363</v>
      </c>
      <c r="K62">
        <f t="shared" si="7"/>
        <v>43.56</v>
      </c>
      <c r="L62">
        <f t="shared" si="8"/>
        <v>5.0545572000000005</v>
      </c>
      <c r="M62">
        <f t="shared" si="9"/>
        <v>4.8909168000000012</v>
      </c>
      <c r="N62">
        <f t="shared" si="10"/>
        <v>3.5679227294117655</v>
      </c>
      <c r="O62">
        <f t="shared" si="11"/>
        <v>1.5393677596701354</v>
      </c>
      <c r="P62">
        <f t="shared" si="12"/>
        <v>46.2</v>
      </c>
      <c r="Q62">
        <f t="shared" si="13"/>
        <v>242</v>
      </c>
      <c r="R62">
        <f t="shared" si="14"/>
        <v>333.96</v>
      </c>
      <c r="S62">
        <f t="shared" si="15"/>
        <v>29.04</v>
      </c>
      <c r="T62">
        <f>I62*E62/'[1]Inverter Analysis'!$L$2</f>
        <v>146.13618165901775</v>
      </c>
      <c r="U62">
        <f t="shared" si="16"/>
        <v>220.38567493112947</v>
      </c>
      <c r="V62">
        <f t="shared" si="17"/>
        <v>239.54964666427119</v>
      </c>
      <c r="W62">
        <f t="shared" si="18"/>
        <v>157.41833923652104</v>
      </c>
      <c r="X62">
        <f t="shared" si="22"/>
        <v>0.22953613286790869</v>
      </c>
      <c r="Y62">
        <f t="shared" si="23"/>
        <v>3.6900508404374994</v>
      </c>
      <c r="Z62">
        <f t="shared" si="24"/>
        <v>3.2135058601507223</v>
      </c>
    </row>
    <row r="63" spans="1:26">
      <c r="A63">
        <v>10</v>
      </c>
      <c r="B63">
        <v>2</v>
      </c>
      <c r="C63">
        <v>12</v>
      </c>
      <c r="D63">
        <f t="shared" si="0"/>
        <v>280</v>
      </c>
      <c r="E63">
        <f t="shared" si="1"/>
        <v>120</v>
      </c>
      <c r="F63">
        <f t="shared" si="2"/>
        <v>16.8</v>
      </c>
      <c r="G63">
        <f t="shared" si="3"/>
        <v>0.24</v>
      </c>
      <c r="H63">
        <f t="shared" si="4"/>
        <v>60.48</v>
      </c>
      <c r="I63">
        <f t="shared" si="5"/>
        <v>504</v>
      </c>
      <c r="J63">
        <f t="shared" si="6"/>
        <v>360</v>
      </c>
      <c r="K63">
        <f t="shared" si="7"/>
        <v>43.2</v>
      </c>
      <c r="L63">
        <f t="shared" si="8"/>
        <v>5.0127839999999999</v>
      </c>
      <c r="M63">
        <f t="shared" si="9"/>
        <v>4.8504959999999997</v>
      </c>
      <c r="N63">
        <f t="shared" si="10"/>
        <v>3.5384357647058824</v>
      </c>
      <c r="O63">
        <f t="shared" si="11"/>
        <v>1.4110871130309575</v>
      </c>
      <c r="P63">
        <f t="shared" si="12"/>
        <v>42</v>
      </c>
      <c r="Q63">
        <f t="shared" si="13"/>
        <v>240</v>
      </c>
      <c r="R63">
        <f t="shared" si="14"/>
        <v>331.2</v>
      </c>
      <c r="S63">
        <f t="shared" si="15"/>
        <v>28.799999999999997</v>
      </c>
      <c r="T63">
        <f>I63*E63/'[1]Inverter Analysis'!$L$2</f>
        <v>144.92844462051346</v>
      </c>
      <c r="U63">
        <f t="shared" si="16"/>
        <v>222.22222222222223</v>
      </c>
      <c r="V63">
        <f t="shared" si="17"/>
        <v>241.54589371980677</v>
      </c>
      <c r="W63">
        <f t="shared" si="18"/>
        <v>158.73015873015873</v>
      </c>
      <c r="X63">
        <f t="shared" si="22"/>
        <v>0.23337767509160073</v>
      </c>
      <c r="Y63">
        <f t="shared" si="23"/>
        <v>3.599316</v>
      </c>
      <c r="Z63">
        <f t="shared" si="24"/>
        <v>3.2672874512824106</v>
      </c>
    </row>
    <row r="64" spans="1:26">
      <c r="A64">
        <v>12</v>
      </c>
      <c r="B64">
        <v>2</v>
      </c>
      <c r="C64" s="9">
        <v>10</v>
      </c>
      <c r="D64">
        <f t="shared" si="0"/>
        <v>280</v>
      </c>
      <c r="E64">
        <f t="shared" si="1"/>
        <v>120</v>
      </c>
      <c r="F64">
        <f t="shared" si="2"/>
        <v>16.8</v>
      </c>
      <c r="G64">
        <f t="shared" si="3"/>
        <v>0.24</v>
      </c>
      <c r="H64">
        <f t="shared" si="4"/>
        <v>60.48</v>
      </c>
      <c r="I64">
        <f t="shared" si="5"/>
        <v>504</v>
      </c>
      <c r="J64">
        <f t="shared" si="6"/>
        <v>360</v>
      </c>
      <c r="K64">
        <f t="shared" si="7"/>
        <v>43.2</v>
      </c>
      <c r="L64">
        <f t="shared" si="8"/>
        <v>5.0127839999999999</v>
      </c>
      <c r="M64">
        <f t="shared" si="9"/>
        <v>4.8504959999999997</v>
      </c>
      <c r="N64">
        <f t="shared" si="10"/>
        <v>3.5384357647058824</v>
      </c>
      <c r="O64">
        <f t="shared" si="11"/>
        <v>1.693304535637149</v>
      </c>
      <c r="P64">
        <f t="shared" si="12"/>
        <v>50.4</v>
      </c>
      <c r="Q64">
        <f t="shared" si="13"/>
        <v>240</v>
      </c>
      <c r="R64">
        <f t="shared" si="14"/>
        <v>331.2</v>
      </c>
      <c r="S64">
        <f t="shared" si="15"/>
        <v>28.799999999999997</v>
      </c>
      <c r="T64">
        <f>I64*E64/'[1]Inverter Analysis'!$L$2</f>
        <v>144.92844462051346</v>
      </c>
      <c r="U64">
        <f t="shared" si="16"/>
        <v>222.22222222222223</v>
      </c>
      <c r="V64">
        <f t="shared" si="17"/>
        <v>241.54589371980677</v>
      </c>
      <c r="W64">
        <f t="shared" si="18"/>
        <v>158.73015873015873</v>
      </c>
      <c r="X64">
        <f t="shared" si="22"/>
        <v>0.23337767509160073</v>
      </c>
      <c r="Y64">
        <f t="shared" si="23"/>
        <v>3.599316</v>
      </c>
      <c r="Z64">
        <f t="shared" si="24"/>
        <v>3.2672874512824106</v>
      </c>
    </row>
    <row r="65" spans="1:26">
      <c r="A65">
        <v>15</v>
      </c>
      <c r="B65">
        <v>2</v>
      </c>
      <c r="C65" s="9">
        <v>8</v>
      </c>
      <c r="D65">
        <f t="shared" si="0"/>
        <v>280</v>
      </c>
      <c r="E65">
        <f t="shared" si="1"/>
        <v>120</v>
      </c>
      <c r="F65">
        <f t="shared" si="2"/>
        <v>16.8</v>
      </c>
      <c r="G65">
        <f t="shared" si="3"/>
        <v>0.24</v>
      </c>
      <c r="H65">
        <f t="shared" si="4"/>
        <v>60.48</v>
      </c>
      <c r="I65">
        <f t="shared" si="5"/>
        <v>504</v>
      </c>
      <c r="J65">
        <f t="shared" si="6"/>
        <v>360</v>
      </c>
      <c r="K65">
        <f t="shared" si="7"/>
        <v>43.2</v>
      </c>
      <c r="L65">
        <f t="shared" si="8"/>
        <v>5.0127839999999999</v>
      </c>
      <c r="M65">
        <f t="shared" si="9"/>
        <v>4.8504959999999997</v>
      </c>
      <c r="N65">
        <f t="shared" si="10"/>
        <v>3.5384357647058824</v>
      </c>
      <c r="O65">
        <f t="shared" si="11"/>
        <v>2.1166306695464363</v>
      </c>
      <c r="P65">
        <f t="shared" si="12"/>
        <v>63</v>
      </c>
      <c r="Q65">
        <f t="shared" si="13"/>
        <v>240</v>
      </c>
      <c r="R65">
        <f t="shared" si="14"/>
        <v>331.2</v>
      </c>
      <c r="S65">
        <f t="shared" si="15"/>
        <v>28.799999999999997</v>
      </c>
      <c r="T65">
        <f>I65*E65/'[1]Inverter Analysis'!$L$2</f>
        <v>144.92844462051346</v>
      </c>
      <c r="U65">
        <f t="shared" si="16"/>
        <v>222.22222222222223</v>
      </c>
      <c r="V65">
        <f t="shared" si="17"/>
        <v>241.54589371980677</v>
      </c>
      <c r="W65">
        <f t="shared" si="18"/>
        <v>158.73015873015873</v>
      </c>
      <c r="X65">
        <f t="shared" si="22"/>
        <v>0.23337767509160073</v>
      </c>
      <c r="Y65">
        <f t="shared" si="23"/>
        <v>3.599316</v>
      </c>
      <c r="Z65">
        <f t="shared" si="24"/>
        <v>3.2672874512824106</v>
      </c>
    </row>
    <row r="66" spans="1:26">
      <c r="A66">
        <v>13</v>
      </c>
      <c r="B66">
        <v>2</v>
      </c>
      <c r="C66" s="9">
        <v>9</v>
      </c>
      <c r="D66">
        <f t="shared" si="0"/>
        <v>280</v>
      </c>
      <c r="E66">
        <f t="shared" si="1"/>
        <v>120</v>
      </c>
      <c r="F66">
        <f t="shared" si="2"/>
        <v>16.38</v>
      </c>
      <c r="G66">
        <f t="shared" si="3"/>
        <v>0.23400000000000001</v>
      </c>
      <c r="H66">
        <f t="shared" si="4"/>
        <v>58.968000000000011</v>
      </c>
      <c r="I66">
        <f t="shared" si="5"/>
        <v>491.40000000000003</v>
      </c>
      <c r="J66">
        <f t="shared" si="6"/>
        <v>351</v>
      </c>
      <c r="K66">
        <f t="shared" si="7"/>
        <v>42.12</v>
      </c>
      <c r="L66">
        <f t="shared" si="8"/>
        <v>4.8874643999999998</v>
      </c>
      <c r="M66">
        <f t="shared" si="9"/>
        <v>4.7292336000000006</v>
      </c>
      <c r="N66">
        <f t="shared" si="10"/>
        <v>3.4499748705882354</v>
      </c>
      <c r="O66">
        <f t="shared" si="11"/>
        <v>1.8814494840412768</v>
      </c>
      <c r="P66">
        <f t="shared" si="12"/>
        <v>54.6</v>
      </c>
      <c r="Q66">
        <f t="shared" si="13"/>
        <v>234</v>
      </c>
      <c r="R66">
        <f t="shared" si="14"/>
        <v>322.92</v>
      </c>
      <c r="S66">
        <f t="shared" si="15"/>
        <v>28.080000000000002</v>
      </c>
      <c r="T66">
        <f>I66*E66/'[1]Inverter Analysis'!$L$2</f>
        <v>141.30523350500064</v>
      </c>
      <c r="U66">
        <f t="shared" si="16"/>
        <v>227.92022792022792</v>
      </c>
      <c r="V66">
        <f t="shared" si="17"/>
        <v>247.73937817416078</v>
      </c>
      <c r="W66">
        <f t="shared" si="18"/>
        <v>162.80016280016278</v>
      </c>
      <c r="X66">
        <f t="shared" si="22"/>
        <v>0.24549919799247941</v>
      </c>
      <c r="Y66">
        <f t="shared" si="23"/>
        <v>3.3360597781874999</v>
      </c>
      <c r="Z66">
        <f t="shared" si="24"/>
        <v>3.4369887718947116</v>
      </c>
    </row>
    <row r="67" spans="1:26">
      <c r="A67">
        <v>14</v>
      </c>
      <c r="B67">
        <v>2</v>
      </c>
      <c r="C67" s="9">
        <v>8</v>
      </c>
      <c r="D67">
        <f t="shared" si="0"/>
        <v>280</v>
      </c>
      <c r="E67">
        <f t="shared" si="1"/>
        <v>120</v>
      </c>
      <c r="F67">
        <f t="shared" si="2"/>
        <v>15.68</v>
      </c>
      <c r="G67">
        <f t="shared" si="3"/>
        <v>0.224</v>
      </c>
      <c r="H67">
        <f t="shared" si="4"/>
        <v>56.448000000000008</v>
      </c>
      <c r="I67">
        <f t="shared" si="5"/>
        <v>470.40000000000003</v>
      </c>
      <c r="J67">
        <f t="shared" si="6"/>
        <v>336</v>
      </c>
      <c r="K67">
        <f t="shared" si="7"/>
        <v>40.32</v>
      </c>
      <c r="L67">
        <f t="shared" si="8"/>
        <v>4.6785984000000003</v>
      </c>
      <c r="M67">
        <f t="shared" si="9"/>
        <v>4.5271296000000003</v>
      </c>
      <c r="N67">
        <f t="shared" si="10"/>
        <v>3.302540047058824</v>
      </c>
      <c r="O67">
        <f t="shared" si="11"/>
        <v>2.1166306695464363</v>
      </c>
      <c r="P67">
        <f t="shared" si="12"/>
        <v>58.800000000000004</v>
      </c>
      <c r="Q67">
        <f t="shared" si="13"/>
        <v>224</v>
      </c>
      <c r="R67">
        <f t="shared" si="14"/>
        <v>309.12</v>
      </c>
      <c r="S67">
        <f t="shared" si="15"/>
        <v>26.88</v>
      </c>
      <c r="T67">
        <f>I67*E67/'[1]Inverter Analysis'!$L$2</f>
        <v>135.26654831247924</v>
      </c>
      <c r="U67">
        <f t="shared" si="16"/>
        <v>238.0952380952381</v>
      </c>
      <c r="V67">
        <f t="shared" si="17"/>
        <v>258.79917184265008</v>
      </c>
      <c r="W67">
        <f t="shared" si="18"/>
        <v>170.06802721088434</v>
      </c>
      <c r="X67">
        <f t="shared" si="22"/>
        <v>0.26790804538576612</v>
      </c>
      <c r="Y67">
        <f t="shared" si="23"/>
        <v>2.9263772160000006</v>
      </c>
      <c r="Z67">
        <f t="shared" si="24"/>
        <v>3.750712635400725</v>
      </c>
    </row>
    <row r="68" spans="1:26">
      <c r="A68">
        <v>16</v>
      </c>
      <c r="B68">
        <v>2</v>
      </c>
      <c r="C68" s="9">
        <v>7</v>
      </c>
      <c r="D68">
        <f t="shared" si="0"/>
        <v>280</v>
      </c>
      <c r="E68">
        <f t="shared" si="1"/>
        <v>120</v>
      </c>
      <c r="F68">
        <f t="shared" si="2"/>
        <v>15.68</v>
      </c>
      <c r="G68">
        <f t="shared" si="3"/>
        <v>0.224</v>
      </c>
      <c r="H68">
        <f t="shared" si="4"/>
        <v>56.448000000000008</v>
      </c>
      <c r="I68">
        <f t="shared" si="5"/>
        <v>470.40000000000003</v>
      </c>
      <c r="J68">
        <f t="shared" si="6"/>
        <v>336</v>
      </c>
      <c r="K68">
        <f t="shared" si="7"/>
        <v>40.32</v>
      </c>
      <c r="L68">
        <f t="shared" si="8"/>
        <v>4.6785984000000003</v>
      </c>
      <c r="M68">
        <f t="shared" si="9"/>
        <v>4.5271296000000003</v>
      </c>
      <c r="N68">
        <f t="shared" si="10"/>
        <v>3.302540047058824</v>
      </c>
      <c r="O68">
        <f t="shared" si="11"/>
        <v>2.4190064794816415</v>
      </c>
      <c r="P68">
        <f t="shared" si="12"/>
        <v>67.2</v>
      </c>
      <c r="Q68">
        <f t="shared" si="13"/>
        <v>224</v>
      </c>
      <c r="R68">
        <f t="shared" si="14"/>
        <v>309.12</v>
      </c>
      <c r="S68">
        <f t="shared" si="15"/>
        <v>26.88</v>
      </c>
      <c r="T68">
        <f>I68*E68/'[1]Inverter Analysis'!$L$2</f>
        <v>135.26654831247924</v>
      </c>
      <c r="U68">
        <f t="shared" si="16"/>
        <v>238.0952380952381</v>
      </c>
      <c r="V68">
        <f t="shared" si="17"/>
        <v>258.79917184265008</v>
      </c>
      <c r="W68">
        <f t="shared" si="18"/>
        <v>170.06802721088434</v>
      </c>
      <c r="X68">
        <f t="shared" si="22"/>
        <v>0.26790804538576612</v>
      </c>
      <c r="Y68">
        <f t="shared" si="23"/>
        <v>2.9263772160000006</v>
      </c>
      <c r="Z68">
        <f t="shared" si="24"/>
        <v>3.750712635400725</v>
      </c>
    </row>
    <row r="69" spans="1:26">
      <c r="A69">
        <v>10</v>
      </c>
      <c r="B69">
        <v>2</v>
      </c>
      <c r="C69" s="9">
        <v>11</v>
      </c>
      <c r="D69">
        <f t="shared" si="0"/>
        <v>280</v>
      </c>
      <c r="E69">
        <f t="shared" si="1"/>
        <v>120</v>
      </c>
      <c r="F69">
        <f t="shared" si="2"/>
        <v>15.4</v>
      </c>
      <c r="G69">
        <f t="shared" si="3"/>
        <v>0.22</v>
      </c>
      <c r="H69">
        <f t="shared" si="4"/>
        <v>55.44</v>
      </c>
      <c r="I69">
        <f t="shared" si="5"/>
        <v>462</v>
      </c>
      <c r="J69">
        <f t="shared" si="6"/>
        <v>330</v>
      </c>
      <c r="K69">
        <f t="shared" si="7"/>
        <v>39.6</v>
      </c>
      <c r="L69">
        <f t="shared" si="8"/>
        <v>4.5950519999999999</v>
      </c>
      <c r="M69">
        <f t="shared" si="9"/>
        <v>4.4462880000000009</v>
      </c>
      <c r="N69">
        <f t="shared" si="10"/>
        <v>3.2435661176470592</v>
      </c>
      <c r="O69">
        <f t="shared" si="11"/>
        <v>1.5393677596701354</v>
      </c>
      <c r="P69">
        <f t="shared" si="12"/>
        <v>42</v>
      </c>
      <c r="Q69">
        <f t="shared" si="13"/>
        <v>220</v>
      </c>
      <c r="R69">
        <f t="shared" si="14"/>
        <v>303.60000000000002</v>
      </c>
      <c r="S69">
        <f t="shared" si="15"/>
        <v>26.4</v>
      </c>
      <c r="T69">
        <f>I69*E69/'[1]Inverter Analysis'!$L$2</f>
        <v>132.85107423547069</v>
      </c>
      <c r="U69">
        <f t="shared" si="16"/>
        <v>242.42424242424244</v>
      </c>
      <c r="V69">
        <f t="shared" si="17"/>
        <v>263.50461133069825</v>
      </c>
      <c r="W69">
        <f t="shared" si="18"/>
        <v>173.16017316017317</v>
      </c>
      <c r="X69">
        <f t="shared" si="22"/>
        <v>0.27773872077016937</v>
      </c>
      <c r="Y69">
        <f t="shared" si="23"/>
        <v>2.7723898125000006</v>
      </c>
      <c r="Z69">
        <f t="shared" si="24"/>
        <v>3.8883420907823716</v>
      </c>
    </row>
    <row r="70" spans="1:26">
      <c r="A70">
        <v>11</v>
      </c>
      <c r="B70">
        <v>2</v>
      </c>
      <c r="C70" s="9">
        <v>10</v>
      </c>
      <c r="D70">
        <f t="shared" si="0"/>
        <v>280</v>
      </c>
      <c r="E70">
        <f t="shared" si="1"/>
        <v>120</v>
      </c>
      <c r="F70">
        <f t="shared" si="2"/>
        <v>15.4</v>
      </c>
      <c r="G70">
        <f t="shared" si="3"/>
        <v>0.21999999999999997</v>
      </c>
      <c r="H70">
        <f t="shared" si="4"/>
        <v>55.44</v>
      </c>
      <c r="I70">
        <f t="shared" si="5"/>
        <v>462</v>
      </c>
      <c r="J70">
        <f t="shared" si="6"/>
        <v>330</v>
      </c>
      <c r="K70">
        <f t="shared" si="7"/>
        <v>39.6</v>
      </c>
      <c r="L70">
        <f t="shared" si="8"/>
        <v>4.5950519999999999</v>
      </c>
      <c r="M70">
        <f t="shared" si="9"/>
        <v>4.4462880000000009</v>
      </c>
      <c r="N70">
        <f t="shared" si="10"/>
        <v>3.2435661176470592</v>
      </c>
      <c r="O70">
        <f t="shared" si="11"/>
        <v>1.693304535637149</v>
      </c>
      <c r="P70">
        <f t="shared" si="12"/>
        <v>46.2</v>
      </c>
      <c r="Q70">
        <f t="shared" si="13"/>
        <v>220</v>
      </c>
      <c r="R70">
        <f t="shared" si="14"/>
        <v>303.60000000000002</v>
      </c>
      <c r="S70">
        <f t="shared" si="15"/>
        <v>26.4</v>
      </c>
      <c r="T70">
        <f>I70*E70/'[1]Inverter Analysis'!$L$2</f>
        <v>132.85107423547069</v>
      </c>
      <c r="U70">
        <f t="shared" si="16"/>
        <v>242.42424242424244</v>
      </c>
      <c r="V70">
        <f t="shared" si="17"/>
        <v>263.50461133069825</v>
      </c>
      <c r="W70">
        <f t="shared" si="18"/>
        <v>173.16017316017317</v>
      </c>
      <c r="X70">
        <f t="shared" si="22"/>
        <v>0.27773872077016937</v>
      </c>
      <c r="Y70">
        <f t="shared" si="23"/>
        <v>2.7723898125000006</v>
      </c>
      <c r="Z70">
        <f t="shared" si="24"/>
        <v>3.8883420907823716</v>
      </c>
    </row>
    <row r="71" spans="1:26">
      <c r="A71">
        <v>12</v>
      </c>
      <c r="B71">
        <v>2</v>
      </c>
      <c r="C71" s="9">
        <v>9</v>
      </c>
      <c r="D71">
        <f t="shared" ref="D71:D134" si="25">B71*$J$3</f>
        <v>280</v>
      </c>
      <c r="E71">
        <f t="shared" ref="E71:E134" si="26">B71*$I$3</f>
        <v>120</v>
      </c>
      <c r="F71">
        <f t="shared" ref="F71:F134" si="27">A71*B71*C71*$Q$3/1000</f>
        <v>15.12</v>
      </c>
      <c r="G71">
        <f t="shared" ref="G71:G134" si="28">((B71*$R$3^(-1))^(-1))*A71*C71</f>
        <v>0.216</v>
      </c>
      <c r="H71">
        <f t="shared" ref="H71:H134" si="29">E71*I71/1000</f>
        <v>54.432000000000002</v>
      </c>
      <c r="I71">
        <f t="shared" ref="I71:I134" si="30">A71*C71*4.2</f>
        <v>453.6</v>
      </c>
      <c r="J71">
        <f t="shared" ref="J71:J134" si="31">C71*A71*$K$3</f>
        <v>324</v>
      </c>
      <c r="K71">
        <f t="shared" ref="K71:K134" si="32">E71*J71/1000</f>
        <v>38.880000000000003</v>
      </c>
      <c r="L71">
        <f t="shared" ref="L71:L134" si="33">$O$3/1000*I71*B71/1000</f>
        <v>4.5115056000000004</v>
      </c>
      <c r="M71">
        <f t="shared" ref="M71:M134" si="34">$P$3/1000*I71*B71/1000</f>
        <v>4.3654464000000006</v>
      </c>
      <c r="N71">
        <f t="shared" ref="N71:N134" si="35">L71*(($L$3-$K$3)/($L$3-$M$3))</f>
        <v>3.1845921882352948</v>
      </c>
      <c r="O71">
        <f t="shared" ref="O71:O134" si="36">$H$3/1000*B71*$I$7/277.8/C71</f>
        <v>1.8814494840412768</v>
      </c>
      <c r="P71">
        <f t="shared" ref="P71:P134" si="37">I71/C71</f>
        <v>50.400000000000006</v>
      </c>
      <c r="Q71">
        <f t="shared" ref="Q71:Q134" si="38">(A71*B71*C71)</f>
        <v>216</v>
      </c>
      <c r="R71">
        <f t="shared" ref="R71:R134" si="39">J71-(G71*E71)</f>
        <v>298.08</v>
      </c>
      <c r="S71">
        <f t="shared" ref="S71:S134" si="40">G71*E71</f>
        <v>25.919999999999998</v>
      </c>
      <c r="T71">
        <f>I71*E71/'[1]Inverter Analysis'!$L$2</f>
        <v>130.43560015846211</v>
      </c>
      <c r="U71">
        <f t="shared" ref="U71:U134" si="41">80000/J71</f>
        <v>246.91358024691357</v>
      </c>
      <c r="V71">
        <f t="shared" ref="V71:V134" si="42">80000/R71</f>
        <v>268.38432635534087</v>
      </c>
      <c r="W71">
        <f t="shared" si="18"/>
        <v>176.3668430335097</v>
      </c>
      <c r="X71">
        <f t="shared" si="22"/>
        <v>0.28812058653284045</v>
      </c>
      <c r="Y71">
        <f t="shared" si="23"/>
        <v>2.623901364</v>
      </c>
      <c r="Z71">
        <f t="shared" si="24"/>
        <v>4.0336882114597659</v>
      </c>
    </row>
    <row r="72" spans="1:26">
      <c r="A72">
        <v>15</v>
      </c>
      <c r="B72">
        <v>2</v>
      </c>
      <c r="C72" s="9">
        <v>7</v>
      </c>
      <c r="D72">
        <f t="shared" si="25"/>
        <v>280</v>
      </c>
      <c r="E72">
        <f t="shared" si="26"/>
        <v>120</v>
      </c>
      <c r="F72">
        <f t="shared" si="27"/>
        <v>14.7</v>
      </c>
      <c r="G72">
        <f t="shared" si="28"/>
        <v>0.21</v>
      </c>
      <c r="H72">
        <f t="shared" si="29"/>
        <v>52.92</v>
      </c>
      <c r="I72">
        <f t="shared" si="30"/>
        <v>441</v>
      </c>
      <c r="J72">
        <f t="shared" si="31"/>
        <v>315</v>
      </c>
      <c r="K72">
        <f t="shared" si="32"/>
        <v>37.799999999999997</v>
      </c>
      <c r="L72">
        <f t="shared" si="33"/>
        <v>4.3861859999999995</v>
      </c>
      <c r="M72">
        <f t="shared" si="34"/>
        <v>4.2441840000000006</v>
      </c>
      <c r="N72">
        <f t="shared" si="35"/>
        <v>3.0961312941176469</v>
      </c>
      <c r="O72">
        <f t="shared" si="36"/>
        <v>2.4190064794816415</v>
      </c>
      <c r="P72">
        <f t="shared" si="37"/>
        <v>63</v>
      </c>
      <c r="Q72">
        <f t="shared" si="38"/>
        <v>210</v>
      </c>
      <c r="R72">
        <f t="shared" si="39"/>
        <v>289.8</v>
      </c>
      <c r="S72">
        <f t="shared" si="40"/>
        <v>25.2</v>
      </c>
      <c r="T72">
        <f>I72*E72/'[1]Inverter Analysis'!$L$2</f>
        <v>126.81238904294929</v>
      </c>
      <c r="U72">
        <f t="shared" si="41"/>
        <v>253.96825396825398</v>
      </c>
      <c r="V72">
        <f t="shared" si="42"/>
        <v>276.05244996549345</v>
      </c>
      <c r="W72">
        <f t="shared" ref="W72:W135" si="43">80000/I72</f>
        <v>181.40589569160997</v>
      </c>
      <c r="X72">
        <f t="shared" si="22"/>
        <v>0.30481982052780504</v>
      </c>
      <c r="Y72">
        <f t="shared" si="23"/>
        <v>2.4112605234375</v>
      </c>
      <c r="Z72">
        <f t="shared" si="24"/>
        <v>4.2674774873892707</v>
      </c>
    </row>
    <row r="73" spans="1:26" s="4" customFormat="1">
      <c r="A73">
        <v>13</v>
      </c>
      <c r="B73">
        <v>2</v>
      </c>
      <c r="C73" s="9">
        <v>8</v>
      </c>
      <c r="D73">
        <f t="shared" si="25"/>
        <v>280</v>
      </c>
      <c r="E73">
        <f t="shared" si="26"/>
        <v>120</v>
      </c>
      <c r="F73">
        <f t="shared" si="27"/>
        <v>14.56</v>
      </c>
      <c r="G73">
        <f t="shared" si="28"/>
        <v>0.20800000000000002</v>
      </c>
      <c r="H73">
        <f t="shared" si="29"/>
        <v>52.415999999999997</v>
      </c>
      <c r="I73">
        <f t="shared" si="30"/>
        <v>436.8</v>
      </c>
      <c r="J73">
        <f t="shared" si="31"/>
        <v>312</v>
      </c>
      <c r="K73">
        <f t="shared" si="32"/>
        <v>37.44</v>
      </c>
      <c r="L73">
        <f t="shared" si="33"/>
        <v>4.3444127999999997</v>
      </c>
      <c r="M73">
        <f t="shared" si="34"/>
        <v>4.2037632</v>
      </c>
      <c r="N73">
        <f t="shared" si="35"/>
        <v>3.0666443294117647</v>
      </c>
      <c r="O73">
        <f t="shared" si="36"/>
        <v>2.1166306695464363</v>
      </c>
      <c r="P73">
        <f t="shared" si="37"/>
        <v>54.6</v>
      </c>
      <c r="Q73">
        <f t="shared" si="38"/>
        <v>208</v>
      </c>
      <c r="R73">
        <f t="shared" si="39"/>
        <v>287.04000000000002</v>
      </c>
      <c r="S73">
        <f t="shared" si="40"/>
        <v>24.96</v>
      </c>
      <c r="T73">
        <f>I73*E73/'[1]Inverter Analysis'!$L$2</f>
        <v>125.604652004445</v>
      </c>
      <c r="U73">
        <f t="shared" si="41"/>
        <v>256.41025641025641</v>
      </c>
      <c r="V73">
        <f t="shared" si="42"/>
        <v>278.70680044593087</v>
      </c>
      <c r="W73">
        <f t="shared" si="43"/>
        <v>183.15018315018315</v>
      </c>
      <c r="X73">
        <f t="shared" si="22"/>
        <v>0.31070992245923174</v>
      </c>
      <c r="Y73">
        <f t="shared" si="23"/>
        <v>2.3430214080000002</v>
      </c>
      <c r="Z73">
        <f t="shared" si="24"/>
        <v>4.3499389144292442</v>
      </c>
    </row>
    <row r="74" spans="1:26">
      <c r="A74">
        <v>10</v>
      </c>
      <c r="B74">
        <v>2</v>
      </c>
      <c r="C74" s="9">
        <v>10</v>
      </c>
      <c r="D74">
        <f t="shared" si="25"/>
        <v>280</v>
      </c>
      <c r="E74">
        <f t="shared" si="26"/>
        <v>120</v>
      </c>
      <c r="F74">
        <f t="shared" si="27"/>
        <v>14</v>
      </c>
      <c r="G74">
        <f t="shared" si="28"/>
        <v>0.2</v>
      </c>
      <c r="H74">
        <f t="shared" si="29"/>
        <v>50.4</v>
      </c>
      <c r="I74">
        <f t="shared" si="30"/>
        <v>420</v>
      </c>
      <c r="J74">
        <f t="shared" si="31"/>
        <v>300</v>
      </c>
      <c r="K74">
        <f t="shared" si="32"/>
        <v>36</v>
      </c>
      <c r="L74">
        <f t="shared" si="33"/>
        <v>4.1773199999999999</v>
      </c>
      <c r="M74">
        <f t="shared" si="34"/>
        <v>4.0420800000000003</v>
      </c>
      <c r="N74">
        <f t="shared" si="35"/>
        <v>2.9486964705882355</v>
      </c>
      <c r="O74">
        <f t="shared" si="36"/>
        <v>1.693304535637149</v>
      </c>
      <c r="P74">
        <f t="shared" si="37"/>
        <v>42</v>
      </c>
      <c r="Q74">
        <f t="shared" si="38"/>
        <v>200</v>
      </c>
      <c r="R74">
        <f t="shared" si="39"/>
        <v>276</v>
      </c>
      <c r="S74">
        <f t="shared" si="40"/>
        <v>24</v>
      </c>
      <c r="T74">
        <f>I74*E74/'[1]Inverter Analysis'!$L$2</f>
        <v>120.77370385042789</v>
      </c>
      <c r="U74">
        <f t="shared" si="41"/>
        <v>266.66666666666669</v>
      </c>
      <c r="V74">
        <f t="shared" si="42"/>
        <v>289.85507246376812</v>
      </c>
      <c r="W74">
        <f t="shared" si="43"/>
        <v>190.47619047619048</v>
      </c>
      <c r="X74">
        <f t="shared" si="22"/>
        <v>0.33606385213190509</v>
      </c>
      <c r="Y74">
        <f t="shared" si="23"/>
        <v>2.0829374999999999</v>
      </c>
      <c r="Z74">
        <f t="shared" si="24"/>
        <v>4.704893929846671</v>
      </c>
    </row>
    <row r="75" spans="1:26">
      <c r="A75">
        <v>11</v>
      </c>
      <c r="B75">
        <v>2</v>
      </c>
      <c r="C75" s="9">
        <v>9</v>
      </c>
      <c r="D75">
        <f t="shared" si="25"/>
        <v>280</v>
      </c>
      <c r="E75">
        <f t="shared" si="26"/>
        <v>120</v>
      </c>
      <c r="F75">
        <f t="shared" si="27"/>
        <v>13.86</v>
      </c>
      <c r="G75">
        <f t="shared" si="28"/>
        <v>0.19799999999999998</v>
      </c>
      <c r="H75">
        <f t="shared" si="29"/>
        <v>49.896000000000001</v>
      </c>
      <c r="I75">
        <f t="shared" si="30"/>
        <v>415.8</v>
      </c>
      <c r="J75">
        <f t="shared" si="31"/>
        <v>297</v>
      </c>
      <c r="K75">
        <f t="shared" si="32"/>
        <v>35.64</v>
      </c>
      <c r="L75">
        <f t="shared" si="33"/>
        <v>4.1355468000000002</v>
      </c>
      <c r="M75">
        <f t="shared" si="34"/>
        <v>4.0016592000000006</v>
      </c>
      <c r="N75">
        <f t="shared" si="35"/>
        <v>2.9192095058823533</v>
      </c>
      <c r="O75">
        <f t="shared" si="36"/>
        <v>1.8814494840412768</v>
      </c>
      <c r="P75">
        <f t="shared" si="37"/>
        <v>46.2</v>
      </c>
      <c r="Q75">
        <f t="shared" si="38"/>
        <v>198</v>
      </c>
      <c r="R75">
        <f t="shared" si="39"/>
        <v>273.24</v>
      </c>
      <c r="S75">
        <f t="shared" si="40"/>
        <v>23.759999999999998</v>
      </c>
      <c r="T75">
        <f>I75*E75/'[1]Inverter Analysis'!$L$2</f>
        <v>119.56596681192362</v>
      </c>
      <c r="U75">
        <f t="shared" si="41"/>
        <v>269.36026936026934</v>
      </c>
      <c r="V75">
        <f t="shared" si="42"/>
        <v>292.78290147855364</v>
      </c>
      <c r="W75">
        <f t="shared" si="43"/>
        <v>192.4001924001924</v>
      </c>
      <c r="X75">
        <f t="shared" si="22"/>
        <v>0.34288730959280178</v>
      </c>
      <c r="Y75">
        <f t="shared" si="23"/>
        <v>2.0210721733125001</v>
      </c>
      <c r="Z75">
        <f t="shared" si="24"/>
        <v>4.8004223342992249</v>
      </c>
    </row>
    <row r="76" spans="1:26">
      <c r="A76">
        <v>14</v>
      </c>
      <c r="B76">
        <v>2</v>
      </c>
      <c r="C76" s="9">
        <v>7</v>
      </c>
      <c r="D76">
        <f t="shared" si="25"/>
        <v>280</v>
      </c>
      <c r="E76">
        <f t="shared" si="26"/>
        <v>120</v>
      </c>
      <c r="F76">
        <f t="shared" si="27"/>
        <v>13.72</v>
      </c>
      <c r="G76">
        <f t="shared" si="28"/>
        <v>0.19600000000000001</v>
      </c>
      <c r="H76">
        <f t="shared" si="29"/>
        <v>49.392000000000003</v>
      </c>
      <c r="I76">
        <f t="shared" si="30"/>
        <v>411.6</v>
      </c>
      <c r="J76">
        <f t="shared" si="31"/>
        <v>294</v>
      </c>
      <c r="K76">
        <f t="shared" si="32"/>
        <v>35.28</v>
      </c>
      <c r="L76">
        <f t="shared" si="33"/>
        <v>4.0937735999999996</v>
      </c>
      <c r="M76">
        <f t="shared" si="34"/>
        <v>3.9612384000000005</v>
      </c>
      <c r="N76">
        <f t="shared" si="35"/>
        <v>2.8897225411764706</v>
      </c>
      <c r="O76">
        <f t="shared" si="36"/>
        <v>2.4190064794816415</v>
      </c>
      <c r="P76">
        <f t="shared" si="37"/>
        <v>58.800000000000004</v>
      </c>
      <c r="Q76">
        <f t="shared" si="38"/>
        <v>196</v>
      </c>
      <c r="R76">
        <f t="shared" si="39"/>
        <v>270.48</v>
      </c>
      <c r="S76">
        <f t="shared" si="40"/>
        <v>23.52</v>
      </c>
      <c r="T76">
        <f>I76*E76/'[1]Inverter Analysis'!$L$2</f>
        <v>118.35822977341934</v>
      </c>
      <c r="U76">
        <f t="shared" si="41"/>
        <v>272.10884353741494</v>
      </c>
      <c r="V76">
        <f t="shared" si="42"/>
        <v>295.77048210588583</v>
      </c>
      <c r="W76">
        <f t="shared" si="43"/>
        <v>194.36345966958211</v>
      </c>
      <c r="X76">
        <f t="shared" ref="X76:X139" si="44">(MAX(U76:W76)^2)*$R$3/1000</f>
        <v>0.34992071234059258</v>
      </c>
      <c r="Y76">
        <f t="shared" ref="Y76:Y139" si="45">($S$3*F76/(X76*1000))*10</f>
        <v>1.9604441115000002</v>
      </c>
      <c r="Z76">
        <f t="shared" ref="Z76:Z139" si="46">($Q$3*F76/(Y76*1000))*10</f>
        <v>4.8988899727682957</v>
      </c>
    </row>
    <row r="77" spans="1:26">
      <c r="A77">
        <v>12</v>
      </c>
      <c r="B77">
        <v>2</v>
      </c>
      <c r="C77" s="9">
        <v>8</v>
      </c>
      <c r="D77">
        <f t="shared" si="25"/>
        <v>280</v>
      </c>
      <c r="E77">
        <f t="shared" si="26"/>
        <v>120</v>
      </c>
      <c r="F77">
        <f t="shared" si="27"/>
        <v>13.44</v>
      </c>
      <c r="G77">
        <f t="shared" si="28"/>
        <v>0.192</v>
      </c>
      <c r="H77">
        <f t="shared" si="29"/>
        <v>48.384000000000007</v>
      </c>
      <c r="I77">
        <f t="shared" si="30"/>
        <v>403.20000000000005</v>
      </c>
      <c r="J77">
        <f t="shared" si="31"/>
        <v>288</v>
      </c>
      <c r="K77">
        <f t="shared" si="32"/>
        <v>34.56</v>
      </c>
      <c r="L77">
        <f t="shared" si="33"/>
        <v>4.0102272000000001</v>
      </c>
      <c r="M77">
        <f t="shared" si="34"/>
        <v>3.8803968000000006</v>
      </c>
      <c r="N77">
        <f t="shared" si="35"/>
        <v>2.8307486117647063</v>
      </c>
      <c r="O77">
        <f t="shared" si="36"/>
        <v>2.1166306695464363</v>
      </c>
      <c r="P77">
        <f t="shared" si="37"/>
        <v>50.400000000000006</v>
      </c>
      <c r="Q77">
        <f t="shared" si="38"/>
        <v>192</v>
      </c>
      <c r="R77">
        <f t="shared" si="39"/>
        <v>264.95999999999998</v>
      </c>
      <c r="S77">
        <f t="shared" si="40"/>
        <v>23.04</v>
      </c>
      <c r="T77">
        <f>I77*E77/'[1]Inverter Analysis'!$L$2</f>
        <v>115.9427556964108</v>
      </c>
      <c r="U77">
        <f t="shared" si="41"/>
        <v>277.77777777777777</v>
      </c>
      <c r="V77">
        <f t="shared" si="42"/>
        <v>301.93236714975848</v>
      </c>
      <c r="W77">
        <f t="shared" si="43"/>
        <v>198.4126984126984</v>
      </c>
      <c r="X77">
        <f t="shared" si="44"/>
        <v>0.36465261733062626</v>
      </c>
      <c r="Y77">
        <f t="shared" si="45"/>
        <v>1.8428497919999995</v>
      </c>
      <c r="Z77">
        <f t="shared" si="46"/>
        <v>5.105136642628767</v>
      </c>
    </row>
    <row r="78" spans="1:26">
      <c r="A78">
        <v>16</v>
      </c>
      <c r="B78">
        <v>2</v>
      </c>
      <c r="C78" s="9">
        <v>6</v>
      </c>
      <c r="D78">
        <f t="shared" si="25"/>
        <v>280</v>
      </c>
      <c r="E78">
        <f t="shared" si="26"/>
        <v>120</v>
      </c>
      <c r="F78">
        <f t="shared" si="27"/>
        <v>13.44</v>
      </c>
      <c r="G78">
        <f t="shared" si="28"/>
        <v>0.192</v>
      </c>
      <c r="H78">
        <f t="shared" si="29"/>
        <v>48.384000000000007</v>
      </c>
      <c r="I78">
        <f t="shared" si="30"/>
        <v>403.20000000000005</v>
      </c>
      <c r="J78">
        <f t="shared" si="31"/>
        <v>288</v>
      </c>
      <c r="K78">
        <f t="shared" si="32"/>
        <v>34.56</v>
      </c>
      <c r="L78">
        <f t="shared" si="33"/>
        <v>4.0102272000000001</v>
      </c>
      <c r="M78">
        <f t="shared" si="34"/>
        <v>3.8803968000000006</v>
      </c>
      <c r="N78">
        <f t="shared" si="35"/>
        <v>2.8307486117647063</v>
      </c>
      <c r="O78">
        <f t="shared" si="36"/>
        <v>2.8221742260619149</v>
      </c>
      <c r="P78">
        <f t="shared" si="37"/>
        <v>67.2</v>
      </c>
      <c r="Q78">
        <f t="shared" si="38"/>
        <v>192</v>
      </c>
      <c r="R78">
        <f t="shared" si="39"/>
        <v>264.95999999999998</v>
      </c>
      <c r="S78">
        <f t="shared" si="40"/>
        <v>23.04</v>
      </c>
      <c r="T78">
        <f>I78*E78/'[1]Inverter Analysis'!$L$2</f>
        <v>115.9427556964108</v>
      </c>
      <c r="U78">
        <f t="shared" si="41"/>
        <v>277.77777777777777</v>
      </c>
      <c r="V78">
        <f t="shared" si="42"/>
        <v>301.93236714975848</v>
      </c>
      <c r="W78">
        <f t="shared" si="43"/>
        <v>198.4126984126984</v>
      </c>
      <c r="X78">
        <f t="shared" si="44"/>
        <v>0.36465261733062626</v>
      </c>
      <c r="Y78">
        <f t="shared" si="45"/>
        <v>1.8428497919999995</v>
      </c>
      <c r="Z78">
        <f t="shared" si="46"/>
        <v>5.105136642628767</v>
      </c>
    </row>
    <row r="79" spans="1:26">
      <c r="A79" s="8">
        <v>16</v>
      </c>
      <c r="B79" s="9">
        <v>4</v>
      </c>
      <c r="C79" s="9">
        <v>12</v>
      </c>
      <c r="D79">
        <f t="shared" si="25"/>
        <v>560</v>
      </c>
      <c r="E79">
        <f t="shared" si="26"/>
        <v>240</v>
      </c>
      <c r="F79">
        <f t="shared" si="27"/>
        <v>53.76</v>
      </c>
      <c r="G79">
        <f t="shared" si="28"/>
        <v>0.192</v>
      </c>
      <c r="H79">
        <f t="shared" si="29"/>
        <v>193.53600000000003</v>
      </c>
      <c r="I79">
        <f t="shared" si="30"/>
        <v>806.40000000000009</v>
      </c>
      <c r="J79">
        <f t="shared" si="31"/>
        <v>576</v>
      </c>
      <c r="K79">
        <f t="shared" si="32"/>
        <v>138.24</v>
      </c>
      <c r="L79">
        <f t="shared" si="33"/>
        <v>16.0409088</v>
      </c>
      <c r="M79">
        <f t="shared" si="34"/>
        <v>15.521587200000003</v>
      </c>
      <c r="N79">
        <f t="shared" si="35"/>
        <v>11.322994447058825</v>
      </c>
      <c r="O79">
        <f t="shared" si="36"/>
        <v>2.8221742260619149</v>
      </c>
      <c r="P79">
        <f t="shared" si="37"/>
        <v>67.2</v>
      </c>
      <c r="Q79">
        <f t="shared" si="38"/>
        <v>768</v>
      </c>
      <c r="R79">
        <f t="shared" si="39"/>
        <v>529.91999999999996</v>
      </c>
      <c r="S79">
        <f t="shared" si="40"/>
        <v>46.08</v>
      </c>
      <c r="T79">
        <f>I79*E79/'[1]Inverter Analysis'!$L$2</f>
        <v>463.7710227856432</v>
      </c>
      <c r="U79">
        <f t="shared" si="41"/>
        <v>138.88888888888889</v>
      </c>
      <c r="V79">
        <f t="shared" si="42"/>
        <v>150.96618357487924</v>
      </c>
      <c r="W79">
        <f t="shared" si="43"/>
        <v>99.206349206349202</v>
      </c>
      <c r="X79">
        <f t="shared" si="44"/>
        <v>9.1163154332656565E-2</v>
      </c>
      <c r="Y79">
        <f t="shared" si="45"/>
        <v>29.485596671999993</v>
      </c>
      <c r="Z79">
        <f t="shared" si="46"/>
        <v>1.2762841606571917</v>
      </c>
    </row>
    <row r="80" spans="1:26">
      <c r="A80" s="8">
        <v>15</v>
      </c>
      <c r="B80" s="9">
        <v>4</v>
      </c>
      <c r="C80" s="9">
        <v>12</v>
      </c>
      <c r="D80">
        <f t="shared" si="25"/>
        <v>560</v>
      </c>
      <c r="E80">
        <f t="shared" si="26"/>
        <v>240</v>
      </c>
      <c r="F80">
        <f t="shared" si="27"/>
        <v>50.4</v>
      </c>
      <c r="G80">
        <f t="shared" si="28"/>
        <v>0.18</v>
      </c>
      <c r="H80">
        <f t="shared" si="29"/>
        <v>181.44</v>
      </c>
      <c r="I80">
        <f t="shared" si="30"/>
        <v>756</v>
      </c>
      <c r="J80">
        <f t="shared" si="31"/>
        <v>540</v>
      </c>
      <c r="K80">
        <f t="shared" si="32"/>
        <v>129.6</v>
      </c>
      <c r="L80">
        <f t="shared" si="33"/>
        <v>15.038352</v>
      </c>
      <c r="M80">
        <f t="shared" si="34"/>
        <v>14.551488000000001</v>
      </c>
      <c r="N80">
        <f t="shared" si="35"/>
        <v>10.615307294117647</v>
      </c>
      <c r="O80">
        <f t="shared" si="36"/>
        <v>2.8221742260619149</v>
      </c>
      <c r="P80">
        <f t="shared" si="37"/>
        <v>63</v>
      </c>
      <c r="Q80">
        <f t="shared" si="38"/>
        <v>720</v>
      </c>
      <c r="R80">
        <f t="shared" si="39"/>
        <v>496.8</v>
      </c>
      <c r="S80">
        <f t="shared" si="40"/>
        <v>43.199999999999996</v>
      </c>
      <c r="T80">
        <f>I80*E80/'[1]Inverter Analysis'!$L$2</f>
        <v>434.78533386154038</v>
      </c>
      <c r="U80">
        <f t="shared" si="41"/>
        <v>148.14814814814815</v>
      </c>
      <c r="V80">
        <f t="shared" si="42"/>
        <v>161.03059581320451</v>
      </c>
      <c r="W80">
        <f t="shared" si="43"/>
        <v>105.82010582010582</v>
      </c>
      <c r="X80">
        <f t="shared" si="44"/>
        <v>0.10372341115182256</v>
      </c>
      <c r="Y80">
        <f t="shared" si="45"/>
        <v>24.295383000000001</v>
      </c>
      <c r="Z80">
        <f t="shared" si="46"/>
        <v>1.4521277561255155</v>
      </c>
    </row>
    <row r="81" spans="1:26">
      <c r="A81" s="8">
        <v>16</v>
      </c>
      <c r="B81" s="9">
        <v>4</v>
      </c>
      <c r="C81" s="9">
        <v>11</v>
      </c>
      <c r="D81">
        <f t="shared" si="25"/>
        <v>560</v>
      </c>
      <c r="E81">
        <f t="shared" si="26"/>
        <v>240</v>
      </c>
      <c r="F81">
        <f t="shared" si="27"/>
        <v>49.28</v>
      </c>
      <c r="G81">
        <f t="shared" si="28"/>
        <v>0.17599999999999999</v>
      </c>
      <c r="H81">
        <f t="shared" si="29"/>
        <v>177.40799999999999</v>
      </c>
      <c r="I81">
        <f t="shared" si="30"/>
        <v>739.2</v>
      </c>
      <c r="J81">
        <f t="shared" si="31"/>
        <v>528</v>
      </c>
      <c r="K81">
        <f t="shared" si="32"/>
        <v>126.72</v>
      </c>
      <c r="L81">
        <f t="shared" si="33"/>
        <v>14.7041664</v>
      </c>
      <c r="M81">
        <f t="shared" si="34"/>
        <v>14.228121600000001</v>
      </c>
      <c r="N81">
        <f t="shared" si="35"/>
        <v>10.37941157647059</v>
      </c>
      <c r="O81">
        <f t="shared" si="36"/>
        <v>3.0787355193402708</v>
      </c>
      <c r="P81">
        <f t="shared" si="37"/>
        <v>67.2</v>
      </c>
      <c r="Q81">
        <f t="shared" si="38"/>
        <v>704</v>
      </c>
      <c r="R81">
        <f t="shared" si="39"/>
        <v>485.76</v>
      </c>
      <c r="S81">
        <f t="shared" si="40"/>
        <v>42.239999999999995</v>
      </c>
      <c r="T81">
        <f>I81*E81/'[1]Inverter Analysis'!$L$2</f>
        <v>425.12343755350616</v>
      </c>
      <c r="U81">
        <f t="shared" si="41"/>
        <v>151.5151515151515</v>
      </c>
      <c r="V81">
        <f t="shared" si="42"/>
        <v>164.69038208168644</v>
      </c>
      <c r="W81">
        <f t="shared" si="43"/>
        <v>108.22510822510822</v>
      </c>
      <c r="X81">
        <f t="shared" si="44"/>
        <v>0.10849168780084746</v>
      </c>
      <c r="Y81">
        <f t="shared" si="45"/>
        <v>22.711417344000001</v>
      </c>
      <c r="Z81">
        <f t="shared" si="46"/>
        <v>1.5188836292118642</v>
      </c>
    </row>
    <row r="82" spans="1:26">
      <c r="A82">
        <v>14</v>
      </c>
      <c r="B82">
        <v>4</v>
      </c>
      <c r="C82">
        <v>12</v>
      </c>
      <c r="D82">
        <f t="shared" si="25"/>
        <v>560</v>
      </c>
      <c r="E82">
        <f t="shared" si="26"/>
        <v>240</v>
      </c>
      <c r="F82">
        <f t="shared" si="27"/>
        <v>47.04</v>
      </c>
      <c r="G82">
        <f t="shared" si="28"/>
        <v>0.16800000000000001</v>
      </c>
      <c r="H82">
        <f t="shared" si="29"/>
        <v>169.34399999999999</v>
      </c>
      <c r="I82">
        <f t="shared" si="30"/>
        <v>705.6</v>
      </c>
      <c r="J82">
        <f t="shared" si="31"/>
        <v>504</v>
      </c>
      <c r="K82">
        <f t="shared" si="32"/>
        <v>120.96</v>
      </c>
      <c r="L82">
        <f t="shared" si="33"/>
        <v>14.035795200000001</v>
      </c>
      <c r="M82">
        <f t="shared" si="34"/>
        <v>13.581388800000001</v>
      </c>
      <c r="N82">
        <f t="shared" si="35"/>
        <v>9.9076201411764711</v>
      </c>
      <c r="O82">
        <f t="shared" si="36"/>
        <v>2.8221742260619149</v>
      </c>
      <c r="P82">
        <f t="shared" si="37"/>
        <v>58.800000000000004</v>
      </c>
      <c r="Q82">
        <f t="shared" si="38"/>
        <v>672</v>
      </c>
      <c r="R82">
        <f t="shared" si="39"/>
        <v>463.68</v>
      </c>
      <c r="S82">
        <f t="shared" si="40"/>
        <v>40.32</v>
      </c>
      <c r="T82">
        <f>I82*E82/'[1]Inverter Analysis'!$L$2</f>
        <v>405.79964493743773</v>
      </c>
      <c r="U82">
        <f t="shared" si="41"/>
        <v>158.73015873015873</v>
      </c>
      <c r="V82">
        <f t="shared" si="42"/>
        <v>172.53278122843341</v>
      </c>
      <c r="W82">
        <f t="shared" si="43"/>
        <v>113.37868480725623</v>
      </c>
      <c r="X82">
        <f t="shared" si="44"/>
        <v>0.11907024239367385</v>
      </c>
      <c r="Y82">
        <f t="shared" si="45"/>
        <v>19.753046207999997</v>
      </c>
      <c r="Z82">
        <f t="shared" si="46"/>
        <v>1.666983393511434</v>
      </c>
    </row>
    <row r="83" spans="1:26">
      <c r="A83" s="8">
        <v>15</v>
      </c>
      <c r="B83" s="9">
        <v>4</v>
      </c>
      <c r="C83" s="9">
        <v>11</v>
      </c>
      <c r="D83">
        <f t="shared" si="25"/>
        <v>560</v>
      </c>
      <c r="E83">
        <f t="shared" si="26"/>
        <v>240</v>
      </c>
      <c r="F83">
        <f t="shared" si="27"/>
        <v>46.2</v>
      </c>
      <c r="G83">
        <f t="shared" si="28"/>
        <v>0.16499999999999998</v>
      </c>
      <c r="H83">
        <f t="shared" si="29"/>
        <v>166.32</v>
      </c>
      <c r="I83">
        <f t="shared" si="30"/>
        <v>693</v>
      </c>
      <c r="J83">
        <f t="shared" si="31"/>
        <v>495</v>
      </c>
      <c r="K83">
        <f t="shared" si="32"/>
        <v>118.8</v>
      </c>
      <c r="L83">
        <f t="shared" si="33"/>
        <v>13.785155999999999</v>
      </c>
      <c r="M83">
        <f t="shared" si="34"/>
        <v>13.338864000000001</v>
      </c>
      <c r="N83">
        <f t="shared" si="35"/>
        <v>9.730698352941177</v>
      </c>
      <c r="O83">
        <f t="shared" si="36"/>
        <v>3.0787355193402708</v>
      </c>
      <c r="P83">
        <f t="shared" si="37"/>
        <v>63</v>
      </c>
      <c r="Q83">
        <f t="shared" si="38"/>
        <v>660</v>
      </c>
      <c r="R83">
        <f t="shared" si="39"/>
        <v>455.4</v>
      </c>
      <c r="S83">
        <f t="shared" si="40"/>
        <v>39.599999999999994</v>
      </c>
      <c r="T83">
        <f>I83*E83/'[1]Inverter Analysis'!$L$2</f>
        <v>398.55322270641204</v>
      </c>
      <c r="U83">
        <f t="shared" si="41"/>
        <v>161.61616161616161</v>
      </c>
      <c r="V83">
        <f t="shared" si="42"/>
        <v>175.66974088713221</v>
      </c>
      <c r="W83">
        <f t="shared" si="43"/>
        <v>115.44011544011543</v>
      </c>
      <c r="X83">
        <f t="shared" si="44"/>
        <v>0.12343943145340867</v>
      </c>
      <c r="Y83">
        <f t="shared" si="45"/>
        <v>18.713631234374997</v>
      </c>
      <c r="Z83">
        <f t="shared" si="46"/>
        <v>1.7281520403477215</v>
      </c>
    </row>
    <row r="84" spans="1:26">
      <c r="A84" s="8">
        <v>16</v>
      </c>
      <c r="B84" s="9">
        <v>4</v>
      </c>
      <c r="C84" s="9">
        <v>10</v>
      </c>
      <c r="D84">
        <f t="shared" si="25"/>
        <v>560</v>
      </c>
      <c r="E84">
        <f t="shared" si="26"/>
        <v>240</v>
      </c>
      <c r="F84">
        <f t="shared" si="27"/>
        <v>44.8</v>
      </c>
      <c r="G84">
        <f t="shared" si="28"/>
        <v>0.16</v>
      </c>
      <c r="H84">
        <f t="shared" si="29"/>
        <v>161.28</v>
      </c>
      <c r="I84">
        <f t="shared" si="30"/>
        <v>672</v>
      </c>
      <c r="J84">
        <f t="shared" si="31"/>
        <v>480</v>
      </c>
      <c r="K84">
        <f t="shared" si="32"/>
        <v>115.2</v>
      </c>
      <c r="L84">
        <f t="shared" si="33"/>
        <v>13.367424</v>
      </c>
      <c r="M84">
        <f t="shared" si="34"/>
        <v>12.934656</v>
      </c>
      <c r="N84">
        <f t="shared" si="35"/>
        <v>9.4358287058823542</v>
      </c>
      <c r="O84">
        <f t="shared" si="36"/>
        <v>3.386609071274298</v>
      </c>
      <c r="P84">
        <f t="shared" si="37"/>
        <v>67.2</v>
      </c>
      <c r="Q84">
        <f t="shared" si="38"/>
        <v>640</v>
      </c>
      <c r="R84">
        <f t="shared" si="39"/>
        <v>441.6</v>
      </c>
      <c r="S84">
        <f t="shared" si="40"/>
        <v>38.4</v>
      </c>
      <c r="T84">
        <f>I84*E84/'[1]Inverter Analysis'!$L$2</f>
        <v>386.47585232136925</v>
      </c>
      <c r="U84">
        <f t="shared" si="41"/>
        <v>166.66666666666666</v>
      </c>
      <c r="V84">
        <f t="shared" si="42"/>
        <v>181.15942028985506</v>
      </c>
      <c r="W84">
        <f t="shared" si="43"/>
        <v>119.04761904761905</v>
      </c>
      <c r="X84">
        <f t="shared" si="44"/>
        <v>0.13127494223902539</v>
      </c>
      <c r="Y84">
        <f t="shared" si="45"/>
        <v>17.063424000000001</v>
      </c>
      <c r="Z84">
        <f t="shared" si="46"/>
        <v>1.8378491913463555</v>
      </c>
    </row>
    <row r="85" spans="1:26">
      <c r="A85">
        <v>13</v>
      </c>
      <c r="B85">
        <v>4</v>
      </c>
      <c r="C85">
        <v>12</v>
      </c>
      <c r="D85">
        <f t="shared" si="25"/>
        <v>560</v>
      </c>
      <c r="E85">
        <f t="shared" si="26"/>
        <v>240</v>
      </c>
      <c r="F85">
        <f t="shared" si="27"/>
        <v>43.68</v>
      </c>
      <c r="G85">
        <f t="shared" si="28"/>
        <v>0.15600000000000003</v>
      </c>
      <c r="H85">
        <f t="shared" si="29"/>
        <v>157.24799999999999</v>
      </c>
      <c r="I85">
        <f t="shared" si="30"/>
        <v>655.20000000000005</v>
      </c>
      <c r="J85">
        <f t="shared" si="31"/>
        <v>468</v>
      </c>
      <c r="K85">
        <f t="shared" si="32"/>
        <v>112.32</v>
      </c>
      <c r="L85">
        <f t="shared" si="33"/>
        <v>13.0332384</v>
      </c>
      <c r="M85">
        <f t="shared" si="34"/>
        <v>12.611289600000003</v>
      </c>
      <c r="N85">
        <f t="shared" si="35"/>
        <v>9.1999329882352949</v>
      </c>
      <c r="O85">
        <f t="shared" si="36"/>
        <v>2.8221742260619149</v>
      </c>
      <c r="P85">
        <f t="shared" si="37"/>
        <v>54.6</v>
      </c>
      <c r="Q85">
        <f t="shared" si="38"/>
        <v>624</v>
      </c>
      <c r="R85">
        <f t="shared" si="39"/>
        <v>430.56</v>
      </c>
      <c r="S85">
        <f t="shared" si="40"/>
        <v>37.440000000000005</v>
      </c>
      <c r="T85">
        <f>I85*E85/'[1]Inverter Analysis'!$L$2</f>
        <v>376.81395601333503</v>
      </c>
      <c r="U85">
        <f t="shared" si="41"/>
        <v>170.94017094017093</v>
      </c>
      <c r="V85">
        <f t="shared" si="42"/>
        <v>185.8045336306206</v>
      </c>
      <c r="W85">
        <f t="shared" si="43"/>
        <v>122.10012210012209</v>
      </c>
      <c r="X85">
        <f t="shared" si="44"/>
        <v>0.13809329887076968</v>
      </c>
      <c r="Y85">
        <f t="shared" si="45"/>
        <v>15.815394504</v>
      </c>
      <c r="Z85">
        <f t="shared" si="46"/>
        <v>1.9333061841907753</v>
      </c>
    </row>
    <row r="86" spans="1:26">
      <c r="A86">
        <v>14</v>
      </c>
      <c r="B86">
        <v>4</v>
      </c>
      <c r="C86" s="9">
        <v>11</v>
      </c>
      <c r="D86">
        <f t="shared" si="25"/>
        <v>560</v>
      </c>
      <c r="E86">
        <f t="shared" si="26"/>
        <v>240</v>
      </c>
      <c r="F86">
        <f t="shared" si="27"/>
        <v>43.12</v>
      </c>
      <c r="G86">
        <f t="shared" si="28"/>
        <v>0.154</v>
      </c>
      <c r="H86">
        <f t="shared" si="29"/>
        <v>155.23200000000003</v>
      </c>
      <c r="I86">
        <f t="shared" si="30"/>
        <v>646.80000000000007</v>
      </c>
      <c r="J86">
        <f t="shared" si="31"/>
        <v>462</v>
      </c>
      <c r="K86">
        <f t="shared" si="32"/>
        <v>110.88</v>
      </c>
      <c r="L86">
        <f t="shared" si="33"/>
        <v>12.866145600000001</v>
      </c>
      <c r="M86">
        <f t="shared" si="34"/>
        <v>12.449606400000002</v>
      </c>
      <c r="N86">
        <f t="shared" si="35"/>
        <v>9.0819851294117662</v>
      </c>
      <c r="O86">
        <f t="shared" si="36"/>
        <v>3.0787355193402708</v>
      </c>
      <c r="P86">
        <f t="shared" si="37"/>
        <v>58.800000000000004</v>
      </c>
      <c r="Q86">
        <f t="shared" si="38"/>
        <v>616</v>
      </c>
      <c r="R86">
        <f t="shared" si="39"/>
        <v>425.04</v>
      </c>
      <c r="S86">
        <f t="shared" si="40"/>
        <v>36.96</v>
      </c>
      <c r="T86">
        <f>I86*E86/'[1]Inverter Analysis'!$L$2</f>
        <v>371.98300785931798</v>
      </c>
      <c r="U86">
        <f t="shared" si="41"/>
        <v>173.16017316017317</v>
      </c>
      <c r="V86">
        <f t="shared" si="42"/>
        <v>188.21757952192735</v>
      </c>
      <c r="W86">
        <f t="shared" si="43"/>
        <v>123.68583797155225</v>
      </c>
      <c r="X86">
        <f t="shared" si="44"/>
        <v>0.14170342896437216</v>
      </c>
      <c r="Y86">
        <f t="shared" si="45"/>
        <v>15.214875291</v>
      </c>
      <c r="Z86">
        <f t="shared" si="46"/>
        <v>1.9838480055012102</v>
      </c>
    </row>
    <row r="87" spans="1:26">
      <c r="A87" s="8">
        <v>15</v>
      </c>
      <c r="B87" s="9">
        <v>4</v>
      </c>
      <c r="C87" s="9">
        <v>10</v>
      </c>
      <c r="D87">
        <f t="shared" si="25"/>
        <v>560</v>
      </c>
      <c r="E87">
        <f t="shared" si="26"/>
        <v>240</v>
      </c>
      <c r="F87">
        <f t="shared" si="27"/>
        <v>42</v>
      </c>
      <c r="G87">
        <f t="shared" si="28"/>
        <v>0.15</v>
      </c>
      <c r="H87">
        <f t="shared" si="29"/>
        <v>151.19999999999999</v>
      </c>
      <c r="I87">
        <f t="shared" si="30"/>
        <v>630</v>
      </c>
      <c r="J87">
        <f t="shared" si="31"/>
        <v>450</v>
      </c>
      <c r="K87">
        <f t="shared" si="32"/>
        <v>108</v>
      </c>
      <c r="L87">
        <f t="shared" si="33"/>
        <v>12.53196</v>
      </c>
      <c r="M87">
        <f t="shared" si="34"/>
        <v>12.126240000000001</v>
      </c>
      <c r="N87">
        <f t="shared" si="35"/>
        <v>8.8460894117647069</v>
      </c>
      <c r="O87">
        <f t="shared" si="36"/>
        <v>3.386609071274298</v>
      </c>
      <c r="P87">
        <f t="shared" si="37"/>
        <v>63</v>
      </c>
      <c r="Q87">
        <f t="shared" si="38"/>
        <v>600</v>
      </c>
      <c r="R87">
        <f t="shared" si="39"/>
        <v>414</v>
      </c>
      <c r="S87">
        <f t="shared" si="40"/>
        <v>36</v>
      </c>
      <c r="T87">
        <f>I87*E87/'[1]Inverter Analysis'!$L$2</f>
        <v>362.32111155128365</v>
      </c>
      <c r="U87">
        <f t="shared" si="41"/>
        <v>177.77777777777777</v>
      </c>
      <c r="V87">
        <f t="shared" si="42"/>
        <v>193.23671497584542</v>
      </c>
      <c r="W87">
        <f t="shared" si="43"/>
        <v>126.98412698412699</v>
      </c>
      <c r="X87">
        <f t="shared" si="44"/>
        <v>0.14936171205862447</v>
      </c>
      <c r="Y87">
        <f t="shared" si="45"/>
        <v>14.059828124999999</v>
      </c>
      <c r="Z87">
        <f t="shared" si="46"/>
        <v>2.0910639688207424</v>
      </c>
    </row>
    <row r="88" spans="1:26">
      <c r="A88">
        <v>12</v>
      </c>
      <c r="B88">
        <v>4</v>
      </c>
      <c r="C88">
        <v>12</v>
      </c>
      <c r="D88">
        <f t="shared" si="25"/>
        <v>560</v>
      </c>
      <c r="E88">
        <f t="shared" si="26"/>
        <v>240</v>
      </c>
      <c r="F88">
        <f t="shared" si="27"/>
        <v>40.32</v>
      </c>
      <c r="G88">
        <f t="shared" si="28"/>
        <v>0.14400000000000002</v>
      </c>
      <c r="H88">
        <f t="shared" si="29"/>
        <v>145.15200000000002</v>
      </c>
      <c r="I88">
        <f t="shared" si="30"/>
        <v>604.80000000000007</v>
      </c>
      <c r="J88">
        <f t="shared" si="31"/>
        <v>432</v>
      </c>
      <c r="K88">
        <f t="shared" si="32"/>
        <v>103.68</v>
      </c>
      <c r="L88">
        <f t="shared" si="33"/>
        <v>12.030681600000001</v>
      </c>
      <c r="M88">
        <f t="shared" si="34"/>
        <v>11.641190400000001</v>
      </c>
      <c r="N88">
        <f t="shared" si="35"/>
        <v>8.4922458352941188</v>
      </c>
      <c r="O88">
        <f t="shared" si="36"/>
        <v>2.8221742260619149</v>
      </c>
      <c r="P88">
        <f t="shared" si="37"/>
        <v>50.400000000000006</v>
      </c>
      <c r="Q88">
        <f t="shared" si="38"/>
        <v>576</v>
      </c>
      <c r="R88">
        <f t="shared" si="39"/>
        <v>397.44</v>
      </c>
      <c r="S88">
        <f t="shared" si="40"/>
        <v>34.56</v>
      </c>
      <c r="T88">
        <f>I88*E88/'[1]Inverter Analysis'!$L$2</f>
        <v>347.82826708923238</v>
      </c>
      <c r="U88">
        <f t="shared" si="41"/>
        <v>185.18518518518519</v>
      </c>
      <c r="V88">
        <f t="shared" si="42"/>
        <v>201.28824476650564</v>
      </c>
      <c r="W88">
        <f t="shared" si="43"/>
        <v>132.27513227513225</v>
      </c>
      <c r="X88">
        <f t="shared" si="44"/>
        <v>0.16206782992472277</v>
      </c>
      <c r="Y88">
        <f t="shared" si="45"/>
        <v>12.439236095999997</v>
      </c>
      <c r="Z88">
        <f t="shared" si="46"/>
        <v>2.2689496189461189</v>
      </c>
    </row>
    <row r="89" spans="1:26">
      <c r="A89" s="8">
        <v>16</v>
      </c>
      <c r="B89" s="9">
        <v>4</v>
      </c>
      <c r="C89" s="9">
        <v>9</v>
      </c>
      <c r="D89">
        <f t="shared" si="25"/>
        <v>560</v>
      </c>
      <c r="E89">
        <f t="shared" si="26"/>
        <v>240</v>
      </c>
      <c r="F89">
        <f t="shared" si="27"/>
        <v>40.32</v>
      </c>
      <c r="G89">
        <f t="shared" si="28"/>
        <v>0.14400000000000002</v>
      </c>
      <c r="H89">
        <f t="shared" si="29"/>
        <v>145.15200000000002</v>
      </c>
      <c r="I89">
        <f t="shared" si="30"/>
        <v>604.80000000000007</v>
      </c>
      <c r="J89">
        <f t="shared" si="31"/>
        <v>432</v>
      </c>
      <c r="K89">
        <f t="shared" si="32"/>
        <v>103.68</v>
      </c>
      <c r="L89">
        <f t="shared" si="33"/>
        <v>12.030681600000001</v>
      </c>
      <c r="M89">
        <f t="shared" si="34"/>
        <v>11.641190400000001</v>
      </c>
      <c r="N89">
        <f t="shared" si="35"/>
        <v>8.4922458352941188</v>
      </c>
      <c r="O89">
        <f t="shared" si="36"/>
        <v>3.7628989680825535</v>
      </c>
      <c r="P89">
        <f t="shared" si="37"/>
        <v>67.2</v>
      </c>
      <c r="Q89">
        <f t="shared" si="38"/>
        <v>576</v>
      </c>
      <c r="R89">
        <f t="shared" si="39"/>
        <v>397.44</v>
      </c>
      <c r="S89">
        <f t="shared" si="40"/>
        <v>34.56</v>
      </c>
      <c r="T89">
        <f>I89*E89/'[1]Inverter Analysis'!$L$2</f>
        <v>347.82826708923238</v>
      </c>
      <c r="U89">
        <f t="shared" si="41"/>
        <v>185.18518518518519</v>
      </c>
      <c r="V89">
        <f t="shared" si="42"/>
        <v>201.28824476650564</v>
      </c>
      <c r="W89">
        <f t="shared" si="43"/>
        <v>132.27513227513225</v>
      </c>
      <c r="X89">
        <f t="shared" si="44"/>
        <v>0.16206782992472277</v>
      </c>
      <c r="Y89">
        <f t="shared" si="45"/>
        <v>12.439236095999997</v>
      </c>
      <c r="Z89">
        <f t="shared" si="46"/>
        <v>2.2689496189461189</v>
      </c>
    </row>
    <row r="90" spans="1:26">
      <c r="A90">
        <v>16</v>
      </c>
      <c r="B90">
        <v>3</v>
      </c>
      <c r="C90">
        <v>12</v>
      </c>
      <c r="D90">
        <f t="shared" si="25"/>
        <v>420</v>
      </c>
      <c r="E90">
        <f t="shared" si="26"/>
        <v>180</v>
      </c>
      <c r="F90">
        <f t="shared" si="27"/>
        <v>40.32</v>
      </c>
      <c r="G90">
        <f t="shared" si="28"/>
        <v>0.25600000000000001</v>
      </c>
      <c r="H90">
        <f t="shared" si="29"/>
        <v>145.15200000000002</v>
      </c>
      <c r="I90">
        <f t="shared" si="30"/>
        <v>806.40000000000009</v>
      </c>
      <c r="J90">
        <f t="shared" si="31"/>
        <v>576</v>
      </c>
      <c r="K90">
        <f t="shared" si="32"/>
        <v>103.68</v>
      </c>
      <c r="L90">
        <f t="shared" si="33"/>
        <v>12.030681599999999</v>
      </c>
      <c r="M90">
        <f t="shared" si="34"/>
        <v>11.641190400000001</v>
      </c>
      <c r="N90">
        <f t="shared" si="35"/>
        <v>8.492245835294117</v>
      </c>
      <c r="O90">
        <f t="shared" si="36"/>
        <v>2.1166306695464363</v>
      </c>
      <c r="P90">
        <f t="shared" si="37"/>
        <v>67.2</v>
      </c>
      <c r="Q90">
        <f t="shared" si="38"/>
        <v>576</v>
      </c>
      <c r="R90">
        <f t="shared" si="39"/>
        <v>529.91999999999996</v>
      </c>
      <c r="S90">
        <f t="shared" si="40"/>
        <v>46.08</v>
      </c>
      <c r="T90">
        <f>I90*E90/'[1]Inverter Analysis'!$L$2</f>
        <v>347.82826708923238</v>
      </c>
      <c r="U90">
        <f t="shared" si="41"/>
        <v>138.88888888888889</v>
      </c>
      <c r="V90">
        <f t="shared" si="42"/>
        <v>150.96618357487924</v>
      </c>
      <c r="W90">
        <f t="shared" si="43"/>
        <v>99.206349206349202</v>
      </c>
      <c r="X90">
        <f t="shared" si="44"/>
        <v>9.1163154332656565E-2</v>
      </c>
      <c r="Y90">
        <f t="shared" si="45"/>
        <v>22.114197503999993</v>
      </c>
      <c r="Z90">
        <f t="shared" si="46"/>
        <v>1.276284160657192</v>
      </c>
    </row>
    <row r="91" spans="1:26">
      <c r="A91">
        <v>13</v>
      </c>
      <c r="B91">
        <v>4</v>
      </c>
      <c r="C91" s="9">
        <v>11</v>
      </c>
      <c r="D91">
        <f t="shared" si="25"/>
        <v>560</v>
      </c>
      <c r="E91">
        <f t="shared" si="26"/>
        <v>240</v>
      </c>
      <c r="F91">
        <f t="shared" si="27"/>
        <v>40.04</v>
      </c>
      <c r="G91">
        <f t="shared" si="28"/>
        <v>0.14300000000000002</v>
      </c>
      <c r="H91">
        <f t="shared" si="29"/>
        <v>144.14400000000001</v>
      </c>
      <c r="I91">
        <f t="shared" si="30"/>
        <v>600.6</v>
      </c>
      <c r="J91">
        <f t="shared" si="31"/>
        <v>429</v>
      </c>
      <c r="K91">
        <f t="shared" si="32"/>
        <v>102.96</v>
      </c>
      <c r="L91">
        <f t="shared" si="33"/>
        <v>11.9471352</v>
      </c>
      <c r="M91">
        <f t="shared" si="34"/>
        <v>11.560348800000002</v>
      </c>
      <c r="N91">
        <f t="shared" si="35"/>
        <v>8.4332719058823535</v>
      </c>
      <c r="O91">
        <f t="shared" si="36"/>
        <v>3.0787355193402708</v>
      </c>
      <c r="P91">
        <f t="shared" si="37"/>
        <v>54.6</v>
      </c>
      <c r="Q91">
        <f t="shared" si="38"/>
        <v>572</v>
      </c>
      <c r="R91">
        <f t="shared" si="39"/>
        <v>394.68</v>
      </c>
      <c r="S91">
        <f t="shared" si="40"/>
        <v>34.320000000000007</v>
      </c>
      <c r="T91">
        <f>I91*E91/'[1]Inverter Analysis'!$L$2</f>
        <v>345.41279301222374</v>
      </c>
      <c r="U91">
        <f t="shared" si="41"/>
        <v>186.48018648018649</v>
      </c>
      <c r="V91">
        <f t="shared" si="42"/>
        <v>202.69585486976791</v>
      </c>
      <c r="W91">
        <f t="shared" si="43"/>
        <v>133.20013320013319</v>
      </c>
      <c r="X91">
        <f t="shared" si="44"/>
        <v>0.16434243832554407</v>
      </c>
      <c r="Y91">
        <f t="shared" si="45"/>
        <v>12.181880836124998</v>
      </c>
      <c r="Z91">
        <f t="shared" si="46"/>
        <v>2.300794136557617</v>
      </c>
    </row>
    <row r="92" spans="1:26">
      <c r="A92">
        <v>15</v>
      </c>
      <c r="B92">
        <v>3</v>
      </c>
      <c r="C92">
        <v>12</v>
      </c>
      <c r="D92">
        <f t="shared" si="25"/>
        <v>420</v>
      </c>
      <c r="E92">
        <f t="shared" si="26"/>
        <v>180</v>
      </c>
      <c r="F92">
        <f t="shared" si="27"/>
        <v>37.799999999999997</v>
      </c>
      <c r="G92">
        <f t="shared" si="28"/>
        <v>0.24</v>
      </c>
      <c r="H92">
        <f t="shared" si="29"/>
        <v>136.08000000000001</v>
      </c>
      <c r="I92">
        <f t="shared" si="30"/>
        <v>756</v>
      </c>
      <c r="J92">
        <f t="shared" si="31"/>
        <v>540</v>
      </c>
      <c r="K92">
        <f t="shared" si="32"/>
        <v>97.2</v>
      </c>
      <c r="L92">
        <f t="shared" si="33"/>
        <v>11.278763999999999</v>
      </c>
      <c r="M92">
        <f t="shared" si="34"/>
        <v>10.913616000000001</v>
      </c>
      <c r="N92">
        <f t="shared" si="35"/>
        <v>7.9614804705882349</v>
      </c>
      <c r="O92">
        <f t="shared" si="36"/>
        <v>2.1166306695464363</v>
      </c>
      <c r="P92">
        <f t="shared" si="37"/>
        <v>63</v>
      </c>
      <c r="Q92">
        <f t="shared" si="38"/>
        <v>540</v>
      </c>
      <c r="R92">
        <f t="shared" si="39"/>
        <v>496.8</v>
      </c>
      <c r="S92">
        <f t="shared" si="40"/>
        <v>43.199999999999996</v>
      </c>
      <c r="T92">
        <f>I92*E92/'[1]Inverter Analysis'!$L$2</f>
        <v>326.08900039615531</v>
      </c>
      <c r="U92">
        <f t="shared" si="41"/>
        <v>148.14814814814815</v>
      </c>
      <c r="V92">
        <f t="shared" si="42"/>
        <v>161.03059581320451</v>
      </c>
      <c r="W92">
        <f t="shared" si="43"/>
        <v>105.82010582010582</v>
      </c>
      <c r="X92">
        <f t="shared" si="44"/>
        <v>0.10372341115182256</v>
      </c>
      <c r="Y92">
        <f t="shared" si="45"/>
        <v>18.221537249999997</v>
      </c>
      <c r="Z92">
        <f t="shared" si="46"/>
        <v>1.4521277561255159</v>
      </c>
    </row>
    <row r="93" spans="1:26">
      <c r="A93">
        <v>16</v>
      </c>
      <c r="B93">
        <v>3</v>
      </c>
      <c r="C93" s="9">
        <v>11</v>
      </c>
      <c r="D93">
        <f t="shared" si="25"/>
        <v>420</v>
      </c>
      <c r="E93">
        <f t="shared" si="26"/>
        <v>180</v>
      </c>
      <c r="F93">
        <f t="shared" si="27"/>
        <v>36.96</v>
      </c>
      <c r="G93">
        <f t="shared" si="28"/>
        <v>0.23466666666666666</v>
      </c>
      <c r="H93">
        <f t="shared" si="29"/>
        <v>133.05600000000001</v>
      </c>
      <c r="I93">
        <f t="shared" si="30"/>
        <v>739.2</v>
      </c>
      <c r="J93">
        <f t="shared" si="31"/>
        <v>528</v>
      </c>
      <c r="K93">
        <f t="shared" si="32"/>
        <v>95.04</v>
      </c>
      <c r="L93">
        <f t="shared" si="33"/>
        <v>11.028124799999999</v>
      </c>
      <c r="M93">
        <f t="shared" si="34"/>
        <v>10.671091200000003</v>
      </c>
      <c r="N93">
        <f t="shared" si="35"/>
        <v>7.7845586823529409</v>
      </c>
      <c r="O93">
        <f t="shared" si="36"/>
        <v>2.3090516395052032</v>
      </c>
      <c r="P93">
        <f t="shared" si="37"/>
        <v>67.2</v>
      </c>
      <c r="Q93">
        <f t="shared" si="38"/>
        <v>528</v>
      </c>
      <c r="R93">
        <f t="shared" si="39"/>
        <v>485.76</v>
      </c>
      <c r="S93">
        <f t="shared" si="40"/>
        <v>42.24</v>
      </c>
      <c r="T93">
        <f>I93*E93/'[1]Inverter Analysis'!$L$2</f>
        <v>318.84257816512962</v>
      </c>
      <c r="U93">
        <f t="shared" si="41"/>
        <v>151.5151515151515</v>
      </c>
      <c r="V93">
        <f t="shared" si="42"/>
        <v>164.69038208168644</v>
      </c>
      <c r="W93">
        <f t="shared" si="43"/>
        <v>108.22510822510822</v>
      </c>
      <c r="X93">
        <f t="shared" si="44"/>
        <v>0.10849168780084746</v>
      </c>
      <c r="Y93">
        <f t="shared" si="45"/>
        <v>17.033563007999998</v>
      </c>
      <c r="Z93">
        <f t="shared" si="46"/>
        <v>1.5188836292118646</v>
      </c>
    </row>
    <row r="94" spans="1:26">
      <c r="A94">
        <v>14</v>
      </c>
      <c r="B94">
        <v>3</v>
      </c>
      <c r="C94">
        <v>12</v>
      </c>
      <c r="D94">
        <f t="shared" si="25"/>
        <v>420</v>
      </c>
      <c r="E94">
        <f t="shared" si="26"/>
        <v>180</v>
      </c>
      <c r="F94">
        <f t="shared" si="27"/>
        <v>35.28</v>
      </c>
      <c r="G94">
        <f t="shared" si="28"/>
        <v>0.22399999999999998</v>
      </c>
      <c r="H94">
        <f t="shared" si="29"/>
        <v>127.008</v>
      </c>
      <c r="I94">
        <f t="shared" si="30"/>
        <v>705.6</v>
      </c>
      <c r="J94">
        <f t="shared" si="31"/>
        <v>504</v>
      </c>
      <c r="K94">
        <f t="shared" si="32"/>
        <v>90.72</v>
      </c>
      <c r="L94">
        <f t="shared" si="33"/>
        <v>10.5268464</v>
      </c>
      <c r="M94">
        <f t="shared" si="34"/>
        <v>10.186041600000001</v>
      </c>
      <c r="N94">
        <f t="shared" si="35"/>
        <v>7.4307151058823537</v>
      </c>
      <c r="O94">
        <f t="shared" si="36"/>
        <v>2.1166306695464363</v>
      </c>
      <c r="P94">
        <f t="shared" si="37"/>
        <v>58.800000000000004</v>
      </c>
      <c r="Q94">
        <f t="shared" si="38"/>
        <v>504</v>
      </c>
      <c r="R94">
        <f t="shared" si="39"/>
        <v>463.68</v>
      </c>
      <c r="S94">
        <f t="shared" si="40"/>
        <v>40.319999999999993</v>
      </c>
      <c r="T94">
        <f>I94*E94/'[1]Inverter Analysis'!$L$2</f>
        <v>304.3497337030783</v>
      </c>
      <c r="U94">
        <f t="shared" si="41"/>
        <v>158.73015873015873</v>
      </c>
      <c r="V94">
        <f t="shared" si="42"/>
        <v>172.53278122843341</v>
      </c>
      <c r="W94">
        <f t="shared" si="43"/>
        <v>113.37868480725623</v>
      </c>
      <c r="X94">
        <f t="shared" si="44"/>
        <v>0.11907024239367385</v>
      </c>
      <c r="Y94">
        <f t="shared" si="45"/>
        <v>14.814784656</v>
      </c>
      <c r="Z94">
        <f t="shared" si="46"/>
        <v>1.666983393511434</v>
      </c>
    </row>
    <row r="95" spans="1:26">
      <c r="A95">
        <v>15</v>
      </c>
      <c r="B95">
        <v>3</v>
      </c>
      <c r="C95" s="9">
        <v>11</v>
      </c>
      <c r="D95">
        <f t="shared" si="25"/>
        <v>420</v>
      </c>
      <c r="E95">
        <f t="shared" si="26"/>
        <v>180</v>
      </c>
      <c r="F95">
        <f t="shared" si="27"/>
        <v>34.65</v>
      </c>
      <c r="G95">
        <f t="shared" si="28"/>
        <v>0.22</v>
      </c>
      <c r="H95">
        <f t="shared" si="29"/>
        <v>124.74</v>
      </c>
      <c r="I95">
        <f t="shared" si="30"/>
        <v>693</v>
      </c>
      <c r="J95">
        <f t="shared" si="31"/>
        <v>495</v>
      </c>
      <c r="K95">
        <f t="shared" si="32"/>
        <v>89.1</v>
      </c>
      <c r="L95">
        <f t="shared" si="33"/>
        <v>10.338866999999999</v>
      </c>
      <c r="M95">
        <f t="shared" si="34"/>
        <v>10.004148000000001</v>
      </c>
      <c r="N95">
        <f t="shared" si="35"/>
        <v>7.2980237647058823</v>
      </c>
      <c r="O95">
        <f t="shared" si="36"/>
        <v>2.3090516395052032</v>
      </c>
      <c r="P95">
        <f t="shared" si="37"/>
        <v>63</v>
      </c>
      <c r="Q95">
        <f t="shared" si="38"/>
        <v>495</v>
      </c>
      <c r="R95">
        <f t="shared" si="39"/>
        <v>455.4</v>
      </c>
      <c r="S95">
        <f t="shared" si="40"/>
        <v>39.6</v>
      </c>
      <c r="T95">
        <f>I95*E95/'[1]Inverter Analysis'!$L$2</f>
        <v>298.91491702980903</v>
      </c>
      <c r="U95">
        <f t="shared" si="41"/>
        <v>161.61616161616161</v>
      </c>
      <c r="V95">
        <f t="shared" si="42"/>
        <v>175.66974088713221</v>
      </c>
      <c r="W95">
        <f t="shared" si="43"/>
        <v>115.44011544011543</v>
      </c>
      <c r="X95">
        <f t="shared" si="44"/>
        <v>0.12343943145340867</v>
      </c>
      <c r="Y95">
        <f t="shared" si="45"/>
        <v>14.035223425781247</v>
      </c>
      <c r="Z95">
        <f t="shared" si="46"/>
        <v>1.7281520403477215</v>
      </c>
    </row>
    <row r="96" spans="1:26">
      <c r="A96">
        <v>16</v>
      </c>
      <c r="B96">
        <v>3</v>
      </c>
      <c r="C96" s="9">
        <v>10</v>
      </c>
      <c r="D96">
        <f t="shared" si="25"/>
        <v>420</v>
      </c>
      <c r="E96">
        <f t="shared" si="26"/>
        <v>180</v>
      </c>
      <c r="F96">
        <f t="shared" si="27"/>
        <v>33.6</v>
      </c>
      <c r="G96">
        <f t="shared" si="28"/>
        <v>0.21333333333333332</v>
      </c>
      <c r="H96">
        <f t="shared" si="29"/>
        <v>120.96</v>
      </c>
      <c r="I96">
        <f t="shared" si="30"/>
        <v>672</v>
      </c>
      <c r="J96">
        <f t="shared" si="31"/>
        <v>480</v>
      </c>
      <c r="K96">
        <f t="shared" si="32"/>
        <v>86.4</v>
      </c>
      <c r="L96">
        <f t="shared" si="33"/>
        <v>10.025568</v>
      </c>
      <c r="M96">
        <f t="shared" si="34"/>
        <v>9.7009919999999994</v>
      </c>
      <c r="N96">
        <f t="shared" si="35"/>
        <v>7.0768715294117648</v>
      </c>
      <c r="O96">
        <f t="shared" si="36"/>
        <v>2.5399568034557234</v>
      </c>
      <c r="P96">
        <f t="shared" si="37"/>
        <v>67.2</v>
      </c>
      <c r="Q96">
        <f t="shared" si="38"/>
        <v>480</v>
      </c>
      <c r="R96">
        <f t="shared" si="39"/>
        <v>441.6</v>
      </c>
      <c r="S96">
        <f t="shared" si="40"/>
        <v>38.4</v>
      </c>
      <c r="T96">
        <f>I96*E96/'[1]Inverter Analysis'!$L$2</f>
        <v>289.85688924102692</v>
      </c>
      <c r="U96">
        <f t="shared" si="41"/>
        <v>166.66666666666666</v>
      </c>
      <c r="V96">
        <f t="shared" si="42"/>
        <v>181.15942028985506</v>
      </c>
      <c r="W96">
        <f t="shared" si="43"/>
        <v>119.04761904761905</v>
      </c>
      <c r="X96">
        <f t="shared" si="44"/>
        <v>0.13127494223902539</v>
      </c>
      <c r="Y96">
        <f t="shared" si="45"/>
        <v>12.797568000000002</v>
      </c>
      <c r="Z96">
        <f t="shared" si="46"/>
        <v>1.8378491913463557</v>
      </c>
    </row>
    <row r="97" spans="1:26">
      <c r="A97">
        <v>13</v>
      </c>
      <c r="B97">
        <v>3</v>
      </c>
      <c r="C97">
        <v>12</v>
      </c>
      <c r="D97">
        <f t="shared" si="25"/>
        <v>420</v>
      </c>
      <c r="E97">
        <f t="shared" si="26"/>
        <v>180</v>
      </c>
      <c r="F97">
        <f t="shared" si="27"/>
        <v>32.76</v>
      </c>
      <c r="G97">
        <f t="shared" si="28"/>
        <v>0.20799999999999999</v>
      </c>
      <c r="H97">
        <f t="shared" si="29"/>
        <v>117.93600000000002</v>
      </c>
      <c r="I97">
        <f t="shared" si="30"/>
        <v>655.20000000000005</v>
      </c>
      <c r="J97">
        <f t="shared" si="31"/>
        <v>468</v>
      </c>
      <c r="K97">
        <f t="shared" si="32"/>
        <v>84.24</v>
      </c>
      <c r="L97">
        <f t="shared" si="33"/>
        <v>9.7749287999999996</v>
      </c>
      <c r="M97">
        <f t="shared" si="34"/>
        <v>9.4584672000000012</v>
      </c>
      <c r="N97">
        <f t="shared" si="35"/>
        <v>6.8999497411764708</v>
      </c>
      <c r="O97">
        <f t="shared" si="36"/>
        <v>2.1166306695464363</v>
      </c>
      <c r="P97">
        <f t="shared" si="37"/>
        <v>54.6</v>
      </c>
      <c r="Q97">
        <f t="shared" si="38"/>
        <v>468</v>
      </c>
      <c r="R97">
        <f t="shared" si="39"/>
        <v>430.56</v>
      </c>
      <c r="S97">
        <f t="shared" si="40"/>
        <v>37.44</v>
      </c>
      <c r="T97">
        <f>I97*E97/'[1]Inverter Analysis'!$L$2</f>
        <v>282.61046701000129</v>
      </c>
      <c r="U97">
        <f t="shared" si="41"/>
        <v>170.94017094017093</v>
      </c>
      <c r="V97">
        <f t="shared" si="42"/>
        <v>185.8045336306206</v>
      </c>
      <c r="W97">
        <f t="shared" si="43"/>
        <v>122.10012210012209</v>
      </c>
      <c r="X97">
        <f t="shared" si="44"/>
        <v>0.13809329887076968</v>
      </c>
      <c r="Y97">
        <f t="shared" si="45"/>
        <v>11.861545877999999</v>
      </c>
      <c r="Z97">
        <f t="shared" si="46"/>
        <v>1.9333061841907753</v>
      </c>
    </row>
    <row r="98" spans="1:26">
      <c r="A98">
        <v>14</v>
      </c>
      <c r="B98">
        <v>3</v>
      </c>
      <c r="C98" s="9">
        <v>11</v>
      </c>
      <c r="D98">
        <f t="shared" si="25"/>
        <v>420</v>
      </c>
      <c r="E98">
        <f t="shared" si="26"/>
        <v>180</v>
      </c>
      <c r="F98">
        <f t="shared" si="27"/>
        <v>32.340000000000003</v>
      </c>
      <c r="G98">
        <f t="shared" si="28"/>
        <v>0.20533333333333331</v>
      </c>
      <c r="H98">
        <f t="shared" si="29"/>
        <v>116.42400000000002</v>
      </c>
      <c r="I98">
        <f t="shared" si="30"/>
        <v>646.80000000000007</v>
      </c>
      <c r="J98">
        <f t="shared" si="31"/>
        <v>462</v>
      </c>
      <c r="K98">
        <f t="shared" si="32"/>
        <v>83.16</v>
      </c>
      <c r="L98">
        <f t="shared" si="33"/>
        <v>9.6496092000000004</v>
      </c>
      <c r="M98">
        <f t="shared" si="34"/>
        <v>9.3372048000000021</v>
      </c>
      <c r="N98">
        <f t="shared" si="35"/>
        <v>6.8114888470588246</v>
      </c>
      <c r="O98">
        <f t="shared" si="36"/>
        <v>2.3090516395052032</v>
      </c>
      <c r="P98">
        <f t="shared" si="37"/>
        <v>58.800000000000004</v>
      </c>
      <c r="Q98">
        <f t="shared" si="38"/>
        <v>462</v>
      </c>
      <c r="R98">
        <f t="shared" si="39"/>
        <v>425.04</v>
      </c>
      <c r="S98">
        <f t="shared" si="40"/>
        <v>36.959999999999994</v>
      </c>
      <c r="T98">
        <f>I98*E98/'[1]Inverter Analysis'!$L$2</f>
        <v>278.98725589448844</v>
      </c>
      <c r="U98">
        <f t="shared" si="41"/>
        <v>173.16017316017317</v>
      </c>
      <c r="V98">
        <f t="shared" si="42"/>
        <v>188.21757952192735</v>
      </c>
      <c r="W98">
        <f t="shared" si="43"/>
        <v>123.68583797155225</v>
      </c>
      <c r="X98">
        <f t="shared" si="44"/>
        <v>0.14170342896437216</v>
      </c>
      <c r="Y98">
        <f t="shared" si="45"/>
        <v>11.411156468250002</v>
      </c>
      <c r="Z98">
        <f t="shared" si="46"/>
        <v>1.98384800550121</v>
      </c>
    </row>
    <row r="99" spans="1:26">
      <c r="A99">
        <v>15</v>
      </c>
      <c r="B99">
        <v>3</v>
      </c>
      <c r="C99" s="9">
        <v>10</v>
      </c>
      <c r="D99">
        <f t="shared" si="25"/>
        <v>420</v>
      </c>
      <c r="E99">
        <f t="shared" si="26"/>
        <v>180</v>
      </c>
      <c r="F99">
        <f t="shared" si="27"/>
        <v>31.5</v>
      </c>
      <c r="G99">
        <f t="shared" si="28"/>
        <v>0.2</v>
      </c>
      <c r="H99">
        <f t="shared" si="29"/>
        <v>113.4</v>
      </c>
      <c r="I99">
        <f t="shared" si="30"/>
        <v>630</v>
      </c>
      <c r="J99">
        <f t="shared" si="31"/>
        <v>450</v>
      </c>
      <c r="K99">
        <f t="shared" si="32"/>
        <v>81</v>
      </c>
      <c r="L99">
        <f t="shared" si="33"/>
        <v>9.3989699999999985</v>
      </c>
      <c r="M99">
        <f t="shared" si="34"/>
        <v>9.0946800000000003</v>
      </c>
      <c r="N99">
        <f t="shared" si="35"/>
        <v>6.6345670588235288</v>
      </c>
      <c r="O99">
        <f t="shared" si="36"/>
        <v>2.5399568034557234</v>
      </c>
      <c r="P99">
        <f t="shared" si="37"/>
        <v>63</v>
      </c>
      <c r="Q99">
        <f t="shared" si="38"/>
        <v>450</v>
      </c>
      <c r="R99">
        <f t="shared" si="39"/>
        <v>414</v>
      </c>
      <c r="S99">
        <f t="shared" si="40"/>
        <v>36</v>
      </c>
      <c r="T99">
        <f>I99*E99/'[1]Inverter Analysis'!$L$2</f>
        <v>271.74083366346275</v>
      </c>
      <c r="U99">
        <f t="shared" si="41"/>
        <v>177.77777777777777</v>
      </c>
      <c r="V99">
        <f t="shared" si="42"/>
        <v>193.23671497584542</v>
      </c>
      <c r="W99">
        <f t="shared" si="43"/>
        <v>126.98412698412699</v>
      </c>
      <c r="X99">
        <f t="shared" si="44"/>
        <v>0.14936171205862447</v>
      </c>
      <c r="Y99">
        <f t="shared" si="45"/>
        <v>10.544871093749999</v>
      </c>
      <c r="Z99">
        <f t="shared" si="46"/>
        <v>2.0910639688207429</v>
      </c>
    </row>
    <row r="100" spans="1:26">
      <c r="A100">
        <v>12</v>
      </c>
      <c r="B100">
        <v>3</v>
      </c>
      <c r="C100">
        <v>12</v>
      </c>
      <c r="D100">
        <f t="shared" si="25"/>
        <v>420</v>
      </c>
      <c r="E100">
        <f t="shared" si="26"/>
        <v>180</v>
      </c>
      <c r="F100">
        <f t="shared" si="27"/>
        <v>30.24</v>
      </c>
      <c r="G100">
        <f t="shared" si="28"/>
        <v>0.192</v>
      </c>
      <c r="H100">
        <f t="shared" si="29"/>
        <v>108.86400000000002</v>
      </c>
      <c r="I100">
        <f t="shared" si="30"/>
        <v>604.80000000000007</v>
      </c>
      <c r="J100">
        <f t="shared" si="31"/>
        <v>432</v>
      </c>
      <c r="K100">
        <f t="shared" si="32"/>
        <v>77.760000000000005</v>
      </c>
      <c r="L100">
        <f t="shared" si="33"/>
        <v>9.0230112000000009</v>
      </c>
      <c r="M100">
        <f t="shared" si="34"/>
        <v>8.7308928000000012</v>
      </c>
      <c r="N100">
        <f t="shared" si="35"/>
        <v>6.3691843764705895</v>
      </c>
      <c r="O100">
        <f t="shared" si="36"/>
        <v>2.1166306695464363</v>
      </c>
      <c r="P100">
        <f t="shared" si="37"/>
        <v>50.400000000000006</v>
      </c>
      <c r="Q100">
        <f t="shared" si="38"/>
        <v>432</v>
      </c>
      <c r="R100">
        <f t="shared" si="39"/>
        <v>397.44</v>
      </c>
      <c r="S100">
        <f t="shared" si="40"/>
        <v>34.56</v>
      </c>
      <c r="T100">
        <f>I100*E100/'[1]Inverter Analysis'!$L$2</f>
        <v>260.87120031692427</v>
      </c>
      <c r="U100">
        <f t="shared" si="41"/>
        <v>185.18518518518519</v>
      </c>
      <c r="V100">
        <f t="shared" si="42"/>
        <v>201.28824476650564</v>
      </c>
      <c r="W100">
        <f t="shared" si="43"/>
        <v>132.27513227513225</v>
      </c>
      <c r="X100">
        <f t="shared" si="44"/>
        <v>0.16206782992472277</v>
      </c>
      <c r="Y100">
        <f t="shared" si="45"/>
        <v>9.3294270719999979</v>
      </c>
      <c r="Z100">
        <f t="shared" si="46"/>
        <v>2.2689496189461185</v>
      </c>
    </row>
    <row r="101" spans="1:26">
      <c r="A101">
        <v>16</v>
      </c>
      <c r="B101">
        <v>3</v>
      </c>
      <c r="C101" s="9">
        <v>9</v>
      </c>
      <c r="D101">
        <f t="shared" si="25"/>
        <v>420</v>
      </c>
      <c r="E101">
        <f t="shared" si="26"/>
        <v>180</v>
      </c>
      <c r="F101">
        <f t="shared" si="27"/>
        <v>30.24</v>
      </c>
      <c r="G101">
        <f t="shared" si="28"/>
        <v>0.192</v>
      </c>
      <c r="H101">
        <f t="shared" si="29"/>
        <v>108.86400000000002</v>
      </c>
      <c r="I101">
        <f t="shared" si="30"/>
        <v>604.80000000000007</v>
      </c>
      <c r="J101">
        <f t="shared" si="31"/>
        <v>432</v>
      </c>
      <c r="K101">
        <f t="shared" si="32"/>
        <v>77.760000000000005</v>
      </c>
      <c r="L101">
        <f t="shared" si="33"/>
        <v>9.0230112000000009</v>
      </c>
      <c r="M101">
        <f t="shared" si="34"/>
        <v>8.7308928000000012</v>
      </c>
      <c r="N101">
        <f t="shared" si="35"/>
        <v>6.3691843764705895</v>
      </c>
      <c r="O101">
        <f t="shared" si="36"/>
        <v>2.8221742260619149</v>
      </c>
      <c r="P101">
        <f t="shared" si="37"/>
        <v>67.2</v>
      </c>
      <c r="Q101">
        <f t="shared" si="38"/>
        <v>432</v>
      </c>
      <c r="R101">
        <f t="shared" si="39"/>
        <v>397.44</v>
      </c>
      <c r="S101">
        <f t="shared" si="40"/>
        <v>34.56</v>
      </c>
      <c r="T101">
        <f>I101*E101/'[1]Inverter Analysis'!$L$2</f>
        <v>260.87120031692427</v>
      </c>
      <c r="U101">
        <f t="shared" si="41"/>
        <v>185.18518518518519</v>
      </c>
      <c r="V101">
        <f t="shared" si="42"/>
        <v>201.28824476650564</v>
      </c>
      <c r="W101">
        <f t="shared" si="43"/>
        <v>132.27513227513225</v>
      </c>
      <c r="X101">
        <f t="shared" si="44"/>
        <v>0.16206782992472277</v>
      </c>
      <c r="Y101">
        <f t="shared" si="45"/>
        <v>9.3294270719999979</v>
      </c>
      <c r="Z101">
        <f t="shared" si="46"/>
        <v>2.2689496189461185</v>
      </c>
    </row>
    <row r="102" spans="1:26">
      <c r="A102">
        <v>13</v>
      </c>
      <c r="B102">
        <v>3</v>
      </c>
      <c r="C102" s="9">
        <v>11</v>
      </c>
      <c r="D102">
        <f t="shared" si="25"/>
        <v>420</v>
      </c>
      <c r="E102">
        <f t="shared" si="26"/>
        <v>180</v>
      </c>
      <c r="F102">
        <f t="shared" si="27"/>
        <v>30.03</v>
      </c>
      <c r="G102">
        <f t="shared" si="28"/>
        <v>0.19066666666666665</v>
      </c>
      <c r="H102">
        <f t="shared" si="29"/>
        <v>108.108</v>
      </c>
      <c r="I102">
        <f t="shared" si="30"/>
        <v>600.6</v>
      </c>
      <c r="J102">
        <f t="shared" si="31"/>
        <v>429</v>
      </c>
      <c r="K102">
        <f t="shared" si="32"/>
        <v>77.22</v>
      </c>
      <c r="L102">
        <f t="shared" si="33"/>
        <v>8.9603514000000004</v>
      </c>
      <c r="M102">
        <f t="shared" si="34"/>
        <v>8.6702616000000017</v>
      </c>
      <c r="N102">
        <f t="shared" si="35"/>
        <v>6.3249539294117652</v>
      </c>
      <c r="O102">
        <f t="shared" si="36"/>
        <v>2.3090516395052032</v>
      </c>
      <c r="P102">
        <f t="shared" si="37"/>
        <v>54.6</v>
      </c>
      <c r="Q102">
        <f t="shared" si="38"/>
        <v>429</v>
      </c>
      <c r="R102">
        <f t="shared" si="39"/>
        <v>394.68</v>
      </c>
      <c r="S102">
        <f t="shared" si="40"/>
        <v>34.32</v>
      </c>
      <c r="T102">
        <f>I102*E102/'[1]Inverter Analysis'!$L$2</f>
        <v>259.05959475916785</v>
      </c>
      <c r="U102">
        <f t="shared" si="41"/>
        <v>186.48018648018649</v>
      </c>
      <c r="V102">
        <f t="shared" si="42"/>
        <v>202.69585486976791</v>
      </c>
      <c r="W102">
        <f t="shared" si="43"/>
        <v>133.20013320013319</v>
      </c>
      <c r="X102">
        <f t="shared" si="44"/>
        <v>0.16434243832554407</v>
      </c>
      <c r="Y102">
        <f t="shared" si="45"/>
        <v>9.1364106270937508</v>
      </c>
      <c r="Z102">
        <f t="shared" si="46"/>
        <v>2.3007941365576166</v>
      </c>
    </row>
    <row r="103" spans="1:26">
      <c r="A103">
        <v>16</v>
      </c>
      <c r="B103">
        <v>2</v>
      </c>
      <c r="C103">
        <v>12</v>
      </c>
      <c r="D103">
        <f t="shared" si="25"/>
        <v>280</v>
      </c>
      <c r="E103">
        <f t="shared" si="26"/>
        <v>120</v>
      </c>
      <c r="F103">
        <f t="shared" si="27"/>
        <v>26.88</v>
      </c>
      <c r="G103">
        <f t="shared" si="28"/>
        <v>0.38400000000000001</v>
      </c>
      <c r="H103">
        <f t="shared" si="29"/>
        <v>96.768000000000015</v>
      </c>
      <c r="I103">
        <f t="shared" si="30"/>
        <v>806.40000000000009</v>
      </c>
      <c r="J103">
        <f t="shared" si="31"/>
        <v>576</v>
      </c>
      <c r="K103">
        <f t="shared" si="32"/>
        <v>69.12</v>
      </c>
      <c r="L103">
        <f t="shared" si="33"/>
        <v>8.0204544000000002</v>
      </c>
      <c r="M103">
        <f t="shared" si="34"/>
        <v>7.7607936000000013</v>
      </c>
      <c r="N103">
        <f t="shared" si="35"/>
        <v>5.6614972235294125</v>
      </c>
      <c r="O103">
        <f t="shared" si="36"/>
        <v>1.4110871130309575</v>
      </c>
      <c r="P103">
        <f t="shared" si="37"/>
        <v>67.2</v>
      </c>
      <c r="Q103">
        <f t="shared" si="38"/>
        <v>384</v>
      </c>
      <c r="R103">
        <f t="shared" si="39"/>
        <v>529.91999999999996</v>
      </c>
      <c r="S103">
        <f t="shared" si="40"/>
        <v>46.08</v>
      </c>
      <c r="T103">
        <f>I103*E103/'[1]Inverter Analysis'!$L$2</f>
        <v>231.8855113928216</v>
      </c>
      <c r="U103">
        <f t="shared" si="41"/>
        <v>138.88888888888889</v>
      </c>
      <c r="V103">
        <f t="shared" si="42"/>
        <v>150.96618357487924</v>
      </c>
      <c r="W103">
        <f t="shared" si="43"/>
        <v>99.206349206349202</v>
      </c>
      <c r="X103">
        <f t="shared" si="44"/>
        <v>9.1163154332656565E-2</v>
      </c>
      <c r="Y103">
        <f t="shared" si="45"/>
        <v>14.742798335999996</v>
      </c>
      <c r="Z103">
        <f t="shared" si="46"/>
        <v>1.2762841606571917</v>
      </c>
    </row>
    <row r="104" spans="1:26">
      <c r="A104">
        <v>13</v>
      </c>
      <c r="B104">
        <v>4</v>
      </c>
      <c r="C104" s="9">
        <v>7</v>
      </c>
      <c r="D104">
        <f t="shared" si="25"/>
        <v>560</v>
      </c>
      <c r="E104">
        <f t="shared" si="26"/>
        <v>240</v>
      </c>
      <c r="F104">
        <f t="shared" si="27"/>
        <v>25.48</v>
      </c>
      <c r="G104">
        <f t="shared" si="28"/>
        <v>9.1000000000000011E-2</v>
      </c>
      <c r="H104">
        <f t="shared" si="29"/>
        <v>91.727999999999994</v>
      </c>
      <c r="I104">
        <f t="shared" si="30"/>
        <v>382.2</v>
      </c>
      <c r="J104">
        <f t="shared" si="31"/>
        <v>273</v>
      </c>
      <c r="K104">
        <f t="shared" si="32"/>
        <v>65.52</v>
      </c>
      <c r="L104">
        <f t="shared" si="33"/>
        <v>7.6027223999999993</v>
      </c>
      <c r="M104">
        <f t="shared" si="34"/>
        <v>7.3565856000000007</v>
      </c>
      <c r="N104">
        <f t="shared" si="35"/>
        <v>5.366627576470588</v>
      </c>
      <c r="O104">
        <f t="shared" si="36"/>
        <v>4.838012958963283</v>
      </c>
      <c r="P104">
        <f t="shared" si="37"/>
        <v>54.6</v>
      </c>
      <c r="Q104">
        <f t="shared" si="38"/>
        <v>364</v>
      </c>
      <c r="R104">
        <f t="shared" si="39"/>
        <v>251.16</v>
      </c>
      <c r="S104">
        <f t="shared" si="40"/>
        <v>21.840000000000003</v>
      </c>
      <c r="T104">
        <f>I104*E104/'[1]Inverter Analysis'!$L$2</f>
        <v>219.80814100777877</v>
      </c>
      <c r="U104">
        <f t="shared" si="41"/>
        <v>293.04029304029302</v>
      </c>
      <c r="V104">
        <f t="shared" si="42"/>
        <v>318.52205765249244</v>
      </c>
      <c r="W104">
        <f t="shared" si="43"/>
        <v>209.31449502878075</v>
      </c>
      <c r="X104">
        <f t="shared" si="44"/>
        <v>0.40582520484471085</v>
      </c>
      <c r="Y104">
        <f t="shared" si="45"/>
        <v>3.1392825896250001</v>
      </c>
      <c r="Z104">
        <f t="shared" si="46"/>
        <v>5.6815528678259515</v>
      </c>
    </row>
    <row r="105" spans="1:26">
      <c r="A105">
        <v>15</v>
      </c>
      <c r="B105">
        <v>2</v>
      </c>
      <c r="C105">
        <v>12</v>
      </c>
      <c r="D105">
        <f t="shared" si="25"/>
        <v>280</v>
      </c>
      <c r="E105">
        <f t="shared" si="26"/>
        <v>120</v>
      </c>
      <c r="F105">
        <f t="shared" si="27"/>
        <v>25.2</v>
      </c>
      <c r="G105">
        <f t="shared" si="28"/>
        <v>0.36</v>
      </c>
      <c r="H105">
        <f t="shared" si="29"/>
        <v>90.72</v>
      </c>
      <c r="I105">
        <f t="shared" si="30"/>
        <v>756</v>
      </c>
      <c r="J105">
        <f t="shared" si="31"/>
        <v>540</v>
      </c>
      <c r="K105">
        <f t="shared" si="32"/>
        <v>64.8</v>
      </c>
      <c r="L105">
        <f t="shared" si="33"/>
        <v>7.5191759999999999</v>
      </c>
      <c r="M105">
        <f t="shared" si="34"/>
        <v>7.2757440000000004</v>
      </c>
      <c r="N105">
        <f t="shared" si="35"/>
        <v>5.3076536470588236</v>
      </c>
      <c r="O105">
        <f t="shared" si="36"/>
        <v>1.4110871130309575</v>
      </c>
      <c r="P105">
        <f t="shared" si="37"/>
        <v>63</v>
      </c>
      <c r="Q105">
        <f t="shared" si="38"/>
        <v>360</v>
      </c>
      <c r="R105">
        <f t="shared" si="39"/>
        <v>496.8</v>
      </c>
      <c r="S105">
        <f t="shared" si="40"/>
        <v>43.199999999999996</v>
      </c>
      <c r="T105">
        <f>I105*E105/'[1]Inverter Analysis'!$L$2</f>
        <v>217.39266693077019</v>
      </c>
      <c r="U105">
        <f t="shared" si="41"/>
        <v>148.14814814814815</v>
      </c>
      <c r="V105">
        <f t="shared" si="42"/>
        <v>161.03059581320451</v>
      </c>
      <c r="W105">
        <f t="shared" si="43"/>
        <v>105.82010582010582</v>
      </c>
      <c r="X105">
        <f t="shared" si="44"/>
        <v>0.10372341115182256</v>
      </c>
      <c r="Y105">
        <f t="shared" si="45"/>
        <v>12.147691500000001</v>
      </c>
      <c r="Z105">
        <f t="shared" si="46"/>
        <v>1.4521277561255155</v>
      </c>
    </row>
    <row r="106" spans="1:26">
      <c r="A106">
        <v>10</v>
      </c>
      <c r="B106">
        <v>4</v>
      </c>
      <c r="C106" s="9">
        <v>9</v>
      </c>
      <c r="D106">
        <f t="shared" si="25"/>
        <v>560</v>
      </c>
      <c r="E106">
        <f t="shared" si="26"/>
        <v>240</v>
      </c>
      <c r="F106">
        <f t="shared" si="27"/>
        <v>25.2</v>
      </c>
      <c r="G106">
        <f t="shared" si="28"/>
        <v>0.09</v>
      </c>
      <c r="H106">
        <f t="shared" si="29"/>
        <v>90.72</v>
      </c>
      <c r="I106">
        <f t="shared" si="30"/>
        <v>378</v>
      </c>
      <c r="J106">
        <f t="shared" si="31"/>
        <v>270</v>
      </c>
      <c r="K106">
        <f t="shared" si="32"/>
        <v>64.8</v>
      </c>
      <c r="L106">
        <f t="shared" si="33"/>
        <v>7.5191759999999999</v>
      </c>
      <c r="M106">
        <f t="shared" si="34"/>
        <v>7.2757440000000004</v>
      </c>
      <c r="N106">
        <f t="shared" si="35"/>
        <v>5.3076536470588236</v>
      </c>
      <c r="O106">
        <f t="shared" si="36"/>
        <v>3.7628989680825535</v>
      </c>
      <c r="P106">
        <f t="shared" si="37"/>
        <v>42</v>
      </c>
      <c r="Q106">
        <f t="shared" si="38"/>
        <v>360</v>
      </c>
      <c r="R106">
        <f t="shared" si="39"/>
        <v>248.4</v>
      </c>
      <c r="S106">
        <f t="shared" si="40"/>
        <v>21.599999999999998</v>
      </c>
      <c r="T106">
        <f>I106*E106/'[1]Inverter Analysis'!$L$2</f>
        <v>217.39266693077019</v>
      </c>
      <c r="U106">
        <f t="shared" si="41"/>
        <v>296.2962962962963</v>
      </c>
      <c r="V106">
        <f t="shared" si="42"/>
        <v>322.06119162640903</v>
      </c>
      <c r="W106">
        <f t="shared" si="43"/>
        <v>211.64021164021165</v>
      </c>
      <c r="X106">
        <f t="shared" si="44"/>
        <v>0.41489364460729022</v>
      </c>
      <c r="Y106">
        <f t="shared" si="45"/>
        <v>3.0369228750000001</v>
      </c>
      <c r="Z106">
        <f t="shared" si="46"/>
        <v>5.8085110245020619</v>
      </c>
    </row>
    <row r="107" spans="1:26">
      <c r="A107" s="8">
        <v>15</v>
      </c>
      <c r="B107" s="9">
        <v>4</v>
      </c>
      <c r="C107" s="9">
        <v>6</v>
      </c>
      <c r="D107">
        <f t="shared" si="25"/>
        <v>560</v>
      </c>
      <c r="E107">
        <f t="shared" si="26"/>
        <v>240</v>
      </c>
      <c r="F107">
        <f t="shared" si="27"/>
        <v>25.2</v>
      </c>
      <c r="G107">
        <f t="shared" si="28"/>
        <v>0.09</v>
      </c>
      <c r="H107">
        <f t="shared" si="29"/>
        <v>90.72</v>
      </c>
      <c r="I107">
        <f t="shared" si="30"/>
        <v>378</v>
      </c>
      <c r="J107">
        <f t="shared" si="31"/>
        <v>270</v>
      </c>
      <c r="K107">
        <f t="shared" si="32"/>
        <v>64.8</v>
      </c>
      <c r="L107">
        <f t="shared" si="33"/>
        <v>7.5191759999999999</v>
      </c>
      <c r="M107">
        <f t="shared" si="34"/>
        <v>7.2757440000000004</v>
      </c>
      <c r="N107">
        <f t="shared" si="35"/>
        <v>5.3076536470588236</v>
      </c>
      <c r="O107">
        <f t="shared" si="36"/>
        <v>5.6443484521238299</v>
      </c>
      <c r="P107">
        <f t="shared" si="37"/>
        <v>63</v>
      </c>
      <c r="Q107">
        <f t="shared" si="38"/>
        <v>360</v>
      </c>
      <c r="R107">
        <f t="shared" si="39"/>
        <v>248.4</v>
      </c>
      <c r="S107">
        <f t="shared" si="40"/>
        <v>21.599999999999998</v>
      </c>
      <c r="T107">
        <f>I107*E107/'[1]Inverter Analysis'!$L$2</f>
        <v>217.39266693077019</v>
      </c>
      <c r="U107">
        <f t="shared" si="41"/>
        <v>296.2962962962963</v>
      </c>
      <c r="V107">
        <f t="shared" si="42"/>
        <v>322.06119162640903</v>
      </c>
      <c r="W107">
        <f t="shared" si="43"/>
        <v>211.64021164021165</v>
      </c>
      <c r="X107">
        <f t="shared" si="44"/>
        <v>0.41489364460729022</v>
      </c>
      <c r="Y107">
        <f t="shared" si="45"/>
        <v>3.0369228750000001</v>
      </c>
      <c r="Z107">
        <f t="shared" si="46"/>
        <v>5.8085110245020619</v>
      </c>
    </row>
    <row r="108" spans="1:26">
      <c r="A108">
        <v>16</v>
      </c>
      <c r="B108">
        <v>2</v>
      </c>
      <c r="C108" s="9">
        <v>11</v>
      </c>
      <c r="D108">
        <f t="shared" si="25"/>
        <v>280</v>
      </c>
      <c r="E108">
        <f t="shared" si="26"/>
        <v>120</v>
      </c>
      <c r="F108">
        <f t="shared" si="27"/>
        <v>24.64</v>
      </c>
      <c r="G108">
        <f t="shared" si="28"/>
        <v>0.35199999999999998</v>
      </c>
      <c r="H108">
        <f t="shared" si="29"/>
        <v>88.703999999999994</v>
      </c>
      <c r="I108">
        <f t="shared" si="30"/>
        <v>739.2</v>
      </c>
      <c r="J108">
        <f t="shared" si="31"/>
        <v>528</v>
      </c>
      <c r="K108">
        <f t="shared" si="32"/>
        <v>63.36</v>
      </c>
      <c r="L108">
        <f t="shared" si="33"/>
        <v>7.3520832</v>
      </c>
      <c r="M108">
        <f t="shared" si="34"/>
        <v>7.1140608000000007</v>
      </c>
      <c r="N108">
        <f t="shared" si="35"/>
        <v>5.1897057882352948</v>
      </c>
      <c r="O108">
        <f t="shared" si="36"/>
        <v>1.5393677596701354</v>
      </c>
      <c r="P108">
        <f t="shared" si="37"/>
        <v>67.2</v>
      </c>
      <c r="Q108">
        <f t="shared" si="38"/>
        <v>352</v>
      </c>
      <c r="R108">
        <f t="shared" si="39"/>
        <v>485.76</v>
      </c>
      <c r="S108">
        <f t="shared" si="40"/>
        <v>42.239999999999995</v>
      </c>
      <c r="T108">
        <f>I108*E108/'[1]Inverter Analysis'!$L$2</f>
        <v>212.56171877675308</v>
      </c>
      <c r="U108">
        <f t="shared" si="41"/>
        <v>151.5151515151515</v>
      </c>
      <c r="V108">
        <f t="shared" si="42"/>
        <v>164.69038208168644</v>
      </c>
      <c r="W108">
        <f t="shared" si="43"/>
        <v>108.22510822510822</v>
      </c>
      <c r="X108">
        <f t="shared" si="44"/>
        <v>0.10849168780084746</v>
      </c>
      <c r="Y108">
        <f t="shared" si="45"/>
        <v>11.355708672</v>
      </c>
      <c r="Z108">
        <f t="shared" si="46"/>
        <v>1.5188836292118642</v>
      </c>
    </row>
    <row r="109" spans="1:26">
      <c r="A109">
        <v>11</v>
      </c>
      <c r="B109">
        <v>4</v>
      </c>
      <c r="C109" s="9">
        <v>8</v>
      </c>
      <c r="D109">
        <f t="shared" si="25"/>
        <v>560</v>
      </c>
      <c r="E109">
        <f t="shared" si="26"/>
        <v>240</v>
      </c>
      <c r="F109">
        <f t="shared" si="27"/>
        <v>24.64</v>
      </c>
      <c r="G109">
        <f t="shared" si="28"/>
        <v>8.7999999999999995E-2</v>
      </c>
      <c r="H109">
        <f t="shared" si="29"/>
        <v>88.703999999999994</v>
      </c>
      <c r="I109">
        <f t="shared" si="30"/>
        <v>369.6</v>
      </c>
      <c r="J109">
        <f t="shared" si="31"/>
        <v>264</v>
      </c>
      <c r="K109">
        <f t="shared" si="32"/>
        <v>63.36</v>
      </c>
      <c r="L109">
        <f t="shared" si="33"/>
        <v>7.3520832</v>
      </c>
      <c r="M109">
        <f t="shared" si="34"/>
        <v>7.1140608000000007</v>
      </c>
      <c r="N109">
        <f t="shared" si="35"/>
        <v>5.1897057882352948</v>
      </c>
      <c r="O109">
        <f t="shared" si="36"/>
        <v>4.2332613390928726</v>
      </c>
      <c r="P109">
        <f t="shared" si="37"/>
        <v>46.2</v>
      </c>
      <c r="Q109">
        <f t="shared" si="38"/>
        <v>352</v>
      </c>
      <c r="R109">
        <f t="shared" si="39"/>
        <v>242.88</v>
      </c>
      <c r="S109">
        <f t="shared" si="40"/>
        <v>21.119999999999997</v>
      </c>
      <c r="T109">
        <f>I109*E109/'[1]Inverter Analysis'!$L$2</f>
        <v>212.56171877675308</v>
      </c>
      <c r="U109">
        <f t="shared" si="41"/>
        <v>303.030303030303</v>
      </c>
      <c r="V109">
        <f t="shared" si="42"/>
        <v>329.38076416337287</v>
      </c>
      <c r="W109">
        <f t="shared" si="43"/>
        <v>216.45021645021643</v>
      </c>
      <c r="X109">
        <f t="shared" si="44"/>
        <v>0.43396675120338984</v>
      </c>
      <c r="Y109">
        <f t="shared" si="45"/>
        <v>2.8389271680000001</v>
      </c>
      <c r="Z109">
        <f t="shared" si="46"/>
        <v>6.0755345168474566</v>
      </c>
    </row>
    <row r="110" spans="1:26">
      <c r="A110">
        <v>14</v>
      </c>
      <c r="B110">
        <v>2</v>
      </c>
      <c r="C110">
        <v>12</v>
      </c>
      <c r="D110">
        <f t="shared" si="25"/>
        <v>280</v>
      </c>
      <c r="E110">
        <f t="shared" si="26"/>
        <v>120</v>
      </c>
      <c r="F110">
        <f t="shared" si="27"/>
        <v>23.52</v>
      </c>
      <c r="G110">
        <f t="shared" si="28"/>
        <v>0.33600000000000002</v>
      </c>
      <c r="H110">
        <f t="shared" si="29"/>
        <v>84.671999999999997</v>
      </c>
      <c r="I110">
        <f t="shared" si="30"/>
        <v>705.6</v>
      </c>
      <c r="J110">
        <f t="shared" si="31"/>
        <v>504</v>
      </c>
      <c r="K110">
        <f t="shared" si="32"/>
        <v>60.48</v>
      </c>
      <c r="L110">
        <f t="shared" si="33"/>
        <v>7.0178976000000004</v>
      </c>
      <c r="M110">
        <f t="shared" si="34"/>
        <v>6.7906944000000005</v>
      </c>
      <c r="N110">
        <f t="shared" si="35"/>
        <v>4.9538100705882355</v>
      </c>
      <c r="O110">
        <f t="shared" si="36"/>
        <v>1.4110871130309575</v>
      </c>
      <c r="P110">
        <f t="shared" si="37"/>
        <v>58.800000000000004</v>
      </c>
      <c r="Q110">
        <f t="shared" si="38"/>
        <v>336</v>
      </c>
      <c r="R110">
        <f t="shared" si="39"/>
        <v>463.68</v>
      </c>
      <c r="S110">
        <f t="shared" si="40"/>
        <v>40.32</v>
      </c>
      <c r="T110">
        <f>I110*E110/'[1]Inverter Analysis'!$L$2</f>
        <v>202.89982246871887</v>
      </c>
      <c r="U110">
        <f t="shared" si="41"/>
        <v>158.73015873015873</v>
      </c>
      <c r="V110">
        <f t="shared" si="42"/>
        <v>172.53278122843341</v>
      </c>
      <c r="W110">
        <f t="shared" si="43"/>
        <v>113.37868480725623</v>
      </c>
      <c r="X110">
        <f t="shared" si="44"/>
        <v>0.11907024239367385</v>
      </c>
      <c r="Y110">
        <f t="shared" si="45"/>
        <v>9.8765231039999986</v>
      </c>
      <c r="Z110">
        <f t="shared" si="46"/>
        <v>1.666983393511434</v>
      </c>
    </row>
    <row r="111" spans="1:26">
      <c r="A111">
        <v>12</v>
      </c>
      <c r="B111">
        <v>4</v>
      </c>
      <c r="C111" s="9">
        <v>7</v>
      </c>
      <c r="D111">
        <f t="shared" si="25"/>
        <v>560</v>
      </c>
      <c r="E111">
        <f t="shared" si="26"/>
        <v>240</v>
      </c>
      <c r="F111">
        <f t="shared" si="27"/>
        <v>23.52</v>
      </c>
      <c r="G111">
        <f t="shared" si="28"/>
        <v>8.4000000000000005E-2</v>
      </c>
      <c r="H111">
        <f t="shared" si="29"/>
        <v>84.671999999999997</v>
      </c>
      <c r="I111">
        <f t="shared" si="30"/>
        <v>352.8</v>
      </c>
      <c r="J111">
        <f t="shared" si="31"/>
        <v>252</v>
      </c>
      <c r="K111">
        <f t="shared" si="32"/>
        <v>60.48</v>
      </c>
      <c r="L111">
        <f t="shared" si="33"/>
        <v>7.0178976000000004</v>
      </c>
      <c r="M111">
        <f t="shared" si="34"/>
        <v>6.7906944000000005</v>
      </c>
      <c r="N111">
        <f t="shared" si="35"/>
        <v>4.9538100705882355</v>
      </c>
      <c r="O111">
        <f t="shared" si="36"/>
        <v>4.838012958963283</v>
      </c>
      <c r="P111">
        <f t="shared" si="37"/>
        <v>50.4</v>
      </c>
      <c r="Q111">
        <f t="shared" si="38"/>
        <v>336</v>
      </c>
      <c r="R111">
        <f t="shared" si="39"/>
        <v>231.84</v>
      </c>
      <c r="S111">
        <f t="shared" si="40"/>
        <v>20.16</v>
      </c>
      <c r="T111">
        <f>I111*E111/'[1]Inverter Analysis'!$L$2</f>
        <v>202.89982246871887</v>
      </c>
      <c r="U111">
        <f t="shared" si="41"/>
        <v>317.46031746031747</v>
      </c>
      <c r="V111">
        <f t="shared" si="42"/>
        <v>345.06556245686681</v>
      </c>
      <c r="W111">
        <f t="shared" si="43"/>
        <v>226.75736961451247</v>
      </c>
      <c r="X111">
        <f t="shared" si="44"/>
        <v>0.4762809695746954</v>
      </c>
      <c r="Y111">
        <f t="shared" si="45"/>
        <v>2.4691307759999996</v>
      </c>
      <c r="Z111">
        <f t="shared" si="46"/>
        <v>6.6679335740457359</v>
      </c>
    </row>
    <row r="112" spans="1:26">
      <c r="A112">
        <v>14</v>
      </c>
      <c r="B112">
        <v>4</v>
      </c>
      <c r="C112" s="9">
        <v>6</v>
      </c>
      <c r="D112">
        <f t="shared" si="25"/>
        <v>560</v>
      </c>
      <c r="E112">
        <f t="shared" si="26"/>
        <v>240</v>
      </c>
      <c r="F112">
        <f t="shared" si="27"/>
        <v>23.52</v>
      </c>
      <c r="G112">
        <f t="shared" si="28"/>
        <v>8.4000000000000005E-2</v>
      </c>
      <c r="H112">
        <f t="shared" si="29"/>
        <v>84.671999999999997</v>
      </c>
      <c r="I112">
        <f t="shared" si="30"/>
        <v>352.8</v>
      </c>
      <c r="J112">
        <f t="shared" si="31"/>
        <v>252</v>
      </c>
      <c r="K112">
        <f t="shared" si="32"/>
        <v>60.48</v>
      </c>
      <c r="L112">
        <f t="shared" si="33"/>
        <v>7.0178976000000004</v>
      </c>
      <c r="M112">
        <f t="shared" si="34"/>
        <v>6.7906944000000005</v>
      </c>
      <c r="N112">
        <f t="shared" si="35"/>
        <v>4.9538100705882355</v>
      </c>
      <c r="O112">
        <f t="shared" si="36"/>
        <v>5.6443484521238299</v>
      </c>
      <c r="P112">
        <f t="shared" si="37"/>
        <v>58.800000000000004</v>
      </c>
      <c r="Q112">
        <f t="shared" si="38"/>
        <v>336</v>
      </c>
      <c r="R112">
        <f t="shared" si="39"/>
        <v>231.84</v>
      </c>
      <c r="S112">
        <f t="shared" si="40"/>
        <v>20.16</v>
      </c>
      <c r="T112">
        <f>I112*E112/'[1]Inverter Analysis'!$L$2</f>
        <v>202.89982246871887</v>
      </c>
      <c r="U112">
        <f t="shared" si="41"/>
        <v>317.46031746031747</v>
      </c>
      <c r="V112">
        <f t="shared" si="42"/>
        <v>345.06556245686681</v>
      </c>
      <c r="W112">
        <f t="shared" si="43"/>
        <v>226.75736961451247</v>
      </c>
      <c r="X112">
        <f t="shared" si="44"/>
        <v>0.4762809695746954</v>
      </c>
      <c r="Y112">
        <f t="shared" si="45"/>
        <v>2.4691307759999996</v>
      </c>
      <c r="Z112">
        <f t="shared" si="46"/>
        <v>6.6679335740457359</v>
      </c>
    </row>
    <row r="113" spans="1:26">
      <c r="A113">
        <v>15</v>
      </c>
      <c r="B113">
        <v>2</v>
      </c>
      <c r="C113" s="9">
        <v>11</v>
      </c>
      <c r="D113">
        <f t="shared" si="25"/>
        <v>280</v>
      </c>
      <c r="E113">
        <f t="shared" si="26"/>
        <v>120</v>
      </c>
      <c r="F113">
        <f t="shared" si="27"/>
        <v>23.1</v>
      </c>
      <c r="G113">
        <f t="shared" si="28"/>
        <v>0.32999999999999996</v>
      </c>
      <c r="H113">
        <f t="shared" si="29"/>
        <v>83.16</v>
      </c>
      <c r="I113">
        <f t="shared" si="30"/>
        <v>693</v>
      </c>
      <c r="J113">
        <f t="shared" si="31"/>
        <v>495</v>
      </c>
      <c r="K113">
        <f t="shared" si="32"/>
        <v>59.4</v>
      </c>
      <c r="L113">
        <f t="shared" si="33"/>
        <v>6.8925779999999994</v>
      </c>
      <c r="M113">
        <f t="shared" si="34"/>
        <v>6.6694320000000005</v>
      </c>
      <c r="N113">
        <f t="shared" si="35"/>
        <v>4.8653491764705885</v>
      </c>
      <c r="O113">
        <f t="shared" si="36"/>
        <v>1.5393677596701354</v>
      </c>
      <c r="P113">
        <f t="shared" si="37"/>
        <v>63</v>
      </c>
      <c r="Q113">
        <f t="shared" si="38"/>
        <v>330</v>
      </c>
      <c r="R113">
        <f t="shared" si="39"/>
        <v>455.4</v>
      </c>
      <c r="S113">
        <f t="shared" si="40"/>
        <v>39.599999999999994</v>
      </c>
      <c r="T113">
        <f>I113*E113/'[1]Inverter Analysis'!$L$2</f>
        <v>199.27661135320602</v>
      </c>
      <c r="U113">
        <f t="shared" si="41"/>
        <v>161.61616161616161</v>
      </c>
      <c r="V113">
        <f t="shared" si="42"/>
        <v>175.66974088713221</v>
      </c>
      <c r="W113">
        <f t="shared" si="43"/>
        <v>115.44011544011543</v>
      </c>
      <c r="X113">
        <f t="shared" si="44"/>
        <v>0.12343943145340867</v>
      </c>
      <c r="Y113">
        <f t="shared" si="45"/>
        <v>9.3568156171874985</v>
      </c>
      <c r="Z113">
        <f t="shared" si="46"/>
        <v>1.7281520403477215</v>
      </c>
    </row>
    <row r="114" spans="1:26">
      <c r="A114">
        <v>16</v>
      </c>
      <c r="B114">
        <v>2</v>
      </c>
      <c r="C114" s="9">
        <v>10</v>
      </c>
      <c r="D114">
        <f t="shared" si="25"/>
        <v>280</v>
      </c>
      <c r="E114">
        <f t="shared" si="26"/>
        <v>120</v>
      </c>
      <c r="F114">
        <f t="shared" si="27"/>
        <v>22.4</v>
      </c>
      <c r="G114">
        <f t="shared" si="28"/>
        <v>0.32</v>
      </c>
      <c r="H114">
        <f t="shared" si="29"/>
        <v>80.64</v>
      </c>
      <c r="I114">
        <f t="shared" si="30"/>
        <v>672</v>
      </c>
      <c r="J114">
        <f t="shared" si="31"/>
        <v>480</v>
      </c>
      <c r="K114">
        <f t="shared" si="32"/>
        <v>57.6</v>
      </c>
      <c r="L114">
        <f t="shared" si="33"/>
        <v>6.6837119999999999</v>
      </c>
      <c r="M114">
        <f t="shared" si="34"/>
        <v>6.4673280000000002</v>
      </c>
      <c r="N114">
        <f t="shared" si="35"/>
        <v>4.7179143529411771</v>
      </c>
      <c r="O114">
        <f t="shared" si="36"/>
        <v>1.693304535637149</v>
      </c>
      <c r="P114">
        <f t="shared" si="37"/>
        <v>67.2</v>
      </c>
      <c r="Q114">
        <f t="shared" si="38"/>
        <v>320</v>
      </c>
      <c r="R114">
        <f t="shared" si="39"/>
        <v>441.6</v>
      </c>
      <c r="S114">
        <f t="shared" si="40"/>
        <v>38.4</v>
      </c>
      <c r="T114">
        <f>I114*E114/'[1]Inverter Analysis'!$L$2</f>
        <v>193.23792616068462</v>
      </c>
      <c r="U114">
        <f t="shared" si="41"/>
        <v>166.66666666666666</v>
      </c>
      <c r="V114">
        <f t="shared" si="42"/>
        <v>181.15942028985506</v>
      </c>
      <c r="W114">
        <f t="shared" si="43"/>
        <v>119.04761904761905</v>
      </c>
      <c r="X114">
        <f t="shared" si="44"/>
        <v>0.13127494223902539</v>
      </c>
      <c r="Y114">
        <f t="shared" si="45"/>
        <v>8.5317120000000006</v>
      </c>
      <c r="Z114">
        <f t="shared" si="46"/>
        <v>1.8378491913463555</v>
      </c>
    </row>
    <row r="115" spans="1:26">
      <c r="A115">
        <v>10</v>
      </c>
      <c r="B115">
        <v>4</v>
      </c>
      <c r="C115" s="9">
        <v>8</v>
      </c>
      <c r="D115">
        <f t="shared" si="25"/>
        <v>560</v>
      </c>
      <c r="E115">
        <f t="shared" si="26"/>
        <v>240</v>
      </c>
      <c r="F115">
        <f t="shared" si="27"/>
        <v>22.4</v>
      </c>
      <c r="G115">
        <f t="shared" si="28"/>
        <v>0.08</v>
      </c>
      <c r="H115">
        <f t="shared" si="29"/>
        <v>80.64</v>
      </c>
      <c r="I115">
        <f t="shared" si="30"/>
        <v>336</v>
      </c>
      <c r="J115">
        <f t="shared" si="31"/>
        <v>240</v>
      </c>
      <c r="K115">
        <f t="shared" si="32"/>
        <v>57.6</v>
      </c>
      <c r="L115">
        <f t="shared" si="33"/>
        <v>6.6837119999999999</v>
      </c>
      <c r="M115">
        <f t="shared" si="34"/>
        <v>6.4673280000000002</v>
      </c>
      <c r="N115">
        <f t="shared" si="35"/>
        <v>4.7179143529411771</v>
      </c>
      <c r="O115">
        <f t="shared" si="36"/>
        <v>4.2332613390928726</v>
      </c>
      <c r="P115">
        <f t="shared" si="37"/>
        <v>42</v>
      </c>
      <c r="Q115">
        <f t="shared" si="38"/>
        <v>320</v>
      </c>
      <c r="R115">
        <f t="shared" si="39"/>
        <v>220.8</v>
      </c>
      <c r="S115">
        <f t="shared" si="40"/>
        <v>19.2</v>
      </c>
      <c r="T115">
        <f>I115*E115/'[1]Inverter Analysis'!$L$2</f>
        <v>193.23792616068462</v>
      </c>
      <c r="U115">
        <f t="shared" si="41"/>
        <v>333.33333333333331</v>
      </c>
      <c r="V115">
        <f t="shared" si="42"/>
        <v>362.31884057971013</v>
      </c>
      <c r="W115">
        <f t="shared" si="43"/>
        <v>238.0952380952381</v>
      </c>
      <c r="X115">
        <f t="shared" si="44"/>
        <v>0.52509976895610155</v>
      </c>
      <c r="Y115">
        <f t="shared" si="45"/>
        <v>2.1329280000000002</v>
      </c>
      <c r="Z115">
        <f t="shared" si="46"/>
        <v>7.351396765385422</v>
      </c>
    </row>
    <row r="116" spans="1:26">
      <c r="A116" s="8">
        <v>16</v>
      </c>
      <c r="B116" s="9">
        <v>4</v>
      </c>
      <c r="C116" s="9">
        <v>5</v>
      </c>
      <c r="D116">
        <f t="shared" si="25"/>
        <v>560</v>
      </c>
      <c r="E116">
        <f t="shared" si="26"/>
        <v>240</v>
      </c>
      <c r="F116">
        <f t="shared" si="27"/>
        <v>22.4</v>
      </c>
      <c r="G116">
        <f t="shared" si="28"/>
        <v>0.08</v>
      </c>
      <c r="H116">
        <f t="shared" si="29"/>
        <v>80.64</v>
      </c>
      <c r="I116">
        <f t="shared" si="30"/>
        <v>336</v>
      </c>
      <c r="J116">
        <f t="shared" si="31"/>
        <v>240</v>
      </c>
      <c r="K116">
        <f t="shared" si="32"/>
        <v>57.6</v>
      </c>
      <c r="L116">
        <f t="shared" si="33"/>
        <v>6.6837119999999999</v>
      </c>
      <c r="M116">
        <f t="shared" si="34"/>
        <v>6.4673280000000002</v>
      </c>
      <c r="N116">
        <f t="shared" si="35"/>
        <v>4.7179143529411771</v>
      </c>
      <c r="O116">
        <f t="shared" si="36"/>
        <v>6.773218142548596</v>
      </c>
      <c r="P116">
        <f t="shared" si="37"/>
        <v>67.2</v>
      </c>
      <c r="Q116">
        <f t="shared" si="38"/>
        <v>320</v>
      </c>
      <c r="R116">
        <f t="shared" si="39"/>
        <v>220.8</v>
      </c>
      <c r="S116">
        <f t="shared" si="40"/>
        <v>19.2</v>
      </c>
      <c r="T116">
        <f>I116*E116/'[1]Inverter Analysis'!$L$2</f>
        <v>193.23792616068462</v>
      </c>
      <c r="U116">
        <f t="shared" si="41"/>
        <v>333.33333333333331</v>
      </c>
      <c r="V116">
        <f t="shared" si="42"/>
        <v>362.31884057971013</v>
      </c>
      <c r="W116">
        <f t="shared" si="43"/>
        <v>238.0952380952381</v>
      </c>
      <c r="X116">
        <f t="shared" si="44"/>
        <v>0.52509976895610155</v>
      </c>
      <c r="Y116">
        <f t="shared" si="45"/>
        <v>2.1329280000000002</v>
      </c>
      <c r="Z116">
        <f t="shared" si="46"/>
        <v>7.351396765385422</v>
      </c>
    </row>
    <row r="117" spans="1:26">
      <c r="A117">
        <v>13</v>
      </c>
      <c r="B117">
        <v>2</v>
      </c>
      <c r="C117">
        <v>12</v>
      </c>
      <c r="D117">
        <f t="shared" si="25"/>
        <v>280</v>
      </c>
      <c r="E117">
        <f t="shared" si="26"/>
        <v>120</v>
      </c>
      <c r="F117">
        <f t="shared" si="27"/>
        <v>21.84</v>
      </c>
      <c r="G117">
        <f t="shared" si="28"/>
        <v>0.31200000000000006</v>
      </c>
      <c r="H117">
        <f t="shared" si="29"/>
        <v>78.623999999999995</v>
      </c>
      <c r="I117">
        <f t="shared" si="30"/>
        <v>655.20000000000005</v>
      </c>
      <c r="J117">
        <f t="shared" si="31"/>
        <v>468</v>
      </c>
      <c r="K117">
        <f t="shared" si="32"/>
        <v>56.16</v>
      </c>
      <c r="L117">
        <f t="shared" si="33"/>
        <v>6.5166192000000001</v>
      </c>
      <c r="M117">
        <f t="shared" si="34"/>
        <v>6.3056448000000014</v>
      </c>
      <c r="N117">
        <f t="shared" si="35"/>
        <v>4.5999664941176475</v>
      </c>
      <c r="O117">
        <f t="shared" si="36"/>
        <v>1.4110871130309575</v>
      </c>
      <c r="P117">
        <f t="shared" si="37"/>
        <v>54.6</v>
      </c>
      <c r="Q117">
        <f t="shared" si="38"/>
        <v>312</v>
      </c>
      <c r="R117">
        <f t="shared" si="39"/>
        <v>430.56</v>
      </c>
      <c r="S117">
        <f t="shared" si="40"/>
        <v>37.440000000000005</v>
      </c>
      <c r="T117">
        <f>I117*E117/'[1]Inverter Analysis'!$L$2</f>
        <v>188.40697800666752</v>
      </c>
      <c r="U117">
        <f t="shared" si="41"/>
        <v>170.94017094017093</v>
      </c>
      <c r="V117">
        <f t="shared" si="42"/>
        <v>185.8045336306206</v>
      </c>
      <c r="W117">
        <f t="shared" si="43"/>
        <v>122.10012210012209</v>
      </c>
      <c r="X117">
        <f t="shared" si="44"/>
        <v>0.13809329887076968</v>
      </c>
      <c r="Y117">
        <f t="shared" si="45"/>
        <v>7.9076972520000002</v>
      </c>
      <c r="Z117">
        <f t="shared" si="46"/>
        <v>1.9333061841907753</v>
      </c>
    </row>
    <row r="118" spans="1:26">
      <c r="A118">
        <v>13</v>
      </c>
      <c r="B118">
        <v>4</v>
      </c>
      <c r="C118" s="9">
        <v>6</v>
      </c>
      <c r="D118">
        <f t="shared" si="25"/>
        <v>560</v>
      </c>
      <c r="E118">
        <f t="shared" si="26"/>
        <v>240</v>
      </c>
      <c r="F118">
        <f t="shared" si="27"/>
        <v>21.84</v>
      </c>
      <c r="G118">
        <f t="shared" si="28"/>
        <v>7.8000000000000014E-2</v>
      </c>
      <c r="H118">
        <f t="shared" si="29"/>
        <v>78.623999999999995</v>
      </c>
      <c r="I118">
        <f t="shared" si="30"/>
        <v>327.60000000000002</v>
      </c>
      <c r="J118">
        <f t="shared" si="31"/>
        <v>234</v>
      </c>
      <c r="K118">
        <f t="shared" si="32"/>
        <v>56.16</v>
      </c>
      <c r="L118">
        <f t="shared" si="33"/>
        <v>6.5166192000000001</v>
      </c>
      <c r="M118">
        <f t="shared" si="34"/>
        <v>6.3056448000000014</v>
      </c>
      <c r="N118">
        <f t="shared" si="35"/>
        <v>4.5999664941176475</v>
      </c>
      <c r="O118">
        <f t="shared" si="36"/>
        <v>5.6443484521238299</v>
      </c>
      <c r="P118">
        <f t="shared" si="37"/>
        <v>54.6</v>
      </c>
      <c r="Q118">
        <f t="shared" si="38"/>
        <v>312</v>
      </c>
      <c r="R118">
        <f t="shared" si="39"/>
        <v>215.28</v>
      </c>
      <c r="S118">
        <f t="shared" si="40"/>
        <v>18.720000000000002</v>
      </c>
      <c r="T118">
        <f>I118*E118/'[1]Inverter Analysis'!$L$2</f>
        <v>188.40697800666752</v>
      </c>
      <c r="U118">
        <f t="shared" si="41"/>
        <v>341.88034188034186</v>
      </c>
      <c r="V118">
        <f t="shared" si="42"/>
        <v>371.60906726124119</v>
      </c>
      <c r="W118">
        <f t="shared" si="43"/>
        <v>244.20024420024419</v>
      </c>
      <c r="X118">
        <f t="shared" si="44"/>
        <v>0.55237319548307873</v>
      </c>
      <c r="Y118">
        <f t="shared" si="45"/>
        <v>1.976924313</v>
      </c>
      <c r="Z118">
        <f t="shared" si="46"/>
        <v>7.7332247367631011</v>
      </c>
    </row>
    <row r="119" spans="1:26">
      <c r="A119">
        <v>14</v>
      </c>
      <c r="B119">
        <v>2</v>
      </c>
      <c r="C119" s="9">
        <v>11</v>
      </c>
      <c r="D119">
        <f t="shared" si="25"/>
        <v>280</v>
      </c>
      <c r="E119">
        <f t="shared" si="26"/>
        <v>120</v>
      </c>
      <c r="F119">
        <f t="shared" si="27"/>
        <v>21.56</v>
      </c>
      <c r="G119">
        <f t="shared" si="28"/>
        <v>0.308</v>
      </c>
      <c r="H119">
        <f t="shared" si="29"/>
        <v>77.616000000000014</v>
      </c>
      <c r="I119">
        <f t="shared" si="30"/>
        <v>646.80000000000007</v>
      </c>
      <c r="J119">
        <f t="shared" si="31"/>
        <v>462</v>
      </c>
      <c r="K119">
        <f t="shared" si="32"/>
        <v>55.44</v>
      </c>
      <c r="L119">
        <f t="shared" si="33"/>
        <v>6.4330728000000006</v>
      </c>
      <c r="M119">
        <f t="shared" si="34"/>
        <v>6.2248032000000011</v>
      </c>
      <c r="N119">
        <f t="shared" si="35"/>
        <v>4.5409925647058831</v>
      </c>
      <c r="O119">
        <f t="shared" si="36"/>
        <v>1.5393677596701354</v>
      </c>
      <c r="P119">
        <f t="shared" si="37"/>
        <v>58.800000000000004</v>
      </c>
      <c r="Q119">
        <f t="shared" si="38"/>
        <v>308</v>
      </c>
      <c r="R119">
        <f t="shared" si="39"/>
        <v>425.04</v>
      </c>
      <c r="S119">
        <f t="shared" si="40"/>
        <v>36.96</v>
      </c>
      <c r="T119">
        <f>I119*E119/'[1]Inverter Analysis'!$L$2</f>
        <v>185.99150392965899</v>
      </c>
      <c r="U119">
        <f t="shared" si="41"/>
        <v>173.16017316017317</v>
      </c>
      <c r="V119">
        <f t="shared" si="42"/>
        <v>188.21757952192735</v>
      </c>
      <c r="W119">
        <f t="shared" si="43"/>
        <v>123.68583797155225</v>
      </c>
      <c r="X119">
        <f t="shared" si="44"/>
        <v>0.14170342896437216</v>
      </c>
      <c r="Y119">
        <f t="shared" si="45"/>
        <v>7.6074376455000001</v>
      </c>
      <c r="Z119">
        <f t="shared" si="46"/>
        <v>1.9838480055012102</v>
      </c>
    </row>
    <row r="120" spans="1:26">
      <c r="A120">
        <v>11</v>
      </c>
      <c r="B120">
        <v>4</v>
      </c>
      <c r="C120" s="9">
        <v>7</v>
      </c>
      <c r="D120">
        <f t="shared" si="25"/>
        <v>560</v>
      </c>
      <c r="E120">
        <f t="shared" si="26"/>
        <v>240</v>
      </c>
      <c r="F120">
        <f t="shared" si="27"/>
        <v>21.56</v>
      </c>
      <c r="G120">
        <f t="shared" si="28"/>
        <v>7.6999999999999999E-2</v>
      </c>
      <c r="H120">
        <f t="shared" si="29"/>
        <v>77.616000000000014</v>
      </c>
      <c r="I120">
        <f t="shared" si="30"/>
        <v>323.40000000000003</v>
      </c>
      <c r="J120">
        <f t="shared" si="31"/>
        <v>231</v>
      </c>
      <c r="K120">
        <f t="shared" si="32"/>
        <v>55.44</v>
      </c>
      <c r="L120">
        <f t="shared" si="33"/>
        <v>6.4330728000000006</v>
      </c>
      <c r="M120">
        <f t="shared" si="34"/>
        <v>6.2248032000000011</v>
      </c>
      <c r="N120">
        <f t="shared" si="35"/>
        <v>4.5409925647058831</v>
      </c>
      <c r="O120">
        <f t="shared" si="36"/>
        <v>4.838012958963283</v>
      </c>
      <c r="P120">
        <f t="shared" si="37"/>
        <v>46.2</v>
      </c>
      <c r="Q120">
        <f t="shared" si="38"/>
        <v>308</v>
      </c>
      <c r="R120">
        <f t="shared" si="39"/>
        <v>212.52</v>
      </c>
      <c r="S120">
        <f t="shared" si="40"/>
        <v>18.48</v>
      </c>
      <c r="T120">
        <f>I120*E120/'[1]Inverter Analysis'!$L$2</f>
        <v>185.99150392965899</v>
      </c>
      <c r="U120">
        <f t="shared" si="41"/>
        <v>346.32034632034635</v>
      </c>
      <c r="V120">
        <f t="shared" si="42"/>
        <v>376.4351590438547</v>
      </c>
      <c r="W120">
        <f t="shared" si="43"/>
        <v>247.37167594310449</v>
      </c>
      <c r="X120">
        <f t="shared" si="44"/>
        <v>0.56681371585748863</v>
      </c>
      <c r="Y120">
        <f t="shared" si="45"/>
        <v>1.901859411375</v>
      </c>
      <c r="Z120">
        <f t="shared" si="46"/>
        <v>7.9353920220048408</v>
      </c>
    </row>
    <row r="121" spans="1:26">
      <c r="A121">
        <v>15</v>
      </c>
      <c r="B121">
        <v>2</v>
      </c>
      <c r="C121" s="9">
        <v>10</v>
      </c>
      <c r="D121">
        <f t="shared" si="25"/>
        <v>280</v>
      </c>
      <c r="E121">
        <f t="shared" si="26"/>
        <v>120</v>
      </c>
      <c r="F121">
        <f t="shared" si="27"/>
        <v>21</v>
      </c>
      <c r="G121">
        <f t="shared" si="28"/>
        <v>0.3</v>
      </c>
      <c r="H121">
        <f t="shared" si="29"/>
        <v>75.599999999999994</v>
      </c>
      <c r="I121">
        <f t="shared" si="30"/>
        <v>630</v>
      </c>
      <c r="J121">
        <f t="shared" si="31"/>
        <v>450</v>
      </c>
      <c r="K121">
        <f t="shared" si="32"/>
        <v>54</v>
      </c>
      <c r="L121">
        <f t="shared" si="33"/>
        <v>6.2659799999999999</v>
      </c>
      <c r="M121">
        <f t="shared" si="34"/>
        <v>6.0631200000000005</v>
      </c>
      <c r="N121">
        <f t="shared" si="35"/>
        <v>4.4230447058823534</v>
      </c>
      <c r="O121">
        <f t="shared" si="36"/>
        <v>1.693304535637149</v>
      </c>
      <c r="P121">
        <f t="shared" si="37"/>
        <v>63</v>
      </c>
      <c r="Q121">
        <f t="shared" si="38"/>
        <v>300</v>
      </c>
      <c r="R121">
        <f t="shared" si="39"/>
        <v>414</v>
      </c>
      <c r="S121">
        <f t="shared" si="40"/>
        <v>36</v>
      </c>
      <c r="T121">
        <f>I121*E121/'[1]Inverter Analysis'!$L$2</f>
        <v>181.16055577564182</v>
      </c>
      <c r="U121">
        <f t="shared" si="41"/>
        <v>177.77777777777777</v>
      </c>
      <c r="V121">
        <f t="shared" si="42"/>
        <v>193.23671497584542</v>
      </c>
      <c r="W121">
        <f t="shared" si="43"/>
        <v>126.98412698412699</v>
      </c>
      <c r="X121">
        <f t="shared" si="44"/>
        <v>0.14936171205862447</v>
      </c>
      <c r="Y121">
        <f t="shared" si="45"/>
        <v>7.0299140624999996</v>
      </c>
      <c r="Z121">
        <f t="shared" si="46"/>
        <v>2.0910639688207424</v>
      </c>
    </row>
    <row r="122" spans="1:26">
      <c r="A122" s="8">
        <v>15</v>
      </c>
      <c r="B122" s="9">
        <v>4</v>
      </c>
      <c r="C122" s="9">
        <v>5</v>
      </c>
      <c r="D122">
        <f t="shared" si="25"/>
        <v>560</v>
      </c>
      <c r="E122">
        <f t="shared" si="26"/>
        <v>240</v>
      </c>
      <c r="F122">
        <f t="shared" si="27"/>
        <v>21</v>
      </c>
      <c r="G122">
        <f t="shared" si="28"/>
        <v>7.4999999999999997E-2</v>
      </c>
      <c r="H122">
        <f t="shared" si="29"/>
        <v>75.599999999999994</v>
      </c>
      <c r="I122">
        <f t="shared" si="30"/>
        <v>315</v>
      </c>
      <c r="J122">
        <f t="shared" si="31"/>
        <v>225</v>
      </c>
      <c r="K122">
        <f t="shared" si="32"/>
        <v>54</v>
      </c>
      <c r="L122">
        <f t="shared" si="33"/>
        <v>6.2659799999999999</v>
      </c>
      <c r="M122">
        <f t="shared" si="34"/>
        <v>6.0631200000000005</v>
      </c>
      <c r="N122">
        <f t="shared" si="35"/>
        <v>4.4230447058823534</v>
      </c>
      <c r="O122">
        <f t="shared" si="36"/>
        <v>6.773218142548596</v>
      </c>
      <c r="P122">
        <f t="shared" si="37"/>
        <v>63</v>
      </c>
      <c r="Q122">
        <f t="shared" si="38"/>
        <v>300</v>
      </c>
      <c r="R122">
        <f t="shared" si="39"/>
        <v>207</v>
      </c>
      <c r="S122">
        <f t="shared" si="40"/>
        <v>18</v>
      </c>
      <c r="T122">
        <f>I122*E122/'[1]Inverter Analysis'!$L$2</f>
        <v>181.16055577564182</v>
      </c>
      <c r="U122">
        <f t="shared" si="41"/>
        <v>355.55555555555554</v>
      </c>
      <c r="V122">
        <f t="shared" si="42"/>
        <v>386.47342995169083</v>
      </c>
      <c r="W122">
        <f t="shared" si="43"/>
        <v>253.96825396825398</v>
      </c>
      <c r="X122">
        <f t="shared" si="44"/>
        <v>0.5974468482344979</v>
      </c>
      <c r="Y122">
        <f t="shared" si="45"/>
        <v>1.7574785156249999</v>
      </c>
      <c r="Z122">
        <f t="shared" si="46"/>
        <v>8.3642558752829697</v>
      </c>
    </row>
    <row r="123" spans="1:26">
      <c r="A123">
        <v>12</v>
      </c>
      <c r="B123">
        <v>2</v>
      </c>
      <c r="C123">
        <v>12</v>
      </c>
      <c r="D123">
        <f t="shared" si="25"/>
        <v>280</v>
      </c>
      <c r="E123">
        <f t="shared" si="26"/>
        <v>120</v>
      </c>
      <c r="F123">
        <f t="shared" si="27"/>
        <v>20.16</v>
      </c>
      <c r="G123">
        <f t="shared" si="28"/>
        <v>0.28800000000000003</v>
      </c>
      <c r="H123">
        <f t="shared" si="29"/>
        <v>72.576000000000008</v>
      </c>
      <c r="I123">
        <f t="shared" si="30"/>
        <v>604.80000000000007</v>
      </c>
      <c r="J123">
        <f t="shared" si="31"/>
        <v>432</v>
      </c>
      <c r="K123">
        <f t="shared" si="32"/>
        <v>51.84</v>
      </c>
      <c r="L123">
        <f t="shared" si="33"/>
        <v>6.0153408000000006</v>
      </c>
      <c r="M123">
        <f t="shared" si="34"/>
        <v>5.8205952000000005</v>
      </c>
      <c r="N123">
        <f t="shared" si="35"/>
        <v>4.2461229176470594</v>
      </c>
      <c r="O123">
        <f t="shared" si="36"/>
        <v>1.4110871130309575</v>
      </c>
      <c r="P123">
        <f t="shared" si="37"/>
        <v>50.400000000000006</v>
      </c>
      <c r="Q123">
        <f t="shared" si="38"/>
        <v>288</v>
      </c>
      <c r="R123">
        <f t="shared" si="39"/>
        <v>397.44</v>
      </c>
      <c r="S123">
        <f t="shared" si="40"/>
        <v>34.56</v>
      </c>
      <c r="T123">
        <f>I123*E123/'[1]Inverter Analysis'!$L$2</f>
        <v>173.91413354461619</v>
      </c>
      <c r="U123">
        <f t="shared" si="41"/>
        <v>185.18518518518519</v>
      </c>
      <c r="V123">
        <f t="shared" si="42"/>
        <v>201.28824476650564</v>
      </c>
      <c r="W123">
        <f t="shared" si="43"/>
        <v>132.27513227513225</v>
      </c>
      <c r="X123">
        <f t="shared" si="44"/>
        <v>0.16206782992472277</v>
      </c>
      <c r="Y123">
        <f t="shared" si="45"/>
        <v>6.2196180479999983</v>
      </c>
      <c r="Z123">
        <f t="shared" si="46"/>
        <v>2.2689496189461189</v>
      </c>
    </row>
    <row r="124" spans="1:26">
      <c r="A124">
        <v>16</v>
      </c>
      <c r="B124">
        <v>2</v>
      </c>
      <c r="C124" s="9">
        <v>9</v>
      </c>
      <c r="D124">
        <f t="shared" si="25"/>
        <v>280</v>
      </c>
      <c r="E124">
        <f t="shared" si="26"/>
        <v>120</v>
      </c>
      <c r="F124">
        <f t="shared" si="27"/>
        <v>20.16</v>
      </c>
      <c r="G124">
        <f t="shared" si="28"/>
        <v>0.28800000000000003</v>
      </c>
      <c r="H124">
        <f t="shared" si="29"/>
        <v>72.576000000000008</v>
      </c>
      <c r="I124">
        <f t="shared" si="30"/>
        <v>604.80000000000007</v>
      </c>
      <c r="J124">
        <f t="shared" si="31"/>
        <v>432</v>
      </c>
      <c r="K124">
        <f t="shared" si="32"/>
        <v>51.84</v>
      </c>
      <c r="L124">
        <f t="shared" si="33"/>
        <v>6.0153408000000006</v>
      </c>
      <c r="M124">
        <f t="shared" si="34"/>
        <v>5.8205952000000005</v>
      </c>
      <c r="N124">
        <f t="shared" si="35"/>
        <v>4.2461229176470594</v>
      </c>
      <c r="O124">
        <f t="shared" si="36"/>
        <v>1.8814494840412768</v>
      </c>
      <c r="P124">
        <f t="shared" si="37"/>
        <v>67.2</v>
      </c>
      <c r="Q124">
        <f t="shared" si="38"/>
        <v>288</v>
      </c>
      <c r="R124">
        <f t="shared" si="39"/>
        <v>397.44</v>
      </c>
      <c r="S124">
        <f t="shared" si="40"/>
        <v>34.56</v>
      </c>
      <c r="T124">
        <f>I124*E124/'[1]Inverter Analysis'!$L$2</f>
        <v>173.91413354461619</v>
      </c>
      <c r="U124">
        <f t="shared" si="41"/>
        <v>185.18518518518519</v>
      </c>
      <c r="V124">
        <f t="shared" si="42"/>
        <v>201.28824476650564</v>
      </c>
      <c r="W124">
        <f t="shared" si="43"/>
        <v>132.27513227513225</v>
      </c>
      <c r="X124">
        <f t="shared" si="44"/>
        <v>0.16206782992472277</v>
      </c>
      <c r="Y124">
        <f t="shared" si="45"/>
        <v>6.2196180479999983</v>
      </c>
      <c r="Z124">
        <f t="shared" si="46"/>
        <v>2.2689496189461189</v>
      </c>
    </row>
    <row r="125" spans="1:26">
      <c r="A125">
        <v>12</v>
      </c>
      <c r="B125">
        <v>4</v>
      </c>
      <c r="C125" s="9">
        <v>6</v>
      </c>
      <c r="D125">
        <f t="shared" si="25"/>
        <v>560</v>
      </c>
      <c r="E125">
        <f t="shared" si="26"/>
        <v>240</v>
      </c>
      <c r="F125">
        <f t="shared" si="27"/>
        <v>20.16</v>
      </c>
      <c r="G125">
        <f t="shared" si="28"/>
        <v>7.2000000000000008E-2</v>
      </c>
      <c r="H125">
        <f t="shared" si="29"/>
        <v>72.576000000000008</v>
      </c>
      <c r="I125">
        <f t="shared" si="30"/>
        <v>302.40000000000003</v>
      </c>
      <c r="J125">
        <f t="shared" si="31"/>
        <v>216</v>
      </c>
      <c r="K125">
        <f t="shared" si="32"/>
        <v>51.84</v>
      </c>
      <c r="L125">
        <f t="shared" si="33"/>
        <v>6.0153408000000006</v>
      </c>
      <c r="M125">
        <f t="shared" si="34"/>
        <v>5.8205952000000005</v>
      </c>
      <c r="N125">
        <f t="shared" si="35"/>
        <v>4.2461229176470594</v>
      </c>
      <c r="O125">
        <f t="shared" si="36"/>
        <v>5.6443484521238299</v>
      </c>
      <c r="P125">
        <f t="shared" si="37"/>
        <v>50.400000000000006</v>
      </c>
      <c r="Q125">
        <f t="shared" si="38"/>
        <v>288</v>
      </c>
      <c r="R125">
        <f t="shared" si="39"/>
        <v>198.72</v>
      </c>
      <c r="S125">
        <f t="shared" si="40"/>
        <v>17.28</v>
      </c>
      <c r="T125">
        <f>I125*E125/'[1]Inverter Analysis'!$L$2</f>
        <v>173.91413354461619</v>
      </c>
      <c r="U125">
        <f t="shared" si="41"/>
        <v>370.37037037037038</v>
      </c>
      <c r="V125">
        <f t="shared" si="42"/>
        <v>402.57648953301128</v>
      </c>
      <c r="W125">
        <f t="shared" si="43"/>
        <v>264.5502645502645</v>
      </c>
      <c r="X125">
        <f t="shared" si="44"/>
        <v>0.64827131969889107</v>
      </c>
      <c r="Y125">
        <f t="shared" si="45"/>
        <v>1.5549045119999996</v>
      </c>
      <c r="Z125">
        <f t="shared" si="46"/>
        <v>9.0757984757844756</v>
      </c>
    </row>
    <row r="126" spans="1:26">
      <c r="A126">
        <v>13</v>
      </c>
      <c r="B126">
        <v>2</v>
      </c>
      <c r="C126" s="9">
        <v>11</v>
      </c>
      <c r="D126">
        <f t="shared" si="25"/>
        <v>280</v>
      </c>
      <c r="E126">
        <f t="shared" si="26"/>
        <v>120</v>
      </c>
      <c r="F126">
        <f t="shared" si="27"/>
        <v>20.02</v>
      </c>
      <c r="G126">
        <f t="shared" si="28"/>
        <v>0.28600000000000003</v>
      </c>
      <c r="H126">
        <f t="shared" si="29"/>
        <v>72.072000000000003</v>
      </c>
      <c r="I126">
        <f t="shared" si="30"/>
        <v>600.6</v>
      </c>
      <c r="J126">
        <f t="shared" si="31"/>
        <v>429</v>
      </c>
      <c r="K126">
        <f t="shared" si="32"/>
        <v>51.48</v>
      </c>
      <c r="L126">
        <f t="shared" si="33"/>
        <v>5.9735676</v>
      </c>
      <c r="M126">
        <f t="shared" si="34"/>
        <v>5.7801744000000008</v>
      </c>
      <c r="N126">
        <f t="shared" si="35"/>
        <v>4.2166359529411768</v>
      </c>
      <c r="O126">
        <f t="shared" si="36"/>
        <v>1.5393677596701354</v>
      </c>
      <c r="P126">
        <f t="shared" si="37"/>
        <v>54.6</v>
      </c>
      <c r="Q126">
        <f t="shared" si="38"/>
        <v>286</v>
      </c>
      <c r="R126">
        <f t="shared" si="39"/>
        <v>394.68</v>
      </c>
      <c r="S126">
        <f t="shared" si="40"/>
        <v>34.320000000000007</v>
      </c>
      <c r="T126">
        <f>I126*E126/'[1]Inverter Analysis'!$L$2</f>
        <v>172.70639650611187</v>
      </c>
      <c r="U126">
        <f t="shared" si="41"/>
        <v>186.48018648018649</v>
      </c>
      <c r="V126">
        <f t="shared" si="42"/>
        <v>202.69585486976791</v>
      </c>
      <c r="W126">
        <f t="shared" si="43"/>
        <v>133.20013320013319</v>
      </c>
      <c r="X126">
        <f t="shared" si="44"/>
        <v>0.16434243832554407</v>
      </c>
      <c r="Y126">
        <f t="shared" si="45"/>
        <v>6.0909404180624991</v>
      </c>
      <c r="Z126">
        <f t="shared" si="46"/>
        <v>2.300794136557617</v>
      </c>
    </row>
    <row r="127" spans="1:26">
      <c r="A127">
        <v>10</v>
      </c>
      <c r="B127">
        <v>4</v>
      </c>
      <c r="C127" s="9">
        <v>7</v>
      </c>
      <c r="D127">
        <f t="shared" si="25"/>
        <v>560</v>
      </c>
      <c r="E127">
        <f t="shared" si="26"/>
        <v>240</v>
      </c>
      <c r="F127">
        <f t="shared" si="27"/>
        <v>19.600000000000001</v>
      </c>
      <c r="G127">
        <f t="shared" si="28"/>
        <v>7.0000000000000007E-2</v>
      </c>
      <c r="H127">
        <f t="shared" si="29"/>
        <v>70.56</v>
      </c>
      <c r="I127">
        <f t="shared" si="30"/>
        <v>294</v>
      </c>
      <c r="J127">
        <f t="shared" si="31"/>
        <v>210</v>
      </c>
      <c r="K127">
        <f t="shared" si="32"/>
        <v>50.4</v>
      </c>
      <c r="L127">
        <f t="shared" si="33"/>
        <v>5.8482479999999999</v>
      </c>
      <c r="M127">
        <f t="shared" si="34"/>
        <v>5.6589119999999999</v>
      </c>
      <c r="N127">
        <f t="shared" si="35"/>
        <v>4.1281750588235298</v>
      </c>
      <c r="O127">
        <f t="shared" si="36"/>
        <v>4.838012958963283</v>
      </c>
      <c r="P127">
        <f t="shared" si="37"/>
        <v>42</v>
      </c>
      <c r="Q127">
        <f t="shared" si="38"/>
        <v>280</v>
      </c>
      <c r="R127">
        <f t="shared" si="39"/>
        <v>193.2</v>
      </c>
      <c r="S127">
        <f t="shared" si="40"/>
        <v>16.8</v>
      </c>
      <c r="T127">
        <f>I127*E127/'[1]Inverter Analysis'!$L$2</f>
        <v>169.08318539059906</v>
      </c>
      <c r="U127">
        <f t="shared" si="41"/>
        <v>380.95238095238096</v>
      </c>
      <c r="V127">
        <f t="shared" si="42"/>
        <v>414.07867494824018</v>
      </c>
      <c r="W127">
        <f t="shared" si="43"/>
        <v>272.10884353741494</v>
      </c>
      <c r="X127">
        <f t="shared" si="44"/>
        <v>0.68584459618756133</v>
      </c>
      <c r="Y127">
        <f t="shared" si="45"/>
        <v>1.4288951250000002</v>
      </c>
      <c r="Z127">
        <f t="shared" si="46"/>
        <v>9.6018243466258575</v>
      </c>
    </row>
    <row r="128" spans="1:26">
      <c r="A128">
        <v>14</v>
      </c>
      <c r="B128">
        <v>4</v>
      </c>
      <c r="C128" s="9">
        <v>5</v>
      </c>
      <c r="D128">
        <f t="shared" si="25"/>
        <v>560</v>
      </c>
      <c r="E128">
        <f t="shared" si="26"/>
        <v>240</v>
      </c>
      <c r="F128">
        <f t="shared" si="27"/>
        <v>19.600000000000001</v>
      </c>
      <c r="G128">
        <f t="shared" si="28"/>
        <v>7.0000000000000007E-2</v>
      </c>
      <c r="H128">
        <f t="shared" si="29"/>
        <v>70.56</v>
      </c>
      <c r="I128">
        <f t="shared" si="30"/>
        <v>294</v>
      </c>
      <c r="J128">
        <f t="shared" si="31"/>
        <v>210</v>
      </c>
      <c r="K128">
        <f t="shared" si="32"/>
        <v>50.4</v>
      </c>
      <c r="L128">
        <f t="shared" si="33"/>
        <v>5.8482479999999999</v>
      </c>
      <c r="M128">
        <f t="shared" si="34"/>
        <v>5.6589119999999999</v>
      </c>
      <c r="N128">
        <f t="shared" si="35"/>
        <v>4.1281750588235298</v>
      </c>
      <c r="O128">
        <f t="shared" si="36"/>
        <v>6.773218142548596</v>
      </c>
      <c r="P128">
        <f t="shared" si="37"/>
        <v>58.8</v>
      </c>
      <c r="Q128">
        <f t="shared" si="38"/>
        <v>280</v>
      </c>
      <c r="R128">
        <f t="shared" si="39"/>
        <v>193.2</v>
      </c>
      <c r="S128">
        <f t="shared" si="40"/>
        <v>16.8</v>
      </c>
      <c r="T128">
        <f>I128*E128/'[1]Inverter Analysis'!$L$2</f>
        <v>169.08318539059906</v>
      </c>
      <c r="U128">
        <f t="shared" si="41"/>
        <v>380.95238095238096</v>
      </c>
      <c r="V128">
        <f t="shared" si="42"/>
        <v>414.07867494824018</v>
      </c>
      <c r="W128">
        <f t="shared" si="43"/>
        <v>272.10884353741494</v>
      </c>
      <c r="X128">
        <f t="shared" si="44"/>
        <v>0.68584459618756133</v>
      </c>
      <c r="Y128">
        <f t="shared" si="45"/>
        <v>1.4288951250000002</v>
      </c>
      <c r="Z128">
        <f t="shared" si="46"/>
        <v>9.6018243466258575</v>
      </c>
    </row>
    <row r="129" spans="1:26">
      <c r="A129">
        <v>13</v>
      </c>
      <c r="B129">
        <v>3</v>
      </c>
      <c r="C129" s="9">
        <v>7</v>
      </c>
      <c r="D129">
        <f t="shared" si="25"/>
        <v>420</v>
      </c>
      <c r="E129">
        <f t="shared" si="26"/>
        <v>180</v>
      </c>
      <c r="F129">
        <f t="shared" si="27"/>
        <v>19.11</v>
      </c>
      <c r="G129">
        <f t="shared" si="28"/>
        <v>0.12133333333333332</v>
      </c>
      <c r="H129">
        <f t="shared" si="29"/>
        <v>68.796000000000006</v>
      </c>
      <c r="I129">
        <f t="shared" si="30"/>
        <v>382.2</v>
      </c>
      <c r="J129">
        <f t="shared" si="31"/>
        <v>273</v>
      </c>
      <c r="K129">
        <f t="shared" si="32"/>
        <v>49.14</v>
      </c>
      <c r="L129">
        <f t="shared" si="33"/>
        <v>5.7020417999999999</v>
      </c>
      <c r="M129">
        <f t="shared" si="34"/>
        <v>5.517439200000001</v>
      </c>
      <c r="N129">
        <f t="shared" si="35"/>
        <v>4.024970682352941</v>
      </c>
      <c r="O129">
        <f t="shared" si="36"/>
        <v>3.6285097192224618</v>
      </c>
      <c r="P129">
        <f t="shared" si="37"/>
        <v>54.6</v>
      </c>
      <c r="Q129">
        <f t="shared" si="38"/>
        <v>273</v>
      </c>
      <c r="R129">
        <f t="shared" si="39"/>
        <v>251.16</v>
      </c>
      <c r="S129">
        <f t="shared" si="40"/>
        <v>21.839999999999996</v>
      </c>
      <c r="T129">
        <f>I129*E129/'[1]Inverter Analysis'!$L$2</f>
        <v>164.85610575583408</v>
      </c>
      <c r="U129">
        <f t="shared" si="41"/>
        <v>293.04029304029302</v>
      </c>
      <c r="V129">
        <f t="shared" si="42"/>
        <v>318.52205765249244</v>
      </c>
      <c r="W129">
        <f t="shared" si="43"/>
        <v>209.31449502878075</v>
      </c>
      <c r="X129">
        <f t="shared" si="44"/>
        <v>0.40582520484471085</v>
      </c>
      <c r="Y129">
        <f t="shared" si="45"/>
        <v>2.3544619422187498</v>
      </c>
      <c r="Z129">
        <f t="shared" si="46"/>
        <v>5.6815528678259533</v>
      </c>
    </row>
    <row r="130" spans="1:26">
      <c r="A130">
        <v>10</v>
      </c>
      <c r="B130">
        <v>3</v>
      </c>
      <c r="C130" s="9">
        <v>9</v>
      </c>
      <c r="D130">
        <f t="shared" si="25"/>
        <v>420</v>
      </c>
      <c r="E130">
        <f t="shared" si="26"/>
        <v>180</v>
      </c>
      <c r="F130">
        <f t="shared" si="27"/>
        <v>18.899999999999999</v>
      </c>
      <c r="G130">
        <f t="shared" si="28"/>
        <v>0.12</v>
      </c>
      <c r="H130">
        <f t="shared" si="29"/>
        <v>68.040000000000006</v>
      </c>
      <c r="I130">
        <f t="shared" si="30"/>
        <v>378</v>
      </c>
      <c r="J130">
        <f t="shared" si="31"/>
        <v>270</v>
      </c>
      <c r="K130">
        <f t="shared" si="32"/>
        <v>48.6</v>
      </c>
      <c r="L130">
        <f t="shared" si="33"/>
        <v>5.6393819999999995</v>
      </c>
      <c r="M130">
        <f t="shared" si="34"/>
        <v>5.4568080000000005</v>
      </c>
      <c r="N130">
        <f t="shared" si="35"/>
        <v>3.9807402352941175</v>
      </c>
      <c r="O130">
        <f t="shared" si="36"/>
        <v>2.8221742260619149</v>
      </c>
      <c r="P130">
        <f t="shared" si="37"/>
        <v>42</v>
      </c>
      <c r="Q130">
        <f t="shared" si="38"/>
        <v>270</v>
      </c>
      <c r="R130">
        <f t="shared" si="39"/>
        <v>248.4</v>
      </c>
      <c r="S130">
        <f t="shared" si="40"/>
        <v>21.599999999999998</v>
      </c>
      <c r="T130">
        <f>I130*E130/'[1]Inverter Analysis'!$L$2</f>
        <v>163.04450019807766</v>
      </c>
      <c r="U130">
        <f t="shared" si="41"/>
        <v>296.2962962962963</v>
      </c>
      <c r="V130">
        <f t="shared" si="42"/>
        <v>322.06119162640903</v>
      </c>
      <c r="W130">
        <f t="shared" si="43"/>
        <v>211.64021164021165</v>
      </c>
      <c r="X130">
        <f t="shared" si="44"/>
        <v>0.41489364460729022</v>
      </c>
      <c r="Y130">
        <f t="shared" si="45"/>
        <v>2.2776921562499997</v>
      </c>
      <c r="Z130">
        <f t="shared" si="46"/>
        <v>5.8085110245020637</v>
      </c>
    </row>
    <row r="131" spans="1:26">
      <c r="A131">
        <v>15</v>
      </c>
      <c r="B131">
        <v>3</v>
      </c>
      <c r="C131" s="9">
        <v>6</v>
      </c>
      <c r="D131">
        <f t="shared" si="25"/>
        <v>420</v>
      </c>
      <c r="E131">
        <f t="shared" si="26"/>
        <v>180</v>
      </c>
      <c r="F131">
        <f t="shared" si="27"/>
        <v>18.899999999999999</v>
      </c>
      <c r="G131">
        <f t="shared" si="28"/>
        <v>0.12</v>
      </c>
      <c r="H131">
        <f t="shared" si="29"/>
        <v>68.040000000000006</v>
      </c>
      <c r="I131">
        <f t="shared" si="30"/>
        <v>378</v>
      </c>
      <c r="J131">
        <f t="shared" si="31"/>
        <v>270</v>
      </c>
      <c r="K131">
        <f t="shared" si="32"/>
        <v>48.6</v>
      </c>
      <c r="L131">
        <f t="shared" si="33"/>
        <v>5.6393819999999995</v>
      </c>
      <c r="M131">
        <f t="shared" si="34"/>
        <v>5.4568080000000005</v>
      </c>
      <c r="N131">
        <f t="shared" si="35"/>
        <v>3.9807402352941175</v>
      </c>
      <c r="O131">
        <f t="shared" si="36"/>
        <v>4.2332613390928726</v>
      </c>
      <c r="P131">
        <f t="shared" si="37"/>
        <v>63</v>
      </c>
      <c r="Q131">
        <f t="shared" si="38"/>
        <v>270</v>
      </c>
      <c r="R131">
        <f t="shared" si="39"/>
        <v>248.4</v>
      </c>
      <c r="S131">
        <f t="shared" si="40"/>
        <v>21.599999999999998</v>
      </c>
      <c r="T131">
        <f>I131*E131/'[1]Inverter Analysis'!$L$2</f>
        <v>163.04450019807766</v>
      </c>
      <c r="U131">
        <f t="shared" si="41"/>
        <v>296.2962962962963</v>
      </c>
      <c r="V131">
        <f t="shared" si="42"/>
        <v>322.06119162640903</v>
      </c>
      <c r="W131">
        <f t="shared" si="43"/>
        <v>211.64021164021165</v>
      </c>
      <c r="X131">
        <f t="shared" si="44"/>
        <v>0.41489364460729022</v>
      </c>
      <c r="Y131">
        <f t="shared" si="45"/>
        <v>2.2776921562499997</v>
      </c>
      <c r="Z131">
        <f t="shared" si="46"/>
        <v>5.8085110245020637</v>
      </c>
    </row>
    <row r="132" spans="1:26">
      <c r="A132">
        <v>11</v>
      </c>
      <c r="B132">
        <v>3</v>
      </c>
      <c r="C132" s="9">
        <v>8</v>
      </c>
      <c r="D132">
        <f t="shared" si="25"/>
        <v>420</v>
      </c>
      <c r="E132">
        <f t="shared" si="26"/>
        <v>180</v>
      </c>
      <c r="F132">
        <f t="shared" si="27"/>
        <v>18.48</v>
      </c>
      <c r="G132">
        <f t="shared" si="28"/>
        <v>0.11733333333333333</v>
      </c>
      <c r="H132">
        <f t="shared" si="29"/>
        <v>66.528000000000006</v>
      </c>
      <c r="I132">
        <f t="shared" si="30"/>
        <v>369.6</v>
      </c>
      <c r="J132">
        <f t="shared" si="31"/>
        <v>264</v>
      </c>
      <c r="K132">
        <f t="shared" si="32"/>
        <v>47.52</v>
      </c>
      <c r="L132">
        <f t="shared" si="33"/>
        <v>5.5140623999999994</v>
      </c>
      <c r="M132">
        <f t="shared" si="34"/>
        <v>5.3355456000000014</v>
      </c>
      <c r="N132">
        <f t="shared" si="35"/>
        <v>3.8922793411764705</v>
      </c>
      <c r="O132">
        <f t="shared" si="36"/>
        <v>3.1749460043196542</v>
      </c>
      <c r="P132">
        <f t="shared" si="37"/>
        <v>46.2</v>
      </c>
      <c r="Q132">
        <f t="shared" si="38"/>
        <v>264</v>
      </c>
      <c r="R132">
        <f t="shared" si="39"/>
        <v>242.88</v>
      </c>
      <c r="S132">
        <f t="shared" si="40"/>
        <v>21.12</v>
      </c>
      <c r="T132">
        <f>I132*E132/'[1]Inverter Analysis'!$L$2</f>
        <v>159.42128908256481</v>
      </c>
      <c r="U132">
        <f t="shared" si="41"/>
        <v>303.030303030303</v>
      </c>
      <c r="V132">
        <f t="shared" si="42"/>
        <v>329.38076416337287</v>
      </c>
      <c r="W132">
        <f t="shared" si="43"/>
        <v>216.45021645021643</v>
      </c>
      <c r="X132">
        <f t="shared" si="44"/>
        <v>0.43396675120338984</v>
      </c>
      <c r="Y132">
        <f t="shared" si="45"/>
        <v>2.1291953759999998</v>
      </c>
      <c r="Z132">
        <f t="shared" si="46"/>
        <v>6.0755345168474584</v>
      </c>
    </row>
    <row r="133" spans="1:26">
      <c r="A133">
        <v>11</v>
      </c>
      <c r="B133">
        <v>4</v>
      </c>
      <c r="C133" s="9">
        <v>6</v>
      </c>
      <c r="D133">
        <f t="shared" si="25"/>
        <v>560</v>
      </c>
      <c r="E133">
        <f t="shared" si="26"/>
        <v>240</v>
      </c>
      <c r="F133">
        <f t="shared" si="27"/>
        <v>18.48</v>
      </c>
      <c r="G133">
        <f t="shared" si="28"/>
        <v>6.6000000000000003E-2</v>
      </c>
      <c r="H133">
        <f t="shared" si="29"/>
        <v>66.528000000000006</v>
      </c>
      <c r="I133">
        <f t="shared" si="30"/>
        <v>277.2</v>
      </c>
      <c r="J133">
        <f t="shared" si="31"/>
        <v>198</v>
      </c>
      <c r="K133">
        <f t="shared" si="32"/>
        <v>47.52</v>
      </c>
      <c r="L133">
        <f t="shared" si="33"/>
        <v>5.5140623999999994</v>
      </c>
      <c r="M133">
        <f t="shared" si="34"/>
        <v>5.3355456000000006</v>
      </c>
      <c r="N133">
        <f t="shared" si="35"/>
        <v>3.8922793411764705</v>
      </c>
      <c r="O133">
        <f t="shared" si="36"/>
        <v>5.6443484521238299</v>
      </c>
      <c r="P133">
        <f t="shared" si="37"/>
        <v>46.199999999999996</v>
      </c>
      <c r="Q133">
        <f t="shared" si="38"/>
        <v>264</v>
      </c>
      <c r="R133">
        <f t="shared" si="39"/>
        <v>182.16</v>
      </c>
      <c r="S133">
        <f t="shared" si="40"/>
        <v>15.84</v>
      </c>
      <c r="T133">
        <f>I133*E133/'[1]Inverter Analysis'!$L$2</f>
        <v>159.42128908256481</v>
      </c>
      <c r="U133">
        <f t="shared" si="41"/>
        <v>404.04040404040404</v>
      </c>
      <c r="V133">
        <f t="shared" si="42"/>
        <v>439.17435221783046</v>
      </c>
      <c r="W133">
        <f t="shared" si="43"/>
        <v>288.60028860028859</v>
      </c>
      <c r="X133">
        <f t="shared" si="44"/>
        <v>0.77149644658380401</v>
      </c>
      <c r="Y133">
        <f t="shared" si="45"/>
        <v>1.1976723990000002</v>
      </c>
      <c r="Z133">
        <f t="shared" si="46"/>
        <v>10.800950252173255</v>
      </c>
    </row>
    <row r="134" spans="1:26">
      <c r="A134">
        <v>13</v>
      </c>
      <c r="B134">
        <v>4</v>
      </c>
      <c r="C134" s="9">
        <v>5</v>
      </c>
      <c r="D134">
        <f t="shared" si="25"/>
        <v>560</v>
      </c>
      <c r="E134">
        <f t="shared" si="26"/>
        <v>240</v>
      </c>
      <c r="F134">
        <f t="shared" si="27"/>
        <v>18.2</v>
      </c>
      <c r="G134">
        <f t="shared" si="28"/>
        <v>6.5000000000000002E-2</v>
      </c>
      <c r="H134">
        <f t="shared" si="29"/>
        <v>65.52</v>
      </c>
      <c r="I134">
        <f t="shared" si="30"/>
        <v>273</v>
      </c>
      <c r="J134">
        <f t="shared" si="31"/>
        <v>195</v>
      </c>
      <c r="K134">
        <f t="shared" si="32"/>
        <v>46.8</v>
      </c>
      <c r="L134">
        <f t="shared" si="33"/>
        <v>5.4305159999999999</v>
      </c>
      <c r="M134">
        <f t="shared" si="34"/>
        <v>5.2547040000000003</v>
      </c>
      <c r="N134">
        <f t="shared" si="35"/>
        <v>3.8333054117647061</v>
      </c>
      <c r="O134">
        <f t="shared" si="36"/>
        <v>6.773218142548596</v>
      </c>
      <c r="P134">
        <f t="shared" si="37"/>
        <v>54.6</v>
      </c>
      <c r="Q134">
        <f t="shared" si="38"/>
        <v>260</v>
      </c>
      <c r="R134">
        <f t="shared" si="39"/>
        <v>179.4</v>
      </c>
      <c r="S134">
        <f t="shared" si="40"/>
        <v>15.600000000000001</v>
      </c>
      <c r="T134">
        <f>I134*E134/'[1]Inverter Analysis'!$L$2</f>
        <v>157.00581500555626</v>
      </c>
      <c r="U134">
        <f t="shared" si="41"/>
        <v>410.25641025641028</v>
      </c>
      <c r="V134">
        <f t="shared" si="42"/>
        <v>445.93088071348939</v>
      </c>
      <c r="W134">
        <f t="shared" si="43"/>
        <v>293.04029304029302</v>
      </c>
      <c r="X134">
        <f t="shared" si="44"/>
        <v>0.79541740149563311</v>
      </c>
      <c r="Y134">
        <f t="shared" si="45"/>
        <v>1.1440534218750003</v>
      </c>
      <c r="Z134">
        <f t="shared" si="46"/>
        <v>11.135843620938864</v>
      </c>
    </row>
    <row r="135" spans="1:26">
      <c r="A135" s="8">
        <v>16</v>
      </c>
      <c r="B135" s="9">
        <v>4</v>
      </c>
      <c r="C135" s="9">
        <v>4</v>
      </c>
      <c r="D135">
        <f t="shared" ref="D135:D198" si="47">B135*$J$3</f>
        <v>560</v>
      </c>
      <c r="E135">
        <f t="shared" ref="E135:E198" si="48">B135*$I$3</f>
        <v>240</v>
      </c>
      <c r="F135">
        <f t="shared" ref="F135:F198" si="49">A135*B135*C135*$Q$3/1000</f>
        <v>17.920000000000002</v>
      </c>
      <c r="G135">
        <f t="shared" ref="G135:G198" si="50">((B135*$R$3^(-1))^(-1))*A135*C135</f>
        <v>6.4000000000000001E-2</v>
      </c>
      <c r="H135">
        <f t="shared" ref="H135:H198" si="51">E135*I135/1000</f>
        <v>64.512</v>
      </c>
      <c r="I135">
        <f t="shared" ref="I135:I198" si="52">A135*C135*4.2</f>
        <v>268.8</v>
      </c>
      <c r="J135">
        <f t="shared" ref="J135:J198" si="53">C135*A135*$K$3</f>
        <v>192</v>
      </c>
      <c r="K135">
        <f t="shared" ref="K135:K198" si="54">E135*J135/1000</f>
        <v>46.08</v>
      </c>
      <c r="L135">
        <f t="shared" ref="L135:L198" si="55">$O$3/1000*I135*B135/1000</f>
        <v>5.3469696000000004</v>
      </c>
      <c r="M135">
        <f t="shared" ref="M135:M198" si="56">$P$3/1000*I135*B135/1000</f>
        <v>5.1738624000000009</v>
      </c>
      <c r="N135">
        <f t="shared" ref="N135:N198" si="57">L135*(($L$3-$K$3)/($L$3-$M$3))</f>
        <v>3.7743314823529417</v>
      </c>
      <c r="O135">
        <f t="shared" ref="O135:O198" si="58">$H$3/1000*B135*$I$7/277.8/C135</f>
        <v>8.4665226781857452</v>
      </c>
      <c r="P135">
        <f t="shared" ref="P135:P198" si="59">I135/C135</f>
        <v>67.2</v>
      </c>
      <c r="Q135">
        <f t="shared" ref="Q135:Q198" si="60">(A135*B135*C135)</f>
        <v>256</v>
      </c>
      <c r="R135">
        <f t="shared" ref="R135:R198" si="61">J135-(G135*E135)</f>
        <v>176.64</v>
      </c>
      <c r="S135">
        <f t="shared" ref="S135:S198" si="62">G135*E135</f>
        <v>15.36</v>
      </c>
      <c r="T135">
        <f>I135*E135/'[1]Inverter Analysis'!$L$2</f>
        <v>154.5903409285477</v>
      </c>
      <c r="U135">
        <f t="shared" ref="U135:U198" si="63">80000/J135</f>
        <v>416.66666666666669</v>
      </c>
      <c r="V135">
        <f t="shared" ref="V135:V198" si="64">80000/R135</f>
        <v>452.89855072463774</v>
      </c>
      <c r="W135">
        <f t="shared" si="43"/>
        <v>297.61904761904759</v>
      </c>
      <c r="X135">
        <f t="shared" si="44"/>
        <v>0.82046838899390917</v>
      </c>
      <c r="Y135">
        <f t="shared" si="45"/>
        <v>1.0920591359999996</v>
      </c>
      <c r="Z135">
        <f t="shared" si="46"/>
        <v>11.486557445914729</v>
      </c>
    </row>
    <row r="136" spans="1:26">
      <c r="A136">
        <v>12</v>
      </c>
      <c r="B136">
        <v>3</v>
      </c>
      <c r="C136" s="9">
        <v>7</v>
      </c>
      <c r="D136">
        <f t="shared" si="47"/>
        <v>420</v>
      </c>
      <c r="E136">
        <f t="shared" si="48"/>
        <v>180</v>
      </c>
      <c r="F136">
        <f t="shared" si="49"/>
        <v>17.64</v>
      </c>
      <c r="G136">
        <f t="shared" si="50"/>
        <v>0.112</v>
      </c>
      <c r="H136">
        <f t="shared" si="51"/>
        <v>63.503999999999998</v>
      </c>
      <c r="I136">
        <f t="shared" si="52"/>
        <v>352.8</v>
      </c>
      <c r="J136">
        <f t="shared" si="53"/>
        <v>252</v>
      </c>
      <c r="K136">
        <f t="shared" si="54"/>
        <v>45.36</v>
      </c>
      <c r="L136">
        <f t="shared" si="55"/>
        <v>5.2634232000000001</v>
      </c>
      <c r="M136">
        <f t="shared" si="56"/>
        <v>5.0930208000000006</v>
      </c>
      <c r="N136">
        <f t="shared" si="57"/>
        <v>3.7153575529411769</v>
      </c>
      <c r="O136">
        <f t="shared" si="58"/>
        <v>3.6285097192224618</v>
      </c>
      <c r="P136">
        <f t="shared" si="59"/>
        <v>50.4</v>
      </c>
      <c r="Q136">
        <f t="shared" si="60"/>
        <v>252</v>
      </c>
      <c r="R136">
        <f t="shared" si="61"/>
        <v>231.84</v>
      </c>
      <c r="S136">
        <f t="shared" si="62"/>
        <v>20.16</v>
      </c>
      <c r="T136">
        <f>I136*E136/'[1]Inverter Analysis'!$L$2</f>
        <v>152.17486685153915</v>
      </c>
      <c r="U136">
        <f t="shared" si="63"/>
        <v>317.46031746031747</v>
      </c>
      <c r="V136">
        <f t="shared" si="64"/>
        <v>345.06556245686681</v>
      </c>
      <c r="W136">
        <f t="shared" ref="W136:W199" si="65">80000/I136</f>
        <v>226.75736961451247</v>
      </c>
      <c r="X136">
        <f t="shared" si="44"/>
        <v>0.4762809695746954</v>
      </c>
      <c r="Y136">
        <f t="shared" si="45"/>
        <v>1.8518480820000001</v>
      </c>
      <c r="Z136">
        <f t="shared" si="46"/>
        <v>6.6679335740457359</v>
      </c>
    </row>
    <row r="137" spans="1:26">
      <c r="A137">
        <v>14</v>
      </c>
      <c r="B137">
        <v>3</v>
      </c>
      <c r="C137" s="9">
        <v>6</v>
      </c>
      <c r="D137">
        <f t="shared" si="47"/>
        <v>420</v>
      </c>
      <c r="E137">
        <f t="shared" si="48"/>
        <v>180</v>
      </c>
      <c r="F137">
        <f t="shared" si="49"/>
        <v>17.64</v>
      </c>
      <c r="G137">
        <f t="shared" si="50"/>
        <v>0.11199999999999999</v>
      </c>
      <c r="H137">
        <f t="shared" si="51"/>
        <v>63.503999999999998</v>
      </c>
      <c r="I137">
        <f t="shared" si="52"/>
        <v>352.8</v>
      </c>
      <c r="J137">
        <f t="shared" si="53"/>
        <v>252</v>
      </c>
      <c r="K137">
        <f t="shared" si="54"/>
        <v>45.36</v>
      </c>
      <c r="L137">
        <f t="shared" si="55"/>
        <v>5.2634232000000001</v>
      </c>
      <c r="M137">
        <f t="shared" si="56"/>
        <v>5.0930208000000006</v>
      </c>
      <c r="N137">
        <f t="shared" si="57"/>
        <v>3.7153575529411769</v>
      </c>
      <c r="O137">
        <f t="shared" si="58"/>
        <v>4.2332613390928726</v>
      </c>
      <c r="P137">
        <f t="shared" si="59"/>
        <v>58.800000000000004</v>
      </c>
      <c r="Q137">
        <f t="shared" si="60"/>
        <v>252</v>
      </c>
      <c r="R137">
        <f t="shared" si="61"/>
        <v>231.84</v>
      </c>
      <c r="S137">
        <f t="shared" si="62"/>
        <v>20.159999999999997</v>
      </c>
      <c r="T137">
        <f>I137*E137/'[1]Inverter Analysis'!$L$2</f>
        <v>152.17486685153915</v>
      </c>
      <c r="U137">
        <f t="shared" si="63"/>
        <v>317.46031746031747</v>
      </c>
      <c r="V137">
        <f t="shared" si="64"/>
        <v>345.06556245686681</v>
      </c>
      <c r="W137">
        <f t="shared" si="65"/>
        <v>226.75736961451247</v>
      </c>
      <c r="X137">
        <f t="shared" si="44"/>
        <v>0.4762809695746954</v>
      </c>
      <c r="Y137">
        <f t="shared" si="45"/>
        <v>1.8518480820000001</v>
      </c>
      <c r="Z137">
        <f t="shared" si="46"/>
        <v>6.6679335740457359</v>
      </c>
    </row>
    <row r="138" spans="1:26">
      <c r="A138">
        <v>10</v>
      </c>
      <c r="B138">
        <v>3</v>
      </c>
      <c r="C138" s="9">
        <v>8</v>
      </c>
      <c r="D138">
        <f t="shared" si="47"/>
        <v>420</v>
      </c>
      <c r="E138">
        <f t="shared" si="48"/>
        <v>180</v>
      </c>
      <c r="F138">
        <f t="shared" si="49"/>
        <v>16.8</v>
      </c>
      <c r="G138">
        <f t="shared" si="50"/>
        <v>0.10666666666666666</v>
      </c>
      <c r="H138">
        <f t="shared" si="51"/>
        <v>60.48</v>
      </c>
      <c r="I138">
        <f t="shared" si="52"/>
        <v>336</v>
      </c>
      <c r="J138">
        <f t="shared" si="53"/>
        <v>240</v>
      </c>
      <c r="K138">
        <f t="shared" si="54"/>
        <v>43.2</v>
      </c>
      <c r="L138">
        <f t="shared" si="55"/>
        <v>5.0127839999999999</v>
      </c>
      <c r="M138">
        <f t="shared" si="56"/>
        <v>4.8504959999999997</v>
      </c>
      <c r="N138">
        <f t="shared" si="57"/>
        <v>3.5384357647058824</v>
      </c>
      <c r="O138">
        <f t="shared" si="58"/>
        <v>3.1749460043196542</v>
      </c>
      <c r="P138">
        <f t="shared" si="59"/>
        <v>42</v>
      </c>
      <c r="Q138">
        <f t="shared" si="60"/>
        <v>240</v>
      </c>
      <c r="R138">
        <f t="shared" si="61"/>
        <v>220.8</v>
      </c>
      <c r="S138">
        <f t="shared" si="62"/>
        <v>19.2</v>
      </c>
      <c r="T138">
        <f>I138*E138/'[1]Inverter Analysis'!$L$2</f>
        <v>144.92844462051346</v>
      </c>
      <c r="U138">
        <f t="shared" si="63"/>
        <v>333.33333333333331</v>
      </c>
      <c r="V138">
        <f t="shared" si="64"/>
        <v>362.31884057971013</v>
      </c>
      <c r="W138">
        <f t="shared" si="65"/>
        <v>238.0952380952381</v>
      </c>
      <c r="X138">
        <f t="shared" si="44"/>
        <v>0.52509976895610155</v>
      </c>
      <c r="Y138">
        <f t="shared" si="45"/>
        <v>1.5996960000000002</v>
      </c>
      <c r="Z138">
        <f t="shared" si="46"/>
        <v>7.3513967653854229</v>
      </c>
    </row>
    <row r="139" spans="1:26">
      <c r="A139">
        <v>10</v>
      </c>
      <c r="B139">
        <v>4</v>
      </c>
      <c r="C139" s="9">
        <v>6</v>
      </c>
      <c r="D139">
        <f t="shared" si="47"/>
        <v>560</v>
      </c>
      <c r="E139">
        <f t="shared" si="48"/>
        <v>240</v>
      </c>
      <c r="F139">
        <f t="shared" si="49"/>
        <v>16.8</v>
      </c>
      <c r="G139">
        <f t="shared" si="50"/>
        <v>0.06</v>
      </c>
      <c r="H139">
        <f t="shared" si="51"/>
        <v>60.48</v>
      </c>
      <c r="I139">
        <f t="shared" si="52"/>
        <v>252</v>
      </c>
      <c r="J139">
        <f t="shared" si="53"/>
        <v>180</v>
      </c>
      <c r="K139">
        <f t="shared" si="54"/>
        <v>43.2</v>
      </c>
      <c r="L139">
        <f t="shared" si="55"/>
        <v>5.0127839999999999</v>
      </c>
      <c r="M139">
        <f t="shared" si="56"/>
        <v>4.8504959999999997</v>
      </c>
      <c r="N139">
        <f t="shared" si="57"/>
        <v>3.5384357647058824</v>
      </c>
      <c r="O139">
        <f t="shared" si="58"/>
        <v>5.6443484521238299</v>
      </c>
      <c r="P139">
        <f t="shared" si="59"/>
        <v>42</v>
      </c>
      <c r="Q139">
        <f t="shared" si="60"/>
        <v>240</v>
      </c>
      <c r="R139">
        <f t="shared" si="61"/>
        <v>165.6</v>
      </c>
      <c r="S139">
        <f t="shared" si="62"/>
        <v>14.399999999999999</v>
      </c>
      <c r="T139">
        <f>I139*E139/'[1]Inverter Analysis'!$L$2</f>
        <v>144.92844462051346</v>
      </c>
      <c r="U139">
        <f t="shared" si="63"/>
        <v>444.44444444444446</v>
      </c>
      <c r="V139">
        <f t="shared" si="64"/>
        <v>483.09178743961354</v>
      </c>
      <c r="W139">
        <f t="shared" si="65"/>
        <v>317.46031746031747</v>
      </c>
      <c r="X139">
        <f t="shared" si="44"/>
        <v>0.93351070036640293</v>
      </c>
      <c r="Y139">
        <f t="shared" si="45"/>
        <v>0.89982899999999999</v>
      </c>
      <c r="Z139">
        <f t="shared" si="46"/>
        <v>13.069149805129642</v>
      </c>
    </row>
    <row r="140" spans="1:26">
      <c r="A140">
        <v>12</v>
      </c>
      <c r="B140">
        <v>4</v>
      </c>
      <c r="C140" s="9">
        <v>5</v>
      </c>
      <c r="D140">
        <f t="shared" si="47"/>
        <v>560</v>
      </c>
      <c r="E140">
        <f t="shared" si="48"/>
        <v>240</v>
      </c>
      <c r="F140">
        <f t="shared" si="49"/>
        <v>16.8</v>
      </c>
      <c r="G140">
        <f t="shared" si="50"/>
        <v>0.06</v>
      </c>
      <c r="H140">
        <f t="shared" si="51"/>
        <v>60.48</v>
      </c>
      <c r="I140">
        <f t="shared" si="52"/>
        <v>252</v>
      </c>
      <c r="J140">
        <f t="shared" si="53"/>
        <v>180</v>
      </c>
      <c r="K140">
        <f t="shared" si="54"/>
        <v>43.2</v>
      </c>
      <c r="L140">
        <f t="shared" si="55"/>
        <v>5.0127839999999999</v>
      </c>
      <c r="M140">
        <f t="shared" si="56"/>
        <v>4.8504959999999997</v>
      </c>
      <c r="N140">
        <f t="shared" si="57"/>
        <v>3.5384357647058824</v>
      </c>
      <c r="O140">
        <f t="shared" si="58"/>
        <v>6.773218142548596</v>
      </c>
      <c r="P140">
        <f t="shared" si="59"/>
        <v>50.4</v>
      </c>
      <c r="Q140">
        <f t="shared" si="60"/>
        <v>240</v>
      </c>
      <c r="R140">
        <f t="shared" si="61"/>
        <v>165.6</v>
      </c>
      <c r="S140">
        <f t="shared" si="62"/>
        <v>14.399999999999999</v>
      </c>
      <c r="T140">
        <f>I140*E140/'[1]Inverter Analysis'!$L$2</f>
        <v>144.92844462051346</v>
      </c>
      <c r="U140">
        <f t="shared" si="63"/>
        <v>444.44444444444446</v>
      </c>
      <c r="V140">
        <f t="shared" si="64"/>
        <v>483.09178743961354</v>
      </c>
      <c r="W140">
        <f t="shared" si="65"/>
        <v>317.46031746031747</v>
      </c>
      <c r="X140">
        <f t="shared" ref="X140:X203" si="66">(MAX(U140:W140)^2)*$R$3/1000</f>
        <v>0.93351070036640293</v>
      </c>
      <c r="Y140">
        <f t="shared" ref="Y140:Y203" si="67">($S$3*F140/(X140*1000))*10</f>
        <v>0.89982899999999999</v>
      </c>
      <c r="Z140">
        <f t="shared" ref="Z140:Z203" si="68">($Q$3*F140/(Y140*1000))*10</f>
        <v>13.069149805129642</v>
      </c>
    </row>
    <row r="141" spans="1:26">
      <c r="A141">
        <v>16</v>
      </c>
      <c r="B141">
        <v>3</v>
      </c>
      <c r="C141" s="9">
        <v>5</v>
      </c>
      <c r="D141">
        <f t="shared" si="47"/>
        <v>420</v>
      </c>
      <c r="E141">
        <f t="shared" si="48"/>
        <v>180</v>
      </c>
      <c r="F141">
        <f t="shared" si="49"/>
        <v>16.8</v>
      </c>
      <c r="G141">
        <f t="shared" si="50"/>
        <v>0.10666666666666666</v>
      </c>
      <c r="H141">
        <f t="shared" si="51"/>
        <v>60.48</v>
      </c>
      <c r="I141">
        <f t="shared" si="52"/>
        <v>336</v>
      </c>
      <c r="J141">
        <f t="shared" si="53"/>
        <v>240</v>
      </c>
      <c r="K141">
        <f t="shared" si="54"/>
        <v>43.2</v>
      </c>
      <c r="L141">
        <f t="shared" si="55"/>
        <v>5.0127839999999999</v>
      </c>
      <c r="M141">
        <f t="shared" si="56"/>
        <v>4.8504959999999997</v>
      </c>
      <c r="N141">
        <f t="shared" si="57"/>
        <v>3.5384357647058824</v>
      </c>
      <c r="O141">
        <f t="shared" si="58"/>
        <v>5.0799136069114468</v>
      </c>
      <c r="P141">
        <f t="shared" si="59"/>
        <v>67.2</v>
      </c>
      <c r="Q141">
        <f t="shared" si="60"/>
        <v>240</v>
      </c>
      <c r="R141">
        <f t="shared" si="61"/>
        <v>220.8</v>
      </c>
      <c r="S141">
        <f t="shared" si="62"/>
        <v>19.2</v>
      </c>
      <c r="T141">
        <f>I141*E141/'[1]Inverter Analysis'!$L$2</f>
        <v>144.92844462051346</v>
      </c>
      <c r="U141">
        <f t="shared" si="63"/>
        <v>333.33333333333331</v>
      </c>
      <c r="V141">
        <f t="shared" si="64"/>
        <v>362.31884057971013</v>
      </c>
      <c r="W141">
        <f t="shared" si="65"/>
        <v>238.0952380952381</v>
      </c>
      <c r="X141">
        <f t="shared" si="66"/>
        <v>0.52509976895610155</v>
      </c>
      <c r="Y141">
        <f t="shared" si="67"/>
        <v>1.5996960000000002</v>
      </c>
      <c r="Z141">
        <f t="shared" si="68"/>
        <v>7.3513967653854229</v>
      </c>
    </row>
    <row r="142" spans="1:26">
      <c r="A142" s="8">
        <v>15</v>
      </c>
      <c r="B142" s="9">
        <v>4</v>
      </c>
      <c r="C142" s="9">
        <v>4</v>
      </c>
      <c r="D142">
        <f t="shared" si="47"/>
        <v>560</v>
      </c>
      <c r="E142">
        <f t="shared" si="48"/>
        <v>240</v>
      </c>
      <c r="F142">
        <f t="shared" si="49"/>
        <v>16.8</v>
      </c>
      <c r="G142">
        <f t="shared" si="50"/>
        <v>0.06</v>
      </c>
      <c r="H142">
        <f t="shared" si="51"/>
        <v>60.48</v>
      </c>
      <c r="I142">
        <f t="shared" si="52"/>
        <v>252</v>
      </c>
      <c r="J142">
        <f t="shared" si="53"/>
        <v>180</v>
      </c>
      <c r="K142">
        <f t="shared" si="54"/>
        <v>43.2</v>
      </c>
      <c r="L142">
        <f t="shared" si="55"/>
        <v>5.0127839999999999</v>
      </c>
      <c r="M142">
        <f t="shared" si="56"/>
        <v>4.8504959999999997</v>
      </c>
      <c r="N142">
        <f t="shared" si="57"/>
        <v>3.5384357647058824</v>
      </c>
      <c r="O142">
        <f t="shared" si="58"/>
        <v>8.4665226781857452</v>
      </c>
      <c r="P142">
        <f t="shared" si="59"/>
        <v>63</v>
      </c>
      <c r="Q142">
        <f t="shared" si="60"/>
        <v>240</v>
      </c>
      <c r="R142">
        <f t="shared" si="61"/>
        <v>165.6</v>
      </c>
      <c r="S142">
        <f t="shared" si="62"/>
        <v>14.399999999999999</v>
      </c>
      <c r="T142">
        <f>I142*E142/'[1]Inverter Analysis'!$L$2</f>
        <v>144.92844462051346</v>
      </c>
      <c r="U142">
        <f t="shared" si="63"/>
        <v>444.44444444444446</v>
      </c>
      <c r="V142">
        <f t="shared" si="64"/>
        <v>483.09178743961354</v>
      </c>
      <c r="W142">
        <f t="shared" si="65"/>
        <v>317.46031746031747</v>
      </c>
      <c r="X142">
        <f t="shared" si="66"/>
        <v>0.93351070036640293</v>
      </c>
      <c r="Y142">
        <f t="shared" si="67"/>
        <v>0.89982899999999999</v>
      </c>
      <c r="Z142">
        <f t="shared" si="68"/>
        <v>13.069149805129642</v>
      </c>
    </row>
    <row r="143" spans="1:26">
      <c r="A143">
        <v>13</v>
      </c>
      <c r="B143">
        <v>3</v>
      </c>
      <c r="C143" s="9">
        <v>6</v>
      </c>
      <c r="D143">
        <f t="shared" si="47"/>
        <v>420</v>
      </c>
      <c r="E143">
        <f t="shared" si="48"/>
        <v>180</v>
      </c>
      <c r="F143">
        <f t="shared" si="49"/>
        <v>16.38</v>
      </c>
      <c r="G143">
        <f t="shared" si="50"/>
        <v>0.104</v>
      </c>
      <c r="H143">
        <f t="shared" si="51"/>
        <v>58.968000000000011</v>
      </c>
      <c r="I143">
        <f t="shared" si="52"/>
        <v>327.60000000000002</v>
      </c>
      <c r="J143">
        <f t="shared" si="53"/>
        <v>234</v>
      </c>
      <c r="K143">
        <f t="shared" si="54"/>
        <v>42.12</v>
      </c>
      <c r="L143">
        <f t="shared" si="55"/>
        <v>4.8874643999999998</v>
      </c>
      <c r="M143">
        <f t="shared" si="56"/>
        <v>4.7292336000000006</v>
      </c>
      <c r="N143">
        <f t="shared" si="57"/>
        <v>3.4499748705882354</v>
      </c>
      <c r="O143">
        <f t="shared" si="58"/>
        <v>4.2332613390928726</v>
      </c>
      <c r="P143">
        <f t="shared" si="59"/>
        <v>54.6</v>
      </c>
      <c r="Q143">
        <f t="shared" si="60"/>
        <v>234</v>
      </c>
      <c r="R143">
        <f t="shared" si="61"/>
        <v>215.28</v>
      </c>
      <c r="S143">
        <f t="shared" si="62"/>
        <v>18.72</v>
      </c>
      <c r="T143">
        <f>I143*E143/'[1]Inverter Analysis'!$L$2</f>
        <v>141.30523350500064</v>
      </c>
      <c r="U143">
        <f t="shared" si="63"/>
        <v>341.88034188034186</v>
      </c>
      <c r="V143">
        <f t="shared" si="64"/>
        <v>371.60906726124119</v>
      </c>
      <c r="W143">
        <f t="shared" si="65"/>
        <v>244.20024420024419</v>
      </c>
      <c r="X143">
        <f t="shared" si="66"/>
        <v>0.55237319548307873</v>
      </c>
      <c r="Y143">
        <f t="shared" si="67"/>
        <v>1.4826932347499999</v>
      </c>
      <c r="Z143">
        <f t="shared" si="68"/>
        <v>7.7332247367631011</v>
      </c>
    </row>
    <row r="144" spans="1:26">
      <c r="A144">
        <v>11</v>
      </c>
      <c r="B144">
        <v>3</v>
      </c>
      <c r="C144" s="9">
        <v>7</v>
      </c>
      <c r="D144">
        <f t="shared" si="47"/>
        <v>420</v>
      </c>
      <c r="E144">
        <f t="shared" si="48"/>
        <v>180</v>
      </c>
      <c r="F144">
        <f t="shared" si="49"/>
        <v>16.170000000000002</v>
      </c>
      <c r="G144">
        <f t="shared" si="50"/>
        <v>0.10266666666666667</v>
      </c>
      <c r="H144">
        <f t="shared" si="51"/>
        <v>58.21200000000001</v>
      </c>
      <c r="I144">
        <f t="shared" si="52"/>
        <v>323.40000000000003</v>
      </c>
      <c r="J144">
        <f t="shared" si="53"/>
        <v>231</v>
      </c>
      <c r="K144">
        <f t="shared" si="54"/>
        <v>41.58</v>
      </c>
      <c r="L144">
        <f t="shared" si="55"/>
        <v>4.8248046000000002</v>
      </c>
      <c r="M144">
        <f t="shared" si="56"/>
        <v>4.668602400000001</v>
      </c>
      <c r="N144">
        <f t="shared" si="57"/>
        <v>3.4057444235294123</v>
      </c>
      <c r="O144">
        <f t="shared" si="58"/>
        <v>3.6285097192224618</v>
      </c>
      <c r="P144">
        <f t="shared" si="59"/>
        <v>46.2</v>
      </c>
      <c r="Q144">
        <f t="shared" si="60"/>
        <v>231</v>
      </c>
      <c r="R144">
        <f t="shared" si="61"/>
        <v>212.52</v>
      </c>
      <c r="S144">
        <f t="shared" si="62"/>
        <v>18.48</v>
      </c>
      <c r="T144">
        <f>I144*E144/'[1]Inverter Analysis'!$L$2</f>
        <v>139.49362794724422</v>
      </c>
      <c r="U144">
        <f t="shared" si="63"/>
        <v>346.32034632034635</v>
      </c>
      <c r="V144">
        <f t="shared" si="64"/>
        <v>376.4351590438547</v>
      </c>
      <c r="W144">
        <f t="shared" si="65"/>
        <v>247.37167594310449</v>
      </c>
      <c r="X144">
        <f t="shared" si="66"/>
        <v>0.56681371585748863</v>
      </c>
      <c r="Y144">
        <f t="shared" si="67"/>
        <v>1.4263945585312503</v>
      </c>
      <c r="Z144">
        <f t="shared" si="68"/>
        <v>7.93539202200484</v>
      </c>
    </row>
    <row r="145" spans="1:26">
      <c r="A145">
        <v>15</v>
      </c>
      <c r="B145">
        <v>3</v>
      </c>
      <c r="C145" s="9">
        <v>5</v>
      </c>
      <c r="D145">
        <f t="shared" si="47"/>
        <v>420</v>
      </c>
      <c r="E145">
        <f t="shared" si="48"/>
        <v>180</v>
      </c>
      <c r="F145">
        <f t="shared" si="49"/>
        <v>15.75</v>
      </c>
      <c r="G145">
        <f t="shared" si="50"/>
        <v>0.1</v>
      </c>
      <c r="H145">
        <f t="shared" si="51"/>
        <v>56.7</v>
      </c>
      <c r="I145">
        <f t="shared" si="52"/>
        <v>315</v>
      </c>
      <c r="J145">
        <f t="shared" si="53"/>
        <v>225</v>
      </c>
      <c r="K145">
        <f t="shared" si="54"/>
        <v>40.5</v>
      </c>
      <c r="L145">
        <f t="shared" si="55"/>
        <v>4.6994849999999992</v>
      </c>
      <c r="M145">
        <f t="shared" si="56"/>
        <v>4.5473400000000002</v>
      </c>
      <c r="N145">
        <f t="shared" si="57"/>
        <v>3.3172835294117644</v>
      </c>
      <c r="O145">
        <f t="shared" si="58"/>
        <v>5.0799136069114468</v>
      </c>
      <c r="P145">
        <f t="shared" si="59"/>
        <v>63</v>
      </c>
      <c r="Q145">
        <f t="shared" si="60"/>
        <v>225</v>
      </c>
      <c r="R145">
        <f t="shared" si="61"/>
        <v>207</v>
      </c>
      <c r="S145">
        <f t="shared" si="62"/>
        <v>18</v>
      </c>
      <c r="T145">
        <f>I145*E145/'[1]Inverter Analysis'!$L$2</f>
        <v>135.87041683173138</v>
      </c>
      <c r="U145">
        <f t="shared" si="63"/>
        <v>355.55555555555554</v>
      </c>
      <c r="V145">
        <f t="shared" si="64"/>
        <v>386.47342995169083</v>
      </c>
      <c r="W145">
        <f t="shared" si="65"/>
        <v>253.96825396825398</v>
      </c>
      <c r="X145">
        <f t="shared" si="66"/>
        <v>0.5974468482344979</v>
      </c>
      <c r="Y145">
        <f t="shared" si="67"/>
        <v>1.3181088867187498</v>
      </c>
      <c r="Z145">
        <f t="shared" si="68"/>
        <v>8.3642558752829714</v>
      </c>
    </row>
    <row r="146" spans="1:26">
      <c r="A146">
        <v>14</v>
      </c>
      <c r="B146">
        <v>4</v>
      </c>
      <c r="C146" s="9">
        <v>4</v>
      </c>
      <c r="D146">
        <f t="shared" si="47"/>
        <v>560</v>
      </c>
      <c r="E146">
        <f t="shared" si="48"/>
        <v>240</v>
      </c>
      <c r="F146">
        <f t="shared" si="49"/>
        <v>15.68</v>
      </c>
      <c r="G146">
        <f t="shared" si="50"/>
        <v>5.6000000000000001E-2</v>
      </c>
      <c r="H146">
        <f t="shared" si="51"/>
        <v>56.448000000000008</v>
      </c>
      <c r="I146">
        <f t="shared" si="52"/>
        <v>235.20000000000002</v>
      </c>
      <c r="J146">
        <f t="shared" si="53"/>
        <v>168</v>
      </c>
      <c r="K146">
        <f t="shared" si="54"/>
        <v>40.32</v>
      </c>
      <c r="L146">
        <f t="shared" si="55"/>
        <v>4.6785984000000003</v>
      </c>
      <c r="M146">
        <f t="shared" si="56"/>
        <v>4.5271296000000003</v>
      </c>
      <c r="N146">
        <f t="shared" si="57"/>
        <v>3.302540047058824</v>
      </c>
      <c r="O146">
        <f t="shared" si="58"/>
        <v>8.4665226781857452</v>
      </c>
      <c r="P146">
        <f t="shared" si="59"/>
        <v>58.800000000000004</v>
      </c>
      <c r="Q146">
        <f t="shared" si="60"/>
        <v>224</v>
      </c>
      <c r="R146">
        <f t="shared" si="61"/>
        <v>154.56</v>
      </c>
      <c r="S146">
        <f t="shared" si="62"/>
        <v>13.44</v>
      </c>
      <c r="T146">
        <f>I146*E146/'[1]Inverter Analysis'!$L$2</f>
        <v>135.26654831247924</v>
      </c>
      <c r="U146">
        <f t="shared" si="63"/>
        <v>476.1904761904762</v>
      </c>
      <c r="V146">
        <f t="shared" si="64"/>
        <v>517.59834368530016</v>
      </c>
      <c r="W146">
        <f t="shared" si="65"/>
        <v>340.13605442176868</v>
      </c>
      <c r="X146">
        <f t="shared" si="66"/>
        <v>1.0716321815430645</v>
      </c>
      <c r="Y146">
        <f t="shared" si="67"/>
        <v>0.73159430400000014</v>
      </c>
      <c r="Z146">
        <f t="shared" si="68"/>
        <v>15.0028505416029</v>
      </c>
    </row>
    <row r="147" spans="1:26">
      <c r="A147">
        <v>11</v>
      </c>
      <c r="B147">
        <v>4</v>
      </c>
      <c r="C147" s="9">
        <v>5</v>
      </c>
      <c r="D147">
        <f t="shared" si="47"/>
        <v>560</v>
      </c>
      <c r="E147">
        <f t="shared" si="48"/>
        <v>240</v>
      </c>
      <c r="F147">
        <f t="shared" si="49"/>
        <v>15.4</v>
      </c>
      <c r="G147">
        <f t="shared" si="50"/>
        <v>5.4999999999999993E-2</v>
      </c>
      <c r="H147">
        <f t="shared" si="51"/>
        <v>55.44</v>
      </c>
      <c r="I147">
        <f t="shared" si="52"/>
        <v>231</v>
      </c>
      <c r="J147">
        <f t="shared" si="53"/>
        <v>165</v>
      </c>
      <c r="K147">
        <f t="shared" si="54"/>
        <v>39.6</v>
      </c>
      <c r="L147">
        <f t="shared" si="55"/>
        <v>4.5950519999999999</v>
      </c>
      <c r="M147">
        <f t="shared" si="56"/>
        <v>4.4462880000000009</v>
      </c>
      <c r="N147">
        <f t="shared" si="57"/>
        <v>3.2435661176470592</v>
      </c>
      <c r="O147">
        <f t="shared" si="58"/>
        <v>6.773218142548596</v>
      </c>
      <c r="P147">
        <f t="shared" si="59"/>
        <v>46.2</v>
      </c>
      <c r="Q147">
        <f t="shared" si="60"/>
        <v>220</v>
      </c>
      <c r="R147">
        <f t="shared" si="61"/>
        <v>151.80000000000001</v>
      </c>
      <c r="S147">
        <f t="shared" si="62"/>
        <v>13.2</v>
      </c>
      <c r="T147">
        <f>I147*E147/'[1]Inverter Analysis'!$L$2</f>
        <v>132.85107423547069</v>
      </c>
      <c r="U147">
        <f t="shared" si="63"/>
        <v>484.84848484848487</v>
      </c>
      <c r="V147">
        <f t="shared" si="64"/>
        <v>527.00922266139651</v>
      </c>
      <c r="W147">
        <f t="shared" si="65"/>
        <v>346.32034632034635</v>
      </c>
      <c r="X147">
        <f t="shared" si="66"/>
        <v>1.1109548830806775</v>
      </c>
      <c r="Y147">
        <f t="shared" si="67"/>
        <v>0.69309745312500015</v>
      </c>
      <c r="Z147">
        <f t="shared" si="68"/>
        <v>15.553368363129486</v>
      </c>
    </row>
    <row r="148" spans="1:26">
      <c r="A148">
        <v>12</v>
      </c>
      <c r="B148">
        <v>3</v>
      </c>
      <c r="C148" s="9">
        <v>6</v>
      </c>
      <c r="D148">
        <f t="shared" si="47"/>
        <v>420</v>
      </c>
      <c r="E148">
        <f t="shared" si="48"/>
        <v>180</v>
      </c>
      <c r="F148">
        <f t="shared" si="49"/>
        <v>15.12</v>
      </c>
      <c r="G148">
        <f t="shared" si="50"/>
        <v>9.6000000000000002E-2</v>
      </c>
      <c r="H148">
        <f t="shared" si="51"/>
        <v>54.432000000000009</v>
      </c>
      <c r="I148">
        <f t="shared" si="52"/>
        <v>302.40000000000003</v>
      </c>
      <c r="J148">
        <f t="shared" si="53"/>
        <v>216</v>
      </c>
      <c r="K148">
        <f t="shared" si="54"/>
        <v>38.880000000000003</v>
      </c>
      <c r="L148">
        <f t="shared" si="55"/>
        <v>4.5115056000000004</v>
      </c>
      <c r="M148">
        <f t="shared" si="56"/>
        <v>4.3654464000000006</v>
      </c>
      <c r="N148">
        <f t="shared" si="57"/>
        <v>3.1845921882352948</v>
      </c>
      <c r="O148">
        <f t="shared" si="58"/>
        <v>4.2332613390928726</v>
      </c>
      <c r="P148">
        <f t="shared" si="59"/>
        <v>50.400000000000006</v>
      </c>
      <c r="Q148">
        <f t="shared" si="60"/>
        <v>216</v>
      </c>
      <c r="R148">
        <f t="shared" si="61"/>
        <v>198.72</v>
      </c>
      <c r="S148">
        <f t="shared" si="62"/>
        <v>17.28</v>
      </c>
      <c r="T148">
        <f>I148*E148/'[1]Inverter Analysis'!$L$2</f>
        <v>130.43560015846214</v>
      </c>
      <c r="U148">
        <f t="shared" si="63"/>
        <v>370.37037037037038</v>
      </c>
      <c r="V148">
        <f t="shared" si="64"/>
        <v>402.57648953301128</v>
      </c>
      <c r="W148">
        <f t="shared" si="65"/>
        <v>264.5502645502645</v>
      </c>
      <c r="X148">
        <f t="shared" si="66"/>
        <v>0.64827131969889107</v>
      </c>
      <c r="Y148">
        <f t="shared" si="67"/>
        <v>1.1661783839999997</v>
      </c>
      <c r="Z148">
        <f t="shared" si="68"/>
        <v>9.0757984757844739</v>
      </c>
    </row>
    <row r="149" spans="1:26">
      <c r="A149">
        <v>10</v>
      </c>
      <c r="B149">
        <v>3</v>
      </c>
      <c r="C149" s="9">
        <v>7</v>
      </c>
      <c r="D149">
        <f t="shared" si="47"/>
        <v>420</v>
      </c>
      <c r="E149">
        <f t="shared" si="48"/>
        <v>180</v>
      </c>
      <c r="F149">
        <f t="shared" si="49"/>
        <v>14.7</v>
      </c>
      <c r="G149">
        <f t="shared" si="50"/>
        <v>9.3333333333333324E-2</v>
      </c>
      <c r="H149">
        <f t="shared" si="51"/>
        <v>52.92</v>
      </c>
      <c r="I149">
        <f t="shared" si="52"/>
        <v>294</v>
      </c>
      <c r="J149">
        <f t="shared" si="53"/>
        <v>210</v>
      </c>
      <c r="K149">
        <f t="shared" si="54"/>
        <v>37.799999999999997</v>
      </c>
      <c r="L149">
        <f t="shared" si="55"/>
        <v>4.3861859999999995</v>
      </c>
      <c r="M149">
        <f t="shared" si="56"/>
        <v>4.2441840000000006</v>
      </c>
      <c r="N149">
        <f t="shared" si="57"/>
        <v>3.0961312941176469</v>
      </c>
      <c r="O149">
        <f t="shared" si="58"/>
        <v>3.6285097192224618</v>
      </c>
      <c r="P149">
        <f t="shared" si="59"/>
        <v>42</v>
      </c>
      <c r="Q149">
        <f t="shared" si="60"/>
        <v>210</v>
      </c>
      <c r="R149">
        <f t="shared" si="61"/>
        <v>193.2</v>
      </c>
      <c r="S149">
        <f t="shared" si="62"/>
        <v>16.799999999999997</v>
      </c>
      <c r="T149">
        <f>I149*E149/'[1]Inverter Analysis'!$L$2</f>
        <v>126.81238904294929</v>
      </c>
      <c r="U149">
        <f t="shared" si="63"/>
        <v>380.95238095238096</v>
      </c>
      <c r="V149">
        <f t="shared" si="64"/>
        <v>414.07867494824018</v>
      </c>
      <c r="W149">
        <f t="shared" si="65"/>
        <v>272.10884353741494</v>
      </c>
      <c r="X149">
        <f t="shared" si="66"/>
        <v>0.68584459618756133</v>
      </c>
      <c r="Y149">
        <f t="shared" si="67"/>
        <v>1.0716713437500001</v>
      </c>
      <c r="Z149">
        <f t="shared" si="68"/>
        <v>9.6018243466258593</v>
      </c>
    </row>
    <row r="150" spans="1:26">
      <c r="A150">
        <v>14</v>
      </c>
      <c r="B150">
        <v>3</v>
      </c>
      <c r="C150" s="9">
        <v>5</v>
      </c>
      <c r="D150">
        <f t="shared" si="47"/>
        <v>420</v>
      </c>
      <c r="E150">
        <f t="shared" si="48"/>
        <v>180</v>
      </c>
      <c r="F150">
        <f t="shared" si="49"/>
        <v>14.7</v>
      </c>
      <c r="G150">
        <f t="shared" si="50"/>
        <v>9.3333333333333324E-2</v>
      </c>
      <c r="H150">
        <f t="shared" si="51"/>
        <v>52.92</v>
      </c>
      <c r="I150">
        <f t="shared" si="52"/>
        <v>294</v>
      </c>
      <c r="J150">
        <f t="shared" si="53"/>
        <v>210</v>
      </c>
      <c r="K150">
        <f t="shared" si="54"/>
        <v>37.799999999999997</v>
      </c>
      <c r="L150">
        <f t="shared" si="55"/>
        <v>4.3861859999999995</v>
      </c>
      <c r="M150">
        <f t="shared" si="56"/>
        <v>4.2441840000000006</v>
      </c>
      <c r="N150">
        <f t="shared" si="57"/>
        <v>3.0961312941176469</v>
      </c>
      <c r="O150">
        <f t="shared" si="58"/>
        <v>5.0799136069114468</v>
      </c>
      <c r="P150">
        <f t="shared" si="59"/>
        <v>58.8</v>
      </c>
      <c r="Q150">
        <f t="shared" si="60"/>
        <v>210</v>
      </c>
      <c r="R150">
        <f t="shared" si="61"/>
        <v>193.2</v>
      </c>
      <c r="S150">
        <f t="shared" si="62"/>
        <v>16.799999999999997</v>
      </c>
      <c r="T150">
        <f>I150*E150/'[1]Inverter Analysis'!$L$2</f>
        <v>126.81238904294929</v>
      </c>
      <c r="U150">
        <f t="shared" si="63"/>
        <v>380.95238095238096</v>
      </c>
      <c r="V150">
        <f t="shared" si="64"/>
        <v>414.07867494824018</v>
      </c>
      <c r="W150">
        <f t="shared" si="65"/>
        <v>272.10884353741494</v>
      </c>
      <c r="X150">
        <f t="shared" si="66"/>
        <v>0.68584459618756133</v>
      </c>
      <c r="Y150">
        <f t="shared" si="67"/>
        <v>1.0716713437500001</v>
      </c>
      <c r="Z150">
        <f t="shared" si="68"/>
        <v>9.6018243466258593</v>
      </c>
    </row>
    <row r="151" spans="1:26">
      <c r="A151">
        <v>13</v>
      </c>
      <c r="B151">
        <v>4</v>
      </c>
      <c r="C151" s="9">
        <v>4</v>
      </c>
      <c r="D151">
        <f t="shared" si="47"/>
        <v>560</v>
      </c>
      <c r="E151">
        <f t="shared" si="48"/>
        <v>240</v>
      </c>
      <c r="F151">
        <f t="shared" si="49"/>
        <v>14.56</v>
      </c>
      <c r="G151">
        <f t="shared" si="50"/>
        <v>5.2000000000000005E-2</v>
      </c>
      <c r="H151">
        <f t="shared" si="51"/>
        <v>52.415999999999997</v>
      </c>
      <c r="I151">
        <f t="shared" si="52"/>
        <v>218.4</v>
      </c>
      <c r="J151">
        <f t="shared" si="53"/>
        <v>156</v>
      </c>
      <c r="K151">
        <f t="shared" si="54"/>
        <v>37.44</v>
      </c>
      <c r="L151">
        <f t="shared" si="55"/>
        <v>4.3444127999999997</v>
      </c>
      <c r="M151">
        <f t="shared" si="56"/>
        <v>4.2037632</v>
      </c>
      <c r="N151">
        <f t="shared" si="57"/>
        <v>3.0666443294117647</v>
      </c>
      <c r="O151">
        <f t="shared" si="58"/>
        <v>8.4665226781857452</v>
      </c>
      <c r="P151">
        <f t="shared" si="59"/>
        <v>54.6</v>
      </c>
      <c r="Q151">
        <f t="shared" si="60"/>
        <v>208</v>
      </c>
      <c r="R151">
        <f t="shared" si="61"/>
        <v>143.52000000000001</v>
      </c>
      <c r="S151">
        <f t="shared" si="62"/>
        <v>12.48</v>
      </c>
      <c r="T151">
        <f>I151*E151/'[1]Inverter Analysis'!$L$2</f>
        <v>125.604652004445</v>
      </c>
      <c r="U151">
        <f t="shared" si="63"/>
        <v>512.82051282051282</v>
      </c>
      <c r="V151">
        <f t="shared" si="64"/>
        <v>557.41360089186173</v>
      </c>
      <c r="W151">
        <f t="shared" si="65"/>
        <v>366.30036630036631</v>
      </c>
      <c r="X151">
        <f t="shared" si="66"/>
        <v>1.2428396898369269</v>
      </c>
      <c r="Y151">
        <f t="shared" si="67"/>
        <v>0.58575535200000006</v>
      </c>
      <c r="Z151">
        <f t="shared" si="68"/>
        <v>17.399755657716977</v>
      </c>
    </row>
    <row r="152" spans="1:26">
      <c r="A152">
        <v>10</v>
      </c>
      <c r="B152">
        <v>4</v>
      </c>
      <c r="C152" s="9">
        <v>5</v>
      </c>
      <c r="D152">
        <f t="shared" si="47"/>
        <v>560</v>
      </c>
      <c r="E152">
        <f t="shared" si="48"/>
        <v>240</v>
      </c>
      <c r="F152">
        <f t="shared" si="49"/>
        <v>14</v>
      </c>
      <c r="G152">
        <f t="shared" si="50"/>
        <v>0.05</v>
      </c>
      <c r="H152">
        <f t="shared" si="51"/>
        <v>50.4</v>
      </c>
      <c r="I152">
        <f t="shared" si="52"/>
        <v>210</v>
      </c>
      <c r="J152">
        <f t="shared" si="53"/>
        <v>150</v>
      </c>
      <c r="K152">
        <f t="shared" si="54"/>
        <v>36</v>
      </c>
      <c r="L152">
        <f t="shared" si="55"/>
        <v>4.1773199999999999</v>
      </c>
      <c r="M152">
        <f t="shared" si="56"/>
        <v>4.0420800000000003</v>
      </c>
      <c r="N152">
        <f t="shared" si="57"/>
        <v>2.9486964705882355</v>
      </c>
      <c r="O152">
        <f t="shared" si="58"/>
        <v>6.773218142548596</v>
      </c>
      <c r="P152">
        <f t="shared" si="59"/>
        <v>42</v>
      </c>
      <c r="Q152">
        <f t="shared" si="60"/>
        <v>200</v>
      </c>
      <c r="R152">
        <f t="shared" si="61"/>
        <v>138</v>
      </c>
      <c r="S152">
        <f t="shared" si="62"/>
        <v>12</v>
      </c>
      <c r="T152">
        <f>I152*E152/'[1]Inverter Analysis'!$L$2</f>
        <v>120.77370385042789</v>
      </c>
      <c r="U152">
        <f t="shared" si="63"/>
        <v>533.33333333333337</v>
      </c>
      <c r="V152">
        <f t="shared" si="64"/>
        <v>579.71014492753625</v>
      </c>
      <c r="W152">
        <f t="shared" si="65"/>
        <v>380.95238095238096</v>
      </c>
      <c r="X152">
        <f t="shared" si="66"/>
        <v>1.3442554085276204</v>
      </c>
      <c r="Y152">
        <f t="shared" si="67"/>
        <v>0.52073437499999997</v>
      </c>
      <c r="Z152">
        <f t="shared" si="68"/>
        <v>18.819575719386684</v>
      </c>
    </row>
    <row r="153" spans="1:26">
      <c r="A153">
        <v>11</v>
      </c>
      <c r="B153">
        <v>3</v>
      </c>
      <c r="C153" s="9">
        <v>6</v>
      </c>
      <c r="D153">
        <f t="shared" si="47"/>
        <v>420</v>
      </c>
      <c r="E153">
        <f t="shared" si="48"/>
        <v>180</v>
      </c>
      <c r="F153">
        <f t="shared" si="49"/>
        <v>13.86</v>
      </c>
      <c r="G153">
        <f t="shared" si="50"/>
        <v>8.7999999999999995E-2</v>
      </c>
      <c r="H153">
        <f t="shared" si="51"/>
        <v>49.896000000000001</v>
      </c>
      <c r="I153">
        <f t="shared" si="52"/>
        <v>277.2</v>
      </c>
      <c r="J153">
        <f t="shared" si="53"/>
        <v>198</v>
      </c>
      <c r="K153">
        <f t="shared" si="54"/>
        <v>35.64</v>
      </c>
      <c r="L153">
        <f t="shared" si="55"/>
        <v>4.1355468000000002</v>
      </c>
      <c r="M153">
        <f t="shared" si="56"/>
        <v>4.0016591999999997</v>
      </c>
      <c r="N153">
        <f t="shared" si="57"/>
        <v>2.9192095058823533</v>
      </c>
      <c r="O153">
        <f t="shared" si="58"/>
        <v>4.2332613390928726</v>
      </c>
      <c r="P153">
        <f t="shared" si="59"/>
        <v>46.199999999999996</v>
      </c>
      <c r="Q153">
        <f t="shared" si="60"/>
        <v>198</v>
      </c>
      <c r="R153">
        <f t="shared" si="61"/>
        <v>182.16</v>
      </c>
      <c r="S153">
        <f t="shared" si="62"/>
        <v>15.84</v>
      </c>
      <c r="T153">
        <f>I153*E153/'[1]Inverter Analysis'!$L$2</f>
        <v>119.56596681192362</v>
      </c>
      <c r="U153">
        <f t="shared" si="63"/>
        <v>404.04040404040404</v>
      </c>
      <c r="V153">
        <f t="shared" si="64"/>
        <v>439.17435221783046</v>
      </c>
      <c r="W153">
        <f t="shared" si="65"/>
        <v>288.60028860028859</v>
      </c>
      <c r="X153">
        <f t="shared" si="66"/>
        <v>0.77149644658380401</v>
      </c>
      <c r="Y153">
        <f t="shared" si="67"/>
        <v>0.89825429925</v>
      </c>
      <c r="Z153">
        <f t="shared" si="68"/>
        <v>10.800950252173255</v>
      </c>
    </row>
    <row r="154" spans="1:26">
      <c r="A154">
        <v>13</v>
      </c>
      <c r="B154">
        <v>3</v>
      </c>
      <c r="C154" s="9">
        <v>5</v>
      </c>
      <c r="D154">
        <f t="shared" si="47"/>
        <v>420</v>
      </c>
      <c r="E154">
        <f t="shared" si="48"/>
        <v>180</v>
      </c>
      <c r="F154">
        <f t="shared" si="49"/>
        <v>13.65</v>
      </c>
      <c r="G154">
        <f t="shared" si="50"/>
        <v>8.666666666666667E-2</v>
      </c>
      <c r="H154">
        <f t="shared" si="51"/>
        <v>49.14</v>
      </c>
      <c r="I154">
        <f t="shared" si="52"/>
        <v>273</v>
      </c>
      <c r="J154">
        <f t="shared" si="53"/>
        <v>195</v>
      </c>
      <c r="K154">
        <f t="shared" si="54"/>
        <v>35.1</v>
      </c>
      <c r="L154">
        <f t="shared" si="55"/>
        <v>4.0728869999999997</v>
      </c>
      <c r="M154">
        <f t="shared" si="56"/>
        <v>3.9410280000000002</v>
      </c>
      <c r="N154">
        <f t="shared" si="57"/>
        <v>2.8749790588235293</v>
      </c>
      <c r="O154">
        <f t="shared" si="58"/>
        <v>5.0799136069114468</v>
      </c>
      <c r="P154">
        <f t="shared" si="59"/>
        <v>54.6</v>
      </c>
      <c r="Q154">
        <f t="shared" si="60"/>
        <v>195</v>
      </c>
      <c r="R154">
        <f t="shared" si="61"/>
        <v>179.4</v>
      </c>
      <c r="S154">
        <f t="shared" si="62"/>
        <v>15.600000000000001</v>
      </c>
      <c r="T154">
        <f>I154*E154/'[1]Inverter Analysis'!$L$2</f>
        <v>117.75436125416719</v>
      </c>
      <c r="U154">
        <f t="shared" si="63"/>
        <v>410.25641025641028</v>
      </c>
      <c r="V154">
        <f t="shared" si="64"/>
        <v>445.93088071348939</v>
      </c>
      <c r="W154">
        <f t="shared" si="65"/>
        <v>293.04029304029302</v>
      </c>
      <c r="X154">
        <f t="shared" si="66"/>
        <v>0.79541740149563311</v>
      </c>
      <c r="Y154">
        <f t="shared" si="67"/>
        <v>0.85804006640625019</v>
      </c>
      <c r="Z154">
        <f t="shared" si="68"/>
        <v>11.135843620938864</v>
      </c>
    </row>
    <row r="155" spans="1:26">
      <c r="A155">
        <v>12</v>
      </c>
      <c r="B155">
        <v>4</v>
      </c>
      <c r="C155" s="9">
        <v>4</v>
      </c>
      <c r="D155">
        <f t="shared" si="47"/>
        <v>560</v>
      </c>
      <c r="E155">
        <f t="shared" si="48"/>
        <v>240</v>
      </c>
      <c r="F155">
        <f t="shared" si="49"/>
        <v>13.44</v>
      </c>
      <c r="G155">
        <f t="shared" si="50"/>
        <v>4.8000000000000001E-2</v>
      </c>
      <c r="H155">
        <f t="shared" si="51"/>
        <v>48.384000000000007</v>
      </c>
      <c r="I155">
        <f t="shared" si="52"/>
        <v>201.60000000000002</v>
      </c>
      <c r="J155">
        <f t="shared" si="53"/>
        <v>144</v>
      </c>
      <c r="K155">
        <f t="shared" si="54"/>
        <v>34.56</v>
      </c>
      <c r="L155">
        <f t="shared" si="55"/>
        <v>4.0102272000000001</v>
      </c>
      <c r="M155">
        <f t="shared" si="56"/>
        <v>3.8803968000000006</v>
      </c>
      <c r="N155">
        <f t="shared" si="57"/>
        <v>2.8307486117647063</v>
      </c>
      <c r="O155">
        <f t="shared" si="58"/>
        <v>8.4665226781857452</v>
      </c>
      <c r="P155">
        <f t="shared" si="59"/>
        <v>50.400000000000006</v>
      </c>
      <c r="Q155">
        <f t="shared" si="60"/>
        <v>192</v>
      </c>
      <c r="R155">
        <f t="shared" si="61"/>
        <v>132.47999999999999</v>
      </c>
      <c r="S155">
        <f t="shared" si="62"/>
        <v>11.52</v>
      </c>
      <c r="T155">
        <f>I155*E155/'[1]Inverter Analysis'!$L$2</f>
        <v>115.9427556964108</v>
      </c>
      <c r="U155">
        <f t="shared" si="63"/>
        <v>555.55555555555554</v>
      </c>
      <c r="V155">
        <f t="shared" si="64"/>
        <v>603.86473429951695</v>
      </c>
      <c r="W155">
        <f t="shared" si="65"/>
        <v>396.82539682539681</v>
      </c>
      <c r="X155">
        <f t="shared" si="66"/>
        <v>1.458610469322505</v>
      </c>
      <c r="Y155">
        <f t="shared" si="67"/>
        <v>0.46071244799999989</v>
      </c>
      <c r="Z155">
        <f t="shared" si="68"/>
        <v>20.420546570515068</v>
      </c>
    </row>
    <row r="156" spans="1:26">
      <c r="A156">
        <v>16</v>
      </c>
      <c r="B156">
        <v>3</v>
      </c>
      <c r="C156" s="9">
        <v>4</v>
      </c>
      <c r="D156">
        <f t="shared" si="47"/>
        <v>420</v>
      </c>
      <c r="E156">
        <f t="shared" si="48"/>
        <v>180</v>
      </c>
      <c r="F156">
        <f t="shared" si="49"/>
        <v>13.44</v>
      </c>
      <c r="G156">
        <f t="shared" si="50"/>
        <v>8.533333333333333E-2</v>
      </c>
      <c r="H156">
        <f t="shared" si="51"/>
        <v>48.384</v>
      </c>
      <c r="I156">
        <f t="shared" si="52"/>
        <v>268.8</v>
      </c>
      <c r="J156">
        <f t="shared" si="53"/>
        <v>192</v>
      </c>
      <c r="K156">
        <f t="shared" si="54"/>
        <v>34.56</v>
      </c>
      <c r="L156">
        <f t="shared" si="55"/>
        <v>4.0102272000000001</v>
      </c>
      <c r="M156">
        <f t="shared" si="56"/>
        <v>3.8803968000000006</v>
      </c>
      <c r="N156">
        <f t="shared" si="57"/>
        <v>2.8307486117647063</v>
      </c>
      <c r="O156">
        <f t="shared" si="58"/>
        <v>6.3498920086393085</v>
      </c>
      <c r="P156">
        <f t="shared" si="59"/>
        <v>67.2</v>
      </c>
      <c r="Q156">
        <f t="shared" si="60"/>
        <v>192</v>
      </c>
      <c r="R156">
        <f t="shared" si="61"/>
        <v>176.64</v>
      </c>
      <c r="S156">
        <f t="shared" si="62"/>
        <v>15.36</v>
      </c>
      <c r="T156">
        <f>I156*E156/'[1]Inverter Analysis'!$L$2</f>
        <v>115.94275569641077</v>
      </c>
      <c r="U156">
        <f t="shared" si="63"/>
        <v>416.66666666666669</v>
      </c>
      <c r="V156">
        <f t="shared" si="64"/>
        <v>452.89855072463774</v>
      </c>
      <c r="W156">
        <f t="shared" si="65"/>
        <v>297.61904761904759</v>
      </c>
      <c r="X156">
        <f t="shared" si="66"/>
        <v>0.82046838899390917</v>
      </c>
      <c r="Y156">
        <f t="shared" si="67"/>
        <v>0.8190443519999997</v>
      </c>
      <c r="Z156">
        <f t="shared" si="68"/>
        <v>11.486557445914729</v>
      </c>
    </row>
    <row r="157" spans="1:26">
      <c r="A157">
        <v>13</v>
      </c>
      <c r="B157">
        <v>2</v>
      </c>
      <c r="C157" s="9">
        <v>7</v>
      </c>
      <c r="D157">
        <f t="shared" si="47"/>
        <v>280</v>
      </c>
      <c r="E157">
        <f t="shared" si="48"/>
        <v>120</v>
      </c>
      <c r="F157">
        <f t="shared" si="49"/>
        <v>12.74</v>
      </c>
      <c r="G157">
        <f t="shared" si="50"/>
        <v>0.18200000000000002</v>
      </c>
      <c r="H157">
        <f t="shared" si="51"/>
        <v>45.863999999999997</v>
      </c>
      <c r="I157">
        <f t="shared" si="52"/>
        <v>382.2</v>
      </c>
      <c r="J157">
        <f t="shared" si="53"/>
        <v>273</v>
      </c>
      <c r="K157">
        <f t="shared" si="54"/>
        <v>32.76</v>
      </c>
      <c r="L157">
        <f t="shared" si="55"/>
        <v>3.8013611999999997</v>
      </c>
      <c r="M157">
        <f t="shared" si="56"/>
        <v>3.6782928000000004</v>
      </c>
      <c r="N157">
        <f t="shared" si="57"/>
        <v>2.683313788235294</v>
      </c>
      <c r="O157">
        <f t="shared" si="58"/>
        <v>2.4190064794816415</v>
      </c>
      <c r="P157">
        <f t="shared" si="59"/>
        <v>54.6</v>
      </c>
      <c r="Q157">
        <f t="shared" si="60"/>
        <v>182</v>
      </c>
      <c r="R157">
        <f t="shared" si="61"/>
        <v>251.16</v>
      </c>
      <c r="S157">
        <f t="shared" si="62"/>
        <v>21.840000000000003</v>
      </c>
      <c r="T157">
        <f>I157*E157/'[1]Inverter Analysis'!$L$2</f>
        <v>109.90407050388939</v>
      </c>
      <c r="U157">
        <f t="shared" si="63"/>
        <v>293.04029304029302</v>
      </c>
      <c r="V157">
        <f t="shared" si="64"/>
        <v>318.52205765249244</v>
      </c>
      <c r="W157">
        <f t="shared" si="65"/>
        <v>209.31449502878075</v>
      </c>
      <c r="X157">
        <f t="shared" si="66"/>
        <v>0.40582520484471085</v>
      </c>
      <c r="Y157">
        <f t="shared" si="67"/>
        <v>1.5696412948125</v>
      </c>
      <c r="Z157">
        <f t="shared" si="68"/>
        <v>5.6815528678259515</v>
      </c>
    </row>
    <row r="158" spans="1:26">
      <c r="A158">
        <v>10</v>
      </c>
      <c r="B158">
        <v>2</v>
      </c>
      <c r="C158" s="9">
        <v>9</v>
      </c>
      <c r="D158">
        <f t="shared" si="47"/>
        <v>280</v>
      </c>
      <c r="E158">
        <f t="shared" si="48"/>
        <v>120</v>
      </c>
      <c r="F158">
        <f t="shared" si="49"/>
        <v>12.6</v>
      </c>
      <c r="G158">
        <f t="shared" si="50"/>
        <v>0.18</v>
      </c>
      <c r="H158">
        <f t="shared" si="51"/>
        <v>45.36</v>
      </c>
      <c r="I158">
        <f t="shared" si="52"/>
        <v>378</v>
      </c>
      <c r="J158">
        <f t="shared" si="53"/>
        <v>270</v>
      </c>
      <c r="K158">
        <f t="shared" si="54"/>
        <v>32.4</v>
      </c>
      <c r="L158">
        <f t="shared" si="55"/>
        <v>3.7595879999999999</v>
      </c>
      <c r="M158">
        <f t="shared" si="56"/>
        <v>3.6378720000000002</v>
      </c>
      <c r="N158">
        <f t="shared" si="57"/>
        <v>2.6538268235294118</v>
      </c>
      <c r="O158">
        <f t="shared" si="58"/>
        <v>1.8814494840412768</v>
      </c>
      <c r="P158">
        <f t="shared" si="59"/>
        <v>42</v>
      </c>
      <c r="Q158">
        <f t="shared" si="60"/>
        <v>180</v>
      </c>
      <c r="R158">
        <f t="shared" si="61"/>
        <v>248.4</v>
      </c>
      <c r="S158">
        <f t="shared" si="62"/>
        <v>21.599999999999998</v>
      </c>
      <c r="T158">
        <f>I158*E158/'[1]Inverter Analysis'!$L$2</f>
        <v>108.69633346538509</v>
      </c>
      <c r="U158">
        <f t="shared" si="63"/>
        <v>296.2962962962963</v>
      </c>
      <c r="V158">
        <f t="shared" si="64"/>
        <v>322.06119162640903</v>
      </c>
      <c r="W158">
        <f t="shared" si="65"/>
        <v>211.64021164021165</v>
      </c>
      <c r="X158">
        <f t="shared" si="66"/>
        <v>0.41489364460729022</v>
      </c>
      <c r="Y158">
        <f t="shared" si="67"/>
        <v>1.5184614375000001</v>
      </c>
      <c r="Z158">
        <f t="shared" si="68"/>
        <v>5.8085110245020619</v>
      </c>
    </row>
    <row r="159" spans="1:26">
      <c r="A159">
        <v>10</v>
      </c>
      <c r="B159">
        <v>3</v>
      </c>
      <c r="C159" s="9">
        <v>6</v>
      </c>
      <c r="D159">
        <f t="shared" si="47"/>
        <v>420</v>
      </c>
      <c r="E159">
        <f t="shared" si="48"/>
        <v>180</v>
      </c>
      <c r="F159">
        <f t="shared" si="49"/>
        <v>12.6</v>
      </c>
      <c r="G159">
        <f t="shared" si="50"/>
        <v>7.9999999999999988E-2</v>
      </c>
      <c r="H159">
        <f t="shared" si="51"/>
        <v>45.36</v>
      </c>
      <c r="I159">
        <f t="shared" si="52"/>
        <v>252</v>
      </c>
      <c r="J159">
        <f t="shared" si="53"/>
        <v>180</v>
      </c>
      <c r="K159">
        <f t="shared" si="54"/>
        <v>32.4</v>
      </c>
      <c r="L159">
        <f t="shared" si="55"/>
        <v>3.7595879999999999</v>
      </c>
      <c r="M159">
        <f t="shared" si="56"/>
        <v>3.6378720000000002</v>
      </c>
      <c r="N159">
        <f t="shared" si="57"/>
        <v>2.6538268235294118</v>
      </c>
      <c r="O159">
        <f t="shared" si="58"/>
        <v>4.2332613390928726</v>
      </c>
      <c r="P159">
        <f t="shared" si="59"/>
        <v>42</v>
      </c>
      <c r="Q159">
        <f t="shared" si="60"/>
        <v>180</v>
      </c>
      <c r="R159">
        <f t="shared" si="61"/>
        <v>165.6</v>
      </c>
      <c r="S159">
        <f t="shared" si="62"/>
        <v>14.399999999999999</v>
      </c>
      <c r="T159">
        <f>I159*E159/'[1]Inverter Analysis'!$L$2</f>
        <v>108.69633346538509</v>
      </c>
      <c r="U159">
        <f t="shared" si="63"/>
        <v>444.44444444444446</v>
      </c>
      <c r="V159">
        <f t="shared" si="64"/>
        <v>483.09178743961354</v>
      </c>
      <c r="W159">
        <f t="shared" si="65"/>
        <v>317.46031746031747</v>
      </c>
      <c r="X159">
        <f t="shared" si="66"/>
        <v>0.93351070036640293</v>
      </c>
      <c r="Y159">
        <f t="shared" si="67"/>
        <v>0.67487174999999999</v>
      </c>
      <c r="Z159">
        <f t="shared" si="68"/>
        <v>13.069149805129641</v>
      </c>
    </row>
    <row r="160" spans="1:26">
      <c r="A160">
        <v>15</v>
      </c>
      <c r="B160">
        <v>2</v>
      </c>
      <c r="C160" s="9">
        <v>6</v>
      </c>
      <c r="D160">
        <f t="shared" si="47"/>
        <v>280</v>
      </c>
      <c r="E160">
        <f t="shared" si="48"/>
        <v>120</v>
      </c>
      <c r="F160">
        <f t="shared" si="49"/>
        <v>12.6</v>
      </c>
      <c r="G160">
        <f t="shared" si="50"/>
        <v>0.18</v>
      </c>
      <c r="H160">
        <f t="shared" si="51"/>
        <v>45.36</v>
      </c>
      <c r="I160">
        <f t="shared" si="52"/>
        <v>378</v>
      </c>
      <c r="J160">
        <f t="shared" si="53"/>
        <v>270</v>
      </c>
      <c r="K160">
        <f t="shared" si="54"/>
        <v>32.4</v>
      </c>
      <c r="L160">
        <f t="shared" si="55"/>
        <v>3.7595879999999999</v>
      </c>
      <c r="M160">
        <f t="shared" si="56"/>
        <v>3.6378720000000002</v>
      </c>
      <c r="N160">
        <f t="shared" si="57"/>
        <v>2.6538268235294118</v>
      </c>
      <c r="O160">
        <f t="shared" si="58"/>
        <v>2.8221742260619149</v>
      </c>
      <c r="P160">
        <f t="shared" si="59"/>
        <v>63</v>
      </c>
      <c r="Q160">
        <f t="shared" si="60"/>
        <v>180</v>
      </c>
      <c r="R160">
        <f t="shared" si="61"/>
        <v>248.4</v>
      </c>
      <c r="S160">
        <f t="shared" si="62"/>
        <v>21.599999999999998</v>
      </c>
      <c r="T160">
        <f>I160*E160/'[1]Inverter Analysis'!$L$2</f>
        <v>108.69633346538509</v>
      </c>
      <c r="U160">
        <f t="shared" si="63"/>
        <v>296.2962962962963</v>
      </c>
      <c r="V160">
        <f t="shared" si="64"/>
        <v>322.06119162640903</v>
      </c>
      <c r="W160">
        <f t="shared" si="65"/>
        <v>211.64021164021165</v>
      </c>
      <c r="X160">
        <f t="shared" si="66"/>
        <v>0.41489364460729022</v>
      </c>
      <c r="Y160">
        <f t="shared" si="67"/>
        <v>1.5184614375000001</v>
      </c>
      <c r="Z160">
        <f t="shared" si="68"/>
        <v>5.8085110245020619</v>
      </c>
    </row>
    <row r="161" spans="1:26">
      <c r="A161">
        <v>12</v>
      </c>
      <c r="B161">
        <v>3</v>
      </c>
      <c r="C161" s="9">
        <v>5</v>
      </c>
      <c r="D161">
        <f t="shared" si="47"/>
        <v>420</v>
      </c>
      <c r="E161">
        <f t="shared" si="48"/>
        <v>180</v>
      </c>
      <c r="F161">
        <f t="shared" si="49"/>
        <v>12.6</v>
      </c>
      <c r="G161">
        <f t="shared" si="50"/>
        <v>0.08</v>
      </c>
      <c r="H161">
        <f t="shared" si="51"/>
        <v>45.36</v>
      </c>
      <c r="I161">
        <f t="shared" si="52"/>
        <v>252</v>
      </c>
      <c r="J161">
        <f t="shared" si="53"/>
        <v>180</v>
      </c>
      <c r="K161">
        <f t="shared" si="54"/>
        <v>32.4</v>
      </c>
      <c r="L161">
        <f t="shared" si="55"/>
        <v>3.7595879999999999</v>
      </c>
      <c r="M161">
        <f t="shared" si="56"/>
        <v>3.6378720000000002</v>
      </c>
      <c r="N161">
        <f t="shared" si="57"/>
        <v>2.6538268235294118</v>
      </c>
      <c r="O161">
        <f t="shared" si="58"/>
        <v>5.0799136069114468</v>
      </c>
      <c r="P161">
        <f t="shared" si="59"/>
        <v>50.4</v>
      </c>
      <c r="Q161">
        <f t="shared" si="60"/>
        <v>180</v>
      </c>
      <c r="R161">
        <f t="shared" si="61"/>
        <v>165.6</v>
      </c>
      <c r="S161">
        <f t="shared" si="62"/>
        <v>14.4</v>
      </c>
      <c r="T161">
        <f>I161*E161/'[1]Inverter Analysis'!$L$2</f>
        <v>108.69633346538509</v>
      </c>
      <c r="U161">
        <f t="shared" si="63"/>
        <v>444.44444444444446</v>
      </c>
      <c r="V161">
        <f t="shared" si="64"/>
        <v>483.09178743961354</v>
      </c>
      <c r="W161">
        <f t="shared" si="65"/>
        <v>317.46031746031747</v>
      </c>
      <c r="X161">
        <f t="shared" si="66"/>
        <v>0.93351070036640293</v>
      </c>
      <c r="Y161">
        <f t="shared" si="67"/>
        <v>0.67487174999999999</v>
      </c>
      <c r="Z161">
        <f t="shared" si="68"/>
        <v>13.069149805129641</v>
      </c>
    </row>
    <row r="162" spans="1:26">
      <c r="A162">
        <v>15</v>
      </c>
      <c r="B162">
        <v>3</v>
      </c>
      <c r="C162" s="9">
        <v>4</v>
      </c>
      <c r="D162">
        <f t="shared" si="47"/>
        <v>420</v>
      </c>
      <c r="E162">
        <f t="shared" si="48"/>
        <v>180</v>
      </c>
      <c r="F162">
        <f t="shared" si="49"/>
        <v>12.6</v>
      </c>
      <c r="G162">
        <f t="shared" si="50"/>
        <v>0.08</v>
      </c>
      <c r="H162">
        <f t="shared" si="51"/>
        <v>45.36</v>
      </c>
      <c r="I162">
        <f t="shared" si="52"/>
        <v>252</v>
      </c>
      <c r="J162">
        <f t="shared" si="53"/>
        <v>180</v>
      </c>
      <c r="K162">
        <f t="shared" si="54"/>
        <v>32.4</v>
      </c>
      <c r="L162">
        <f t="shared" si="55"/>
        <v>3.7595879999999999</v>
      </c>
      <c r="M162">
        <f t="shared" si="56"/>
        <v>3.6378720000000002</v>
      </c>
      <c r="N162">
        <f t="shared" si="57"/>
        <v>2.6538268235294118</v>
      </c>
      <c r="O162">
        <f t="shared" si="58"/>
        <v>6.3498920086393085</v>
      </c>
      <c r="P162">
        <f t="shared" si="59"/>
        <v>63</v>
      </c>
      <c r="Q162">
        <f t="shared" si="60"/>
        <v>180</v>
      </c>
      <c r="R162">
        <f t="shared" si="61"/>
        <v>165.6</v>
      </c>
      <c r="S162">
        <f t="shared" si="62"/>
        <v>14.4</v>
      </c>
      <c r="T162">
        <f>I162*E162/'[1]Inverter Analysis'!$L$2</f>
        <v>108.69633346538509</v>
      </c>
      <c r="U162">
        <f t="shared" si="63"/>
        <v>444.44444444444446</v>
      </c>
      <c r="V162">
        <f t="shared" si="64"/>
        <v>483.09178743961354</v>
      </c>
      <c r="W162">
        <f t="shared" si="65"/>
        <v>317.46031746031747</v>
      </c>
      <c r="X162">
        <f t="shared" si="66"/>
        <v>0.93351070036640293</v>
      </c>
      <c r="Y162">
        <f t="shared" si="67"/>
        <v>0.67487174999999999</v>
      </c>
      <c r="Z162">
        <f t="shared" si="68"/>
        <v>13.069149805129641</v>
      </c>
    </row>
    <row r="163" spans="1:26">
      <c r="A163">
        <v>11</v>
      </c>
      <c r="B163">
        <v>2</v>
      </c>
      <c r="C163" s="9">
        <v>8</v>
      </c>
      <c r="D163">
        <f t="shared" si="47"/>
        <v>280</v>
      </c>
      <c r="E163">
        <f t="shared" si="48"/>
        <v>120</v>
      </c>
      <c r="F163">
        <f t="shared" si="49"/>
        <v>12.32</v>
      </c>
      <c r="G163">
        <f t="shared" si="50"/>
        <v>0.17599999999999999</v>
      </c>
      <c r="H163">
        <f t="shared" si="51"/>
        <v>44.351999999999997</v>
      </c>
      <c r="I163">
        <f t="shared" si="52"/>
        <v>369.6</v>
      </c>
      <c r="J163">
        <f t="shared" si="53"/>
        <v>264</v>
      </c>
      <c r="K163">
        <f t="shared" si="54"/>
        <v>31.68</v>
      </c>
      <c r="L163">
        <f t="shared" si="55"/>
        <v>3.6760416</v>
      </c>
      <c r="M163">
        <f t="shared" si="56"/>
        <v>3.5570304000000004</v>
      </c>
      <c r="N163">
        <f t="shared" si="57"/>
        <v>2.5948528941176474</v>
      </c>
      <c r="O163">
        <f t="shared" si="58"/>
        <v>2.1166306695464363</v>
      </c>
      <c r="P163">
        <f t="shared" si="59"/>
        <v>46.2</v>
      </c>
      <c r="Q163">
        <f t="shared" si="60"/>
        <v>176</v>
      </c>
      <c r="R163">
        <f t="shared" si="61"/>
        <v>242.88</v>
      </c>
      <c r="S163">
        <f t="shared" si="62"/>
        <v>21.119999999999997</v>
      </c>
      <c r="T163">
        <f>I163*E163/'[1]Inverter Analysis'!$L$2</f>
        <v>106.28085938837654</v>
      </c>
      <c r="U163">
        <f t="shared" si="63"/>
        <v>303.030303030303</v>
      </c>
      <c r="V163">
        <f t="shared" si="64"/>
        <v>329.38076416337287</v>
      </c>
      <c r="W163">
        <f t="shared" si="65"/>
        <v>216.45021645021643</v>
      </c>
      <c r="X163">
        <f t="shared" si="66"/>
        <v>0.43396675120338984</v>
      </c>
      <c r="Y163">
        <f t="shared" si="67"/>
        <v>1.4194635840000001</v>
      </c>
      <c r="Z163">
        <f t="shared" si="68"/>
        <v>6.0755345168474566</v>
      </c>
    </row>
    <row r="164" spans="1:26">
      <c r="A164">
        <v>11</v>
      </c>
      <c r="B164">
        <v>4</v>
      </c>
      <c r="C164" s="9">
        <v>4</v>
      </c>
      <c r="D164">
        <f t="shared" si="47"/>
        <v>560</v>
      </c>
      <c r="E164">
        <f t="shared" si="48"/>
        <v>240</v>
      </c>
      <c r="F164">
        <f t="shared" si="49"/>
        <v>12.32</v>
      </c>
      <c r="G164">
        <f t="shared" si="50"/>
        <v>4.3999999999999997E-2</v>
      </c>
      <c r="H164">
        <f t="shared" si="51"/>
        <v>44.351999999999997</v>
      </c>
      <c r="I164">
        <f t="shared" si="52"/>
        <v>184.8</v>
      </c>
      <c r="J164">
        <f t="shared" si="53"/>
        <v>132</v>
      </c>
      <c r="K164">
        <f t="shared" si="54"/>
        <v>31.68</v>
      </c>
      <c r="L164">
        <f t="shared" si="55"/>
        <v>3.6760416</v>
      </c>
      <c r="M164">
        <f t="shared" si="56"/>
        <v>3.5570304000000004</v>
      </c>
      <c r="N164">
        <f t="shared" si="57"/>
        <v>2.5948528941176474</v>
      </c>
      <c r="O164">
        <f t="shared" si="58"/>
        <v>8.4665226781857452</v>
      </c>
      <c r="P164">
        <f t="shared" si="59"/>
        <v>46.2</v>
      </c>
      <c r="Q164">
        <f t="shared" si="60"/>
        <v>176</v>
      </c>
      <c r="R164">
        <f t="shared" si="61"/>
        <v>121.44</v>
      </c>
      <c r="S164">
        <f t="shared" si="62"/>
        <v>10.559999999999999</v>
      </c>
      <c r="T164">
        <f>I164*E164/'[1]Inverter Analysis'!$L$2</f>
        <v>106.28085938837654</v>
      </c>
      <c r="U164">
        <f t="shared" si="63"/>
        <v>606.06060606060601</v>
      </c>
      <c r="V164">
        <f t="shared" si="64"/>
        <v>658.76152832674575</v>
      </c>
      <c r="W164">
        <f t="shared" si="65"/>
        <v>432.90043290043286</v>
      </c>
      <c r="X164">
        <f t="shared" si="66"/>
        <v>1.7358670048135594</v>
      </c>
      <c r="Y164">
        <f t="shared" si="67"/>
        <v>0.35486589600000001</v>
      </c>
      <c r="Z164">
        <f t="shared" si="68"/>
        <v>24.302138067389826</v>
      </c>
    </row>
    <row r="165" spans="1:26">
      <c r="A165">
        <v>12</v>
      </c>
      <c r="B165">
        <v>2</v>
      </c>
      <c r="C165" s="9">
        <v>7</v>
      </c>
      <c r="D165">
        <f t="shared" si="47"/>
        <v>280</v>
      </c>
      <c r="E165">
        <f t="shared" si="48"/>
        <v>120</v>
      </c>
      <c r="F165">
        <f t="shared" si="49"/>
        <v>11.76</v>
      </c>
      <c r="G165">
        <f t="shared" si="50"/>
        <v>0.16800000000000001</v>
      </c>
      <c r="H165">
        <f t="shared" si="51"/>
        <v>42.335999999999999</v>
      </c>
      <c r="I165">
        <f t="shared" si="52"/>
        <v>352.8</v>
      </c>
      <c r="J165">
        <f t="shared" si="53"/>
        <v>252</v>
      </c>
      <c r="K165">
        <f t="shared" si="54"/>
        <v>30.24</v>
      </c>
      <c r="L165">
        <f t="shared" si="55"/>
        <v>3.5089488000000002</v>
      </c>
      <c r="M165">
        <f t="shared" si="56"/>
        <v>3.3953472000000002</v>
      </c>
      <c r="N165">
        <f t="shared" si="57"/>
        <v>2.4769050352941178</v>
      </c>
      <c r="O165">
        <f t="shared" si="58"/>
        <v>2.4190064794816415</v>
      </c>
      <c r="P165">
        <f t="shared" si="59"/>
        <v>50.4</v>
      </c>
      <c r="Q165">
        <f t="shared" si="60"/>
        <v>168</v>
      </c>
      <c r="R165">
        <f t="shared" si="61"/>
        <v>231.84</v>
      </c>
      <c r="S165">
        <f t="shared" si="62"/>
        <v>20.16</v>
      </c>
      <c r="T165">
        <f>I165*E165/'[1]Inverter Analysis'!$L$2</f>
        <v>101.44991123435943</v>
      </c>
      <c r="U165">
        <f t="shared" si="63"/>
        <v>317.46031746031747</v>
      </c>
      <c r="V165">
        <f t="shared" si="64"/>
        <v>345.06556245686681</v>
      </c>
      <c r="W165">
        <f t="shared" si="65"/>
        <v>226.75736961451247</v>
      </c>
      <c r="X165">
        <f t="shared" si="66"/>
        <v>0.4762809695746954</v>
      </c>
      <c r="Y165">
        <f t="shared" si="67"/>
        <v>1.2345653879999998</v>
      </c>
      <c r="Z165">
        <f t="shared" si="68"/>
        <v>6.6679335740457359</v>
      </c>
    </row>
    <row r="166" spans="1:26">
      <c r="A166">
        <v>14</v>
      </c>
      <c r="B166">
        <v>2</v>
      </c>
      <c r="C166" s="9">
        <v>6</v>
      </c>
      <c r="D166">
        <f t="shared" si="47"/>
        <v>280</v>
      </c>
      <c r="E166">
        <f t="shared" si="48"/>
        <v>120</v>
      </c>
      <c r="F166">
        <f t="shared" si="49"/>
        <v>11.76</v>
      </c>
      <c r="G166">
        <f t="shared" si="50"/>
        <v>0.16800000000000001</v>
      </c>
      <c r="H166">
        <f t="shared" si="51"/>
        <v>42.335999999999999</v>
      </c>
      <c r="I166">
        <f t="shared" si="52"/>
        <v>352.8</v>
      </c>
      <c r="J166">
        <f t="shared" si="53"/>
        <v>252</v>
      </c>
      <c r="K166">
        <f t="shared" si="54"/>
        <v>30.24</v>
      </c>
      <c r="L166">
        <f t="shared" si="55"/>
        <v>3.5089488000000002</v>
      </c>
      <c r="M166">
        <f t="shared" si="56"/>
        <v>3.3953472000000002</v>
      </c>
      <c r="N166">
        <f t="shared" si="57"/>
        <v>2.4769050352941178</v>
      </c>
      <c r="O166">
        <f t="shared" si="58"/>
        <v>2.8221742260619149</v>
      </c>
      <c r="P166">
        <f t="shared" si="59"/>
        <v>58.800000000000004</v>
      </c>
      <c r="Q166">
        <f t="shared" si="60"/>
        <v>168</v>
      </c>
      <c r="R166">
        <f t="shared" si="61"/>
        <v>231.84</v>
      </c>
      <c r="S166">
        <f t="shared" si="62"/>
        <v>20.16</v>
      </c>
      <c r="T166">
        <f>I166*E166/'[1]Inverter Analysis'!$L$2</f>
        <v>101.44991123435943</v>
      </c>
      <c r="U166">
        <f t="shared" si="63"/>
        <v>317.46031746031747</v>
      </c>
      <c r="V166">
        <f t="shared" si="64"/>
        <v>345.06556245686681</v>
      </c>
      <c r="W166">
        <f t="shared" si="65"/>
        <v>226.75736961451247</v>
      </c>
      <c r="X166">
        <f t="shared" si="66"/>
        <v>0.4762809695746954</v>
      </c>
      <c r="Y166">
        <f t="shared" si="67"/>
        <v>1.2345653879999998</v>
      </c>
      <c r="Z166">
        <f t="shared" si="68"/>
        <v>6.6679335740457359</v>
      </c>
    </row>
    <row r="167" spans="1:26">
      <c r="A167">
        <v>14</v>
      </c>
      <c r="B167">
        <v>3</v>
      </c>
      <c r="C167" s="9">
        <v>4</v>
      </c>
      <c r="D167">
        <f t="shared" si="47"/>
        <v>420</v>
      </c>
      <c r="E167">
        <f t="shared" si="48"/>
        <v>180</v>
      </c>
      <c r="F167">
        <f t="shared" si="49"/>
        <v>11.76</v>
      </c>
      <c r="G167">
        <f t="shared" si="50"/>
        <v>7.4666666666666659E-2</v>
      </c>
      <c r="H167">
        <f t="shared" si="51"/>
        <v>42.335999999999999</v>
      </c>
      <c r="I167">
        <f t="shared" si="52"/>
        <v>235.20000000000002</v>
      </c>
      <c r="J167">
        <f t="shared" si="53"/>
        <v>168</v>
      </c>
      <c r="K167">
        <f t="shared" si="54"/>
        <v>30.24</v>
      </c>
      <c r="L167">
        <f t="shared" si="55"/>
        <v>3.5089488000000002</v>
      </c>
      <c r="M167">
        <f t="shared" si="56"/>
        <v>3.3953472000000002</v>
      </c>
      <c r="N167">
        <f t="shared" si="57"/>
        <v>2.4769050352941178</v>
      </c>
      <c r="O167">
        <f t="shared" si="58"/>
        <v>6.3498920086393085</v>
      </c>
      <c r="P167">
        <f t="shared" si="59"/>
        <v>58.800000000000004</v>
      </c>
      <c r="Q167">
        <f t="shared" si="60"/>
        <v>168</v>
      </c>
      <c r="R167">
        <f t="shared" si="61"/>
        <v>154.56</v>
      </c>
      <c r="S167">
        <f t="shared" si="62"/>
        <v>13.439999999999998</v>
      </c>
      <c r="T167">
        <f>I167*E167/'[1]Inverter Analysis'!$L$2</f>
        <v>101.44991123435943</v>
      </c>
      <c r="U167">
        <f t="shared" si="63"/>
        <v>476.1904761904762</v>
      </c>
      <c r="V167">
        <f t="shared" si="64"/>
        <v>517.59834368530016</v>
      </c>
      <c r="W167">
        <f t="shared" si="65"/>
        <v>340.13605442176868</v>
      </c>
      <c r="X167">
        <f t="shared" si="66"/>
        <v>1.0716321815430645</v>
      </c>
      <c r="Y167">
        <f t="shared" si="67"/>
        <v>0.54869572799999999</v>
      </c>
      <c r="Z167">
        <f t="shared" si="68"/>
        <v>15.002850541602903</v>
      </c>
    </row>
    <row r="168" spans="1:26">
      <c r="A168">
        <v>11</v>
      </c>
      <c r="B168">
        <v>3</v>
      </c>
      <c r="C168" s="9">
        <v>5</v>
      </c>
      <c r="D168">
        <f t="shared" si="47"/>
        <v>420</v>
      </c>
      <c r="E168">
        <f t="shared" si="48"/>
        <v>180</v>
      </c>
      <c r="F168">
        <f t="shared" si="49"/>
        <v>11.55</v>
      </c>
      <c r="G168">
        <f t="shared" si="50"/>
        <v>7.3333333333333334E-2</v>
      </c>
      <c r="H168">
        <f t="shared" si="51"/>
        <v>41.58</v>
      </c>
      <c r="I168">
        <f t="shared" si="52"/>
        <v>231</v>
      </c>
      <c r="J168">
        <f t="shared" si="53"/>
        <v>165</v>
      </c>
      <c r="K168">
        <f t="shared" si="54"/>
        <v>29.7</v>
      </c>
      <c r="L168">
        <f t="shared" si="55"/>
        <v>3.4462889999999997</v>
      </c>
      <c r="M168">
        <f t="shared" si="56"/>
        <v>3.3347160000000002</v>
      </c>
      <c r="N168">
        <f t="shared" si="57"/>
        <v>2.4326745882352943</v>
      </c>
      <c r="O168">
        <f t="shared" si="58"/>
        <v>5.0799136069114468</v>
      </c>
      <c r="P168">
        <f t="shared" si="59"/>
        <v>46.2</v>
      </c>
      <c r="Q168">
        <f t="shared" si="60"/>
        <v>165</v>
      </c>
      <c r="R168">
        <f t="shared" si="61"/>
        <v>151.80000000000001</v>
      </c>
      <c r="S168">
        <f t="shared" si="62"/>
        <v>13.2</v>
      </c>
      <c r="T168">
        <f>I168*E168/'[1]Inverter Analysis'!$L$2</f>
        <v>99.638305676603011</v>
      </c>
      <c r="U168">
        <f t="shared" si="63"/>
        <v>484.84848484848487</v>
      </c>
      <c r="V168">
        <f t="shared" si="64"/>
        <v>527.00922266139651</v>
      </c>
      <c r="W168">
        <f t="shared" si="65"/>
        <v>346.32034632034635</v>
      </c>
      <c r="X168">
        <f t="shared" si="66"/>
        <v>1.1109548830806775</v>
      </c>
      <c r="Y168">
        <f t="shared" si="67"/>
        <v>0.51982308984375014</v>
      </c>
      <c r="Z168">
        <f t="shared" si="68"/>
        <v>15.553368363129485</v>
      </c>
    </row>
    <row r="169" spans="1:26">
      <c r="A169">
        <v>10</v>
      </c>
      <c r="B169">
        <v>2</v>
      </c>
      <c r="C169" s="9">
        <v>8</v>
      </c>
      <c r="D169">
        <f t="shared" si="47"/>
        <v>280</v>
      </c>
      <c r="E169">
        <f t="shared" si="48"/>
        <v>120</v>
      </c>
      <c r="F169">
        <f t="shared" si="49"/>
        <v>11.2</v>
      </c>
      <c r="G169">
        <f t="shared" si="50"/>
        <v>0.16</v>
      </c>
      <c r="H169">
        <f t="shared" si="51"/>
        <v>40.32</v>
      </c>
      <c r="I169">
        <f t="shared" si="52"/>
        <v>336</v>
      </c>
      <c r="J169">
        <f t="shared" si="53"/>
        <v>240</v>
      </c>
      <c r="K169">
        <f t="shared" si="54"/>
        <v>28.8</v>
      </c>
      <c r="L169">
        <f t="shared" si="55"/>
        <v>3.3418559999999999</v>
      </c>
      <c r="M169">
        <f t="shared" si="56"/>
        <v>3.2336640000000001</v>
      </c>
      <c r="N169">
        <f t="shared" si="57"/>
        <v>2.3589571764705886</v>
      </c>
      <c r="O169">
        <f t="shared" si="58"/>
        <v>2.1166306695464363</v>
      </c>
      <c r="P169">
        <f t="shared" si="59"/>
        <v>42</v>
      </c>
      <c r="Q169">
        <f t="shared" si="60"/>
        <v>160</v>
      </c>
      <c r="R169">
        <f t="shared" si="61"/>
        <v>220.8</v>
      </c>
      <c r="S169">
        <f t="shared" si="62"/>
        <v>19.2</v>
      </c>
      <c r="T169">
        <f>I169*E169/'[1]Inverter Analysis'!$L$2</f>
        <v>96.618963080342311</v>
      </c>
      <c r="U169">
        <f t="shared" si="63"/>
        <v>333.33333333333331</v>
      </c>
      <c r="V169">
        <f t="shared" si="64"/>
        <v>362.31884057971013</v>
      </c>
      <c r="W169">
        <f t="shared" si="65"/>
        <v>238.0952380952381</v>
      </c>
      <c r="X169">
        <f t="shared" si="66"/>
        <v>0.52509976895610155</v>
      </c>
      <c r="Y169">
        <f t="shared" si="67"/>
        <v>1.0664640000000001</v>
      </c>
      <c r="Z169">
        <f t="shared" si="68"/>
        <v>7.351396765385422</v>
      </c>
    </row>
    <row r="170" spans="1:26">
      <c r="A170">
        <v>16</v>
      </c>
      <c r="B170">
        <v>2</v>
      </c>
      <c r="C170" s="9">
        <v>5</v>
      </c>
      <c r="D170">
        <f t="shared" si="47"/>
        <v>280</v>
      </c>
      <c r="E170">
        <f t="shared" si="48"/>
        <v>120</v>
      </c>
      <c r="F170">
        <f t="shared" si="49"/>
        <v>11.2</v>
      </c>
      <c r="G170">
        <f t="shared" si="50"/>
        <v>0.16</v>
      </c>
      <c r="H170">
        <f t="shared" si="51"/>
        <v>40.32</v>
      </c>
      <c r="I170">
        <f t="shared" si="52"/>
        <v>336</v>
      </c>
      <c r="J170">
        <f t="shared" si="53"/>
        <v>240</v>
      </c>
      <c r="K170">
        <f t="shared" si="54"/>
        <v>28.8</v>
      </c>
      <c r="L170">
        <f t="shared" si="55"/>
        <v>3.3418559999999999</v>
      </c>
      <c r="M170">
        <f t="shared" si="56"/>
        <v>3.2336640000000001</v>
      </c>
      <c r="N170">
        <f t="shared" si="57"/>
        <v>2.3589571764705886</v>
      </c>
      <c r="O170">
        <f t="shared" si="58"/>
        <v>3.386609071274298</v>
      </c>
      <c r="P170">
        <f t="shared" si="59"/>
        <v>67.2</v>
      </c>
      <c r="Q170">
        <f t="shared" si="60"/>
        <v>160</v>
      </c>
      <c r="R170">
        <f t="shared" si="61"/>
        <v>220.8</v>
      </c>
      <c r="S170">
        <f t="shared" si="62"/>
        <v>19.2</v>
      </c>
      <c r="T170">
        <f>I170*E170/'[1]Inverter Analysis'!$L$2</f>
        <v>96.618963080342311</v>
      </c>
      <c r="U170">
        <f t="shared" si="63"/>
        <v>333.33333333333331</v>
      </c>
      <c r="V170">
        <f t="shared" si="64"/>
        <v>362.31884057971013</v>
      </c>
      <c r="W170">
        <f t="shared" si="65"/>
        <v>238.0952380952381</v>
      </c>
      <c r="X170">
        <f t="shared" si="66"/>
        <v>0.52509976895610155</v>
      </c>
      <c r="Y170">
        <f t="shared" si="67"/>
        <v>1.0664640000000001</v>
      </c>
      <c r="Z170">
        <f t="shared" si="68"/>
        <v>7.351396765385422</v>
      </c>
    </row>
    <row r="171" spans="1:26">
      <c r="A171">
        <v>10</v>
      </c>
      <c r="B171">
        <v>4</v>
      </c>
      <c r="C171" s="9">
        <v>4</v>
      </c>
      <c r="D171">
        <f t="shared" si="47"/>
        <v>560</v>
      </c>
      <c r="E171">
        <f t="shared" si="48"/>
        <v>240</v>
      </c>
      <c r="F171">
        <f t="shared" si="49"/>
        <v>11.2</v>
      </c>
      <c r="G171">
        <f t="shared" si="50"/>
        <v>0.04</v>
      </c>
      <c r="H171">
        <f t="shared" si="51"/>
        <v>40.32</v>
      </c>
      <c r="I171">
        <f t="shared" si="52"/>
        <v>168</v>
      </c>
      <c r="J171">
        <f t="shared" si="53"/>
        <v>120</v>
      </c>
      <c r="K171">
        <f t="shared" si="54"/>
        <v>28.8</v>
      </c>
      <c r="L171">
        <f t="shared" si="55"/>
        <v>3.3418559999999999</v>
      </c>
      <c r="M171">
        <f t="shared" si="56"/>
        <v>3.2336640000000001</v>
      </c>
      <c r="N171">
        <f t="shared" si="57"/>
        <v>2.3589571764705886</v>
      </c>
      <c r="O171">
        <f t="shared" si="58"/>
        <v>8.4665226781857452</v>
      </c>
      <c r="P171">
        <f t="shared" si="59"/>
        <v>42</v>
      </c>
      <c r="Q171">
        <f t="shared" si="60"/>
        <v>160</v>
      </c>
      <c r="R171">
        <f t="shared" si="61"/>
        <v>110.4</v>
      </c>
      <c r="S171">
        <f t="shared" si="62"/>
        <v>9.6</v>
      </c>
      <c r="T171">
        <f>I171*E171/'[1]Inverter Analysis'!$L$2</f>
        <v>96.618963080342311</v>
      </c>
      <c r="U171">
        <f t="shared" si="63"/>
        <v>666.66666666666663</v>
      </c>
      <c r="V171">
        <f t="shared" si="64"/>
        <v>724.63768115942025</v>
      </c>
      <c r="W171">
        <f t="shared" si="65"/>
        <v>476.1904761904762</v>
      </c>
      <c r="X171">
        <f t="shared" si="66"/>
        <v>2.1003990758244062</v>
      </c>
      <c r="Y171">
        <f t="shared" si="67"/>
        <v>0.26661600000000002</v>
      </c>
      <c r="Z171">
        <f t="shared" si="68"/>
        <v>29.405587061541688</v>
      </c>
    </row>
    <row r="172" spans="1:26">
      <c r="A172">
        <v>13</v>
      </c>
      <c r="B172">
        <v>2</v>
      </c>
      <c r="C172" s="9">
        <v>6</v>
      </c>
      <c r="D172">
        <f t="shared" si="47"/>
        <v>280</v>
      </c>
      <c r="E172">
        <f t="shared" si="48"/>
        <v>120</v>
      </c>
      <c r="F172">
        <f t="shared" si="49"/>
        <v>10.92</v>
      </c>
      <c r="G172">
        <f t="shared" si="50"/>
        <v>0.15600000000000003</v>
      </c>
      <c r="H172">
        <f t="shared" si="51"/>
        <v>39.311999999999998</v>
      </c>
      <c r="I172">
        <f t="shared" si="52"/>
        <v>327.60000000000002</v>
      </c>
      <c r="J172">
        <f t="shared" si="53"/>
        <v>234</v>
      </c>
      <c r="K172">
        <f t="shared" si="54"/>
        <v>28.08</v>
      </c>
      <c r="L172">
        <f t="shared" si="55"/>
        <v>3.2583096</v>
      </c>
      <c r="M172">
        <f t="shared" si="56"/>
        <v>3.1528224000000007</v>
      </c>
      <c r="N172">
        <f t="shared" si="57"/>
        <v>2.2999832470588237</v>
      </c>
      <c r="O172">
        <f t="shared" si="58"/>
        <v>2.8221742260619149</v>
      </c>
      <c r="P172">
        <f t="shared" si="59"/>
        <v>54.6</v>
      </c>
      <c r="Q172">
        <f t="shared" si="60"/>
        <v>156</v>
      </c>
      <c r="R172">
        <f t="shared" si="61"/>
        <v>215.28</v>
      </c>
      <c r="S172">
        <f t="shared" si="62"/>
        <v>18.720000000000002</v>
      </c>
      <c r="T172">
        <f>I172*E172/'[1]Inverter Analysis'!$L$2</f>
        <v>94.203489003333758</v>
      </c>
      <c r="U172">
        <f t="shared" si="63"/>
        <v>341.88034188034186</v>
      </c>
      <c r="V172">
        <f t="shared" si="64"/>
        <v>371.60906726124119</v>
      </c>
      <c r="W172">
        <f t="shared" si="65"/>
        <v>244.20024420024419</v>
      </c>
      <c r="X172">
        <f t="shared" si="66"/>
        <v>0.55237319548307873</v>
      </c>
      <c r="Y172">
        <f t="shared" si="67"/>
        <v>0.98846215650000002</v>
      </c>
      <c r="Z172">
        <f t="shared" si="68"/>
        <v>7.7332247367631011</v>
      </c>
    </row>
    <row r="173" spans="1:26">
      <c r="A173">
        <v>13</v>
      </c>
      <c r="B173">
        <v>3</v>
      </c>
      <c r="C173" s="9">
        <v>4</v>
      </c>
      <c r="D173">
        <f t="shared" si="47"/>
        <v>420</v>
      </c>
      <c r="E173">
        <f t="shared" si="48"/>
        <v>180</v>
      </c>
      <c r="F173">
        <f t="shared" si="49"/>
        <v>10.92</v>
      </c>
      <c r="G173">
        <f t="shared" si="50"/>
        <v>6.933333333333333E-2</v>
      </c>
      <c r="H173">
        <f t="shared" si="51"/>
        <v>39.311999999999998</v>
      </c>
      <c r="I173">
        <f t="shared" si="52"/>
        <v>218.4</v>
      </c>
      <c r="J173">
        <f t="shared" si="53"/>
        <v>156</v>
      </c>
      <c r="K173">
        <f t="shared" si="54"/>
        <v>28.08</v>
      </c>
      <c r="L173">
        <f t="shared" si="55"/>
        <v>3.2583096</v>
      </c>
      <c r="M173">
        <f t="shared" si="56"/>
        <v>3.1528223999999998</v>
      </c>
      <c r="N173">
        <f t="shared" si="57"/>
        <v>2.2999832470588237</v>
      </c>
      <c r="O173">
        <f t="shared" si="58"/>
        <v>6.3498920086393085</v>
      </c>
      <c r="P173">
        <f t="shared" si="59"/>
        <v>54.6</v>
      </c>
      <c r="Q173">
        <f t="shared" si="60"/>
        <v>156</v>
      </c>
      <c r="R173">
        <f t="shared" si="61"/>
        <v>143.52000000000001</v>
      </c>
      <c r="S173">
        <f t="shared" si="62"/>
        <v>12.479999999999999</v>
      </c>
      <c r="T173">
        <f>I173*E173/'[1]Inverter Analysis'!$L$2</f>
        <v>94.203489003333758</v>
      </c>
      <c r="U173">
        <f t="shared" si="63"/>
        <v>512.82051282051282</v>
      </c>
      <c r="V173">
        <f t="shared" si="64"/>
        <v>557.41360089186173</v>
      </c>
      <c r="W173">
        <f t="shared" si="65"/>
        <v>366.30036630036631</v>
      </c>
      <c r="X173">
        <f t="shared" si="66"/>
        <v>1.2428396898369269</v>
      </c>
      <c r="Y173">
        <f t="shared" si="67"/>
        <v>0.43931651399999999</v>
      </c>
      <c r="Z173">
        <f t="shared" si="68"/>
        <v>17.399755657716977</v>
      </c>
    </row>
    <row r="174" spans="1:26">
      <c r="A174">
        <v>11</v>
      </c>
      <c r="B174">
        <v>2</v>
      </c>
      <c r="C174" s="9">
        <v>7</v>
      </c>
      <c r="D174">
        <f t="shared" si="47"/>
        <v>280</v>
      </c>
      <c r="E174">
        <f t="shared" si="48"/>
        <v>120</v>
      </c>
      <c r="F174">
        <f t="shared" si="49"/>
        <v>10.78</v>
      </c>
      <c r="G174">
        <f t="shared" si="50"/>
        <v>0.154</v>
      </c>
      <c r="H174">
        <f t="shared" si="51"/>
        <v>38.808000000000007</v>
      </c>
      <c r="I174">
        <f t="shared" si="52"/>
        <v>323.40000000000003</v>
      </c>
      <c r="J174">
        <f t="shared" si="53"/>
        <v>231</v>
      </c>
      <c r="K174">
        <f t="shared" si="54"/>
        <v>27.72</v>
      </c>
      <c r="L174">
        <f t="shared" si="55"/>
        <v>3.2165364000000003</v>
      </c>
      <c r="M174">
        <f t="shared" si="56"/>
        <v>3.1124016000000005</v>
      </c>
      <c r="N174">
        <f t="shared" si="57"/>
        <v>2.2704962823529415</v>
      </c>
      <c r="O174">
        <f t="shared" si="58"/>
        <v>2.4190064794816415</v>
      </c>
      <c r="P174">
        <f t="shared" si="59"/>
        <v>46.2</v>
      </c>
      <c r="Q174">
        <f t="shared" si="60"/>
        <v>154</v>
      </c>
      <c r="R174">
        <f t="shared" si="61"/>
        <v>212.52</v>
      </c>
      <c r="S174">
        <f t="shared" si="62"/>
        <v>18.48</v>
      </c>
      <c r="T174">
        <f>I174*E174/'[1]Inverter Analysis'!$L$2</f>
        <v>92.995751964829495</v>
      </c>
      <c r="U174">
        <f t="shared" si="63"/>
        <v>346.32034632034635</v>
      </c>
      <c r="V174">
        <f t="shared" si="64"/>
        <v>376.4351590438547</v>
      </c>
      <c r="W174">
        <f t="shared" si="65"/>
        <v>247.37167594310449</v>
      </c>
      <c r="X174">
        <f t="shared" si="66"/>
        <v>0.56681371585748863</v>
      </c>
      <c r="Y174">
        <f t="shared" si="67"/>
        <v>0.95092970568750002</v>
      </c>
      <c r="Z174">
        <f t="shared" si="68"/>
        <v>7.9353920220048408</v>
      </c>
    </row>
    <row r="175" spans="1:26">
      <c r="A175">
        <v>10</v>
      </c>
      <c r="B175">
        <v>3</v>
      </c>
      <c r="C175" s="9">
        <v>5</v>
      </c>
      <c r="D175">
        <f t="shared" si="47"/>
        <v>420</v>
      </c>
      <c r="E175">
        <f t="shared" si="48"/>
        <v>180</v>
      </c>
      <c r="F175">
        <f t="shared" si="49"/>
        <v>10.5</v>
      </c>
      <c r="G175">
        <f t="shared" si="50"/>
        <v>6.6666666666666666E-2</v>
      </c>
      <c r="H175">
        <f t="shared" si="51"/>
        <v>37.799999999999997</v>
      </c>
      <c r="I175">
        <f t="shared" si="52"/>
        <v>210</v>
      </c>
      <c r="J175">
        <f t="shared" si="53"/>
        <v>150</v>
      </c>
      <c r="K175">
        <f t="shared" si="54"/>
        <v>27</v>
      </c>
      <c r="L175">
        <f t="shared" si="55"/>
        <v>3.1329899999999999</v>
      </c>
      <c r="M175">
        <f t="shared" si="56"/>
        <v>3.0315600000000003</v>
      </c>
      <c r="N175">
        <f t="shared" si="57"/>
        <v>2.2115223529411767</v>
      </c>
      <c r="O175">
        <f t="shared" si="58"/>
        <v>5.0799136069114468</v>
      </c>
      <c r="P175">
        <f t="shared" si="59"/>
        <v>42</v>
      </c>
      <c r="Q175">
        <f t="shared" si="60"/>
        <v>150</v>
      </c>
      <c r="R175">
        <f t="shared" si="61"/>
        <v>138</v>
      </c>
      <c r="S175">
        <f t="shared" si="62"/>
        <v>12</v>
      </c>
      <c r="T175">
        <f>I175*E175/'[1]Inverter Analysis'!$L$2</f>
        <v>90.580277887820912</v>
      </c>
      <c r="U175">
        <f t="shared" si="63"/>
        <v>533.33333333333337</v>
      </c>
      <c r="V175">
        <f t="shared" si="64"/>
        <v>579.71014492753625</v>
      </c>
      <c r="W175">
        <f t="shared" si="65"/>
        <v>380.95238095238096</v>
      </c>
      <c r="X175">
        <f t="shared" si="66"/>
        <v>1.3442554085276204</v>
      </c>
      <c r="Y175">
        <f t="shared" si="67"/>
        <v>0.39055078124999998</v>
      </c>
      <c r="Z175">
        <f t="shared" si="68"/>
        <v>18.819575719386684</v>
      </c>
    </row>
    <row r="176" spans="1:26">
      <c r="A176">
        <v>15</v>
      </c>
      <c r="B176">
        <v>2</v>
      </c>
      <c r="C176" s="9">
        <v>5</v>
      </c>
      <c r="D176">
        <f t="shared" si="47"/>
        <v>280</v>
      </c>
      <c r="E176">
        <f t="shared" si="48"/>
        <v>120</v>
      </c>
      <c r="F176">
        <f t="shared" si="49"/>
        <v>10.5</v>
      </c>
      <c r="G176">
        <f t="shared" si="50"/>
        <v>0.15</v>
      </c>
      <c r="H176">
        <f t="shared" si="51"/>
        <v>37.799999999999997</v>
      </c>
      <c r="I176">
        <f t="shared" si="52"/>
        <v>315</v>
      </c>
      <c r="J176">
        <f t="shared" si="53"/>
        <v>225</v>
      </c>
      <c r="K176">
        <f t="shared" si="54"/>
        <v>27</v>
      </c>
      <c r="L176">
        <f t="shared" si="55"/>
        <v>3.1329899999999999</v>
      </c>
      <c r="M176">
        <f t="shared" si="56"/>
        <v>3.0315600000000003</v>
      </c>
      <c r="N176">
        <f t="shared" si="57"/>
        <v>2.2115223529411767</v>
      </c>
      <c r="O176">
        <f t="shared" si="58"/>
        <v>3.386609071274298</v>
      </c>
      <c r="P176">
        <f t="shared" si="59"/>
        <v>63</v>
      </c>
      <c r="Q176">
        <f t="shared" si="60"/>
        <v>150</v>
      </c>
      <c r="R176">
        <f t="shared" si="61"/>
        <v>207</v>
      </c>
      <c r="S176">
        <f t="shared" si="62"/>
        <v>18</v>
      </c>
      <c r="T176">
        <f>I176*E176/'[1]Inverter Analysis'!$L$2</f>
        <v>90.580277887820912</v>
      </c>
      <c r="U176">
        <f t="shared" si="63"/>
        <v>355.55555555555554</v>
      </c>
      <c r="V176">
        <f t="shared" si="64"/>
        <v>386.47342995169083</v>
      </c>
      <c r="W176">
        <f t="shared" si="65"/>
        <v>253.96825396825398</v>
      </c>
      <c r="X176">
        <f t="shared" si="66"/>
        <v>0.5974468482344979</v>
      </c>
      <c r="Y176">
        <f t="shared" si="67"/>
        <v>0.87873925781249995</v>
      </c>
      <c r="Z176">
        <f t="shared" si="68"/>
        <v>8.3642558752829697</v>
      </c>
    </row>
    <row r="177" spans="1:26">
      <c r="A177">
        <v>12</v>
      </c>
      <c r="B177">
        <v>2</v>
      </c>
      <c r="C177" s="9">
        <v>6</v>
      </c>
      <c r="D177">
        <f t="shared" si="47"/>
        <v>280</v>
      </c>
      <c r="E177">
        <f t="shared" si="48"/>
        <v>120</v>
      </c>
      <c r="F177">
        <f t="shared" si="49"/>
        <v>10.08</v>
      </c>
      <c r="G177">
        <f t="shared" si="50"/>
        <v>0.14400000000000002</v>
      </c>
      <c r="H177">
        <f t="shared" si="51"/>
        <v>36.288000000000004</v>
      </c>
      <c r="I177">
        <f t="shared" si="52"/>
        <v>302.40000000000003</v>
      </c>
      <c r="J177">
        <f t="shared" si="53"/>
        <v>216</v>
      </c>
      <c r="K177">
        <f t="shared" si="54"/>
        <v>25.92</v>
      </c>
      <c r="L177">
        <f t="shared" si="55"/>
        <v>3.0076704000000003</v>
      </c>
      <c r="M177">
        <f t="shared" si="56"/>
        <v>2.9102976000000003</v>
      </c>
      <c r="N177">
        <f t="shared" si="57"/>
        <v>2.1230614588235297</v>
      </c>
      <c r="O177">
        <f t="shared" si="58"/>
        <v>2.8221742260619149</v>
      </c>
      <c r="P177">
        <f t="shared" si="59"/>
        <v>50.400000000000006</v>
      </c>
      <c r="Q177">
        <f t="shared" si="60"/>
        <v>144</v>
      </c>
      <c r="R177">
        <f t="shared" si="61"/>
        <v>198.72</v>
      </c>
      <c r="S177">
        <f t="shared" si="62"/>
        <v>17.28</v>
      </c>
      <c r="T177">
        <f>I177*E177/'[1]Inverter Analysis'!$L$2</f>
        <v>86.957066772308096</v>
      </c>
      <c r="U177">
        <f t="shared" si="63"/>
        <v>370.37037037037038</v>
      </c>
      <c r="V177">
        <f t="shared" si="64"/>
        <v>402.57648953301128</v>
      </c>
      <c r="W177">
        <f t="shared" si="65"/>
        <v>264.5502645502645</v>
      </c>
      <c r="X177">
        <f t="shared" si="66"/>
        <v>0.64827131969889107</v>
      </c>
      <c r="Y177">
        <f t="shared" si="67"/>
        <v>0.77745225599999979</v>
      </c>
      <c r="Z177">
        <f t="shared" si="68"/>
        <v>9.0757984757844756</v>
      </c>
    </row>
    <row r="178" spans="1:26">
      <c r="A178">
        <v>12</v>
      </c>
      <c r="B178">
        <v>3</v>
      </c>
      <c r="C178" s="9">
        <v>4</v>
      </c>
      <c r="D178">
        <f t="shared" si="47"/>
        <v>420</v>
      </c>
      <c r="E178">
        <f t="shared" si="48"/>
        <v>180</v>
      </c>
      <c r="F178">
        <f t="shared" si="49"/>
        <v>10.08</v>
      </c>
      <c r="G178">
        <f t="shared" si="50"/>
        <v>6.4000000000000001E-2</v>
      </c>
      <c r="H178">
        <f t="shared" si="51"/>
        <v>36.288000000000004</v>
      </c>
      <c r="I178">
        <f t="shared" si="52"/>
        <v>201.60000000000002</v>
      </c>
      <c r="J178">
        <f t="shared" si="53"/>
        <v>144</v>
      </c>
      <c r="K178">
        <f t="shared" si="54"/>
        <v>25.92</v>
      </c>
      <c r="L178">
        <f t="shared" si="55"/>
        <v>3.0076703999999999</v>
      </c>
      <c r="M178">
        <f t="shared" si="56"/>
        <v>2.9102976000000003</v>
      </c>
      <c r="N178">
        <f t="shared" si="57"/>
        <v>2.1230614588235293</v>
      </c>
      <c r="O178">
        <f t="shared" si="58"/>
        <v>6.3498920086393085</v>
      </c>
      <c r="P178">
        <f t="shared" si="59"/>
        <v>50.400000000000006</v>
      </c>
      <c r="Q178">
        <f t="shared" si="60"/>
        <v>144</v>
      </c>
      <c r="R178">
        <f t="shared" si="61"/>
        <v>132.47999999999999</v>
      </c>
      <c r="S178">
        <f t="shared" si="62"/>
        <v>11.52</v>
      </c>
      <c r="T178">
        <f>I178*E178/'[1]Inverter Analysis'!$L$2</f>
        <v>86.957066772308096</v>
      </c>
      <c r="U178">
        <f t="shared" si="63"/>
        <v>555.55555555555554</v>
      </c>
      <c r="V178">
        <f t="shared" si="64"/>
        <v>603.86473429951695</v>
      </c>
      <c r="W178">
        <f t="shared" si="65"/>
        <v>396.82539682539681</v>
      </c>
      <c r="X178">
        <f t="shared" si="66"/>
        <v>1.458610469322505</v>
      </c>
      <c r="Y178">
        <f t="shared" si="67"/>
        <v>0.34553433599999989</v>
      </c>
      <c r="Z178">
        <f t="shared" si="68"/>
        <v>20.420546570515071</v>
      </c>
    </row>
    <row r="179" spans="1:26">
      <c r="A179">
        <v>10</v>
      </c>
      <c r="B179">
        <v>2</v>
      </c>
      <c r="C179" s="9">
        <v>7</v>
      </c>
      <c r="D179">
        <f t="shared" si="47"/>
        <v>280</v>
      </c>
      <c r="E179">
        <f t="shared" si="48"/>
        <v>120</v>
      </c>
      <c r="F179">
        <f t="shared" si="49"/>
        <v>9.8000000000000007</v>
      </c>
      <c r="G179">
        <f t="shared" si="50"/>
        <v>0.14000000000000001</v>
      </c>
      <c r="H179">
        <f t="shared" si="51"/>
        <v>35.28</v>
      </c>
      <c r="I179">
        <f t="shared" si="52"/>
        <v>294</v>
      </c>
      <c r="J179">
        <f t="shared" si="53"/>
        <v>210</v>
      </c>
      <c r="K179">
        <f t="shared" si="54"/>
        <v>25.2</v>
      </c>
      <c r="L179">
        <f t="shared" si="55"/>
        <v>2.9241239999999999</v>
      </c>
      <c r="M179">
        <f t="shared" si="56"/>
        <v>2.829456</v>
      </c>
      <c r="N179">
        <f t="shared" si="57"/>
        <v>2.0640875294117649</v>
      </c>
      <c r="O179">
        <f t="shared" si="58"/>
        <v>2.4190064794816415</v>
      </c>
      <c r="P179">
        <f t="shared" si="59"/>
        <v>42</v>
      </c>
      <c r="Q179">
        <f t="shared" si="60"/>
        <v>140</v>
      </c>
      <c r="R179">
        <f t="shared" si="61"/>
        <v>193.2</v>
      </c>
      <c r="S179">
        <f t="shared" si="62"/>
        <v>16.8</v>
      </c>
      <c r="T179">
        <f>I179*E179/'[1]Inverter Analysis'!$L$2</f>
        <v>84.541592695299528</v>
      </c>
      <c r="U179">
        <f t="shared" si="63"/>
        <v>380.95238095238096</v>
      </c>
      <c r="V179">
        <f t="shared" si="64"/>
        <v>414.07867494824018</v>
      </c>
      <c r="W179">
        <f t="shared" si="65"/>
        <v>272.10884353741494</v>
      </c>
      <c r="X179">
        <f t="shared" si="66"/>
        <v>0.68584459618756133</v>
      </c>
      <c r="Y179">
        <f t="shared" si="67"/>
        <v>0.71444756250000008</v>
      </c>
      <c r="Z179">
        <f t="shared" si="68"/>
        <v>9.6018243466258575</v>
      </c>
    </row>
    <row r="180" spans="1:26">
      <c r="A180">
        <v>14</v>
      </c>
      <c r="B180">
        <v>2</v>
      </c>
      <c r="C180" s="9">
        <v>5</v>
      </c>
      <c r="D180">
        <f t="shared" si="47"/>
        <v>280</v>
      </c>
      <c r="E180">
        <f t="shared" si="48"/>
        <v>120</v>
      </c>
      <c r="F180">
        <f t="shared" si="49"/>
        <v>9.8000000000000007</v>
      </c>
      <c r="G180">
        <f t="shared" si="50"/>
        <v>0.14000000000000001</v>
      </c>
      <c r="H180">
        <f t="shared" si="51"/>
        <v>35.28</v>
      </c>
      <c r="I180">
        <f t="shared" si="52"/>
        <v>294</v>
      </c>
      <c r="J180">
        <f t="shared" si="53"/>
        <v>210</v>
      </c>
      <c r="K180">
        <f t="shared" si="54"/>
        <v>25.2</v>
      </c>
      <c r="L180">
        <f t="shared" si="55"/>
        <v>2.9241239999999999</v>
      </c>
      <c r="M180">
        <f t="shared" si="56"/>
        <v>2.829456</v>
      </c>
      <c r="N180">
        <f t="shared" si="57"/>
        <v>2.0640875294117649</v>
      </c>
      <c r="O180">
        <f t="shared" si="58"/>
        <v>3.386609071274298</v>
      </c>
      <c r="P180">
        <f t="shared" si="59"/>
        <v>58.8</v>
      </c>
      <c r="Q180">
        <f t="shared" si="60"/>
        <v>140</v>
      </c>
      <c r="R180">
        <f t="shared" si="61"/>
        <v>193.2</v>
      </c>
      <c r="S180">
        <f t="shared" si="62"/>
        <v>16.8</v>
      </c>
      <c r="T180">
        <f>I180*E180/'[1]Inverter Analysis'!$L$2</f>
        <v>84.541592695299528</v>
      </c>
      <c r="U180">
        <f t="shared" si="63"/>
        <v>380.95238095238096</v>
      </c>
      <c r="V180">
        <f t="shared" si="64"/>
        <v>414.07867494824018</v>
      </c>
      <c r="W180">
        <f t="shared" si="65"/>
        <v>272.10884353741494</v>
      </c>
      <c r="X180">
        <f t="shared" si="66"/>
        <v>0.68584459618756133</v>
      </c>
      <c r="Y180">
        <f t="shared" si="67"/>
        <v>0.71444756250000008</v>
      </c>
      <c r="Z180">
        <f t="shared" si="68"/>
        <v>9.6018243466258575</v>
      </c>
    </row>
    <row r="181" spans="1:26">
      <c r="A181">
        <v>11</v>
      </c>
      <c r="B181">
        <v>2</v>
      </c>
      <c r="C181" s="9">
        <v>6</v>
      </c>
      <c r="D181">
        <f t="shared" si="47"/>
        <v>280</v>
      </c>
      <c r="E181">
        <f t="shared" si="48"/>
        <v>120</v>
      </c>
      <c r="F181">
        <f t="shared" si="49"/>
        <v>9.24</v>
      </c>
      <c r="G181">
        <f t="shared" si="50"/>
        <v>0.13200000000000001</v>
      </c>
      <c r="H181">
        <f t="shared" si="51"/>
        <v>33.264000000000003</v>
      </c>
      <c r="I181">
        <f t="shared" si="52"/>
        <v>277.2</v>
      </c>
      <c r="J181">
        <f t="shared" si="53"/>
        <v>198</v>
      </c>
      <c r="K181">
        <f t="shared" si="54"/>
        <v>23.76</v>
      </c>
      <c r="L181">
        <f t="shared" si="55"/>
        <v>2.7570311999999997</v>
      </c>
      <c r="M181">
        <f t="shared" si="56"/>
        <v>2.6677728000000003</v>
      </c>
      <c r="N181">
        <f t="shared" si="57"/>
        <v>1.9461396705882352</v>
      </c>
      <c r="O181">
        <f t="shared" si="58"/>
        <v>2.8221742260619149</v>
      </c>
      <c r="P181">
        <f t="shared" si="59"/>
        <v>46.199999999999996</v>
      </c>
      <c r="Q181">
        <f t="shared" si="60"/>
        <v>132</v>
      </c>
      <c r="R181">
        <f t="shared" si="61"/>
        <v>182.16</v>
      </c>
      <c r="S181">
        <f t="shared" si="62"/>
        <v>15.84</v>
      </c>
      <c r="T181">
        <f>I181*E181/'[1]Inverter Analysis'!$L$2</f>
        <v>79.710644541282406</v>
      </c>
      <c r="U181">
        <f t="shared" si="63"/>
        <v>404.04040404040404</v>
      </c>
      <c r="V181">
        <f t="shared" si="64"/>
        <v>439.17435221783046</v>
      </c>
      <c r="W181">
        <f t="shared" si="65"/>
        <v>288.60028860028859</v>
      </c>
      <c r="X181">
        <f t="shared" si="66"/>
        <v>0.77149644658380401</v>
      </c>
      <c r="Y181">
        <f t="shared" si="67"/>
        <v>0.59883619950000011</v>
      </c>
      <c r="Z181">
        <f t="shared" si="68"/>
        <v>10.800950252173255</v>
      </c>
    </row>
    <row r="182" spans="1:26">
      <c r="A182">
        <v>11</v>
      </c>
      <c r="B182">
        <v>3</v>
      </c>
      <c r="C182" s="9">
        <v>4</v>
      </c>
      <c r="D182">
        <f t="shared" si="47"/>
        <v>420</v>
      </c>
      <c r="E182">
        <f t="shared" si="48"/>
        <v>180</v>
      </c>
      <c r="F182">
        <f t="shared" si="49"/>
        <v>9.24</v>
      </c>
      <c r="G182">
        <f t="shared" si="50"/>
        <v>5.8666666666666666E-2</v>
      </c>
      <c r="H182">
        <f t="shared" si="51"/>
        <v>33.264000000000003</v>
      </c>
      <c r="I182">
        <f t="shared" si="52"/>
        <v>184.8</v>
      </c>
      <c r="J182">
        <f t="shared" si="53"/>
        <v>132</v>
      </c>
      <c r="K182">
        <f t="shared" si="54"/>
        <v>23.76</v>
      </c>
      <c r="L182">
        <f t="shared" si="55"/>
        <v>2.7570311999999997</v>
      </c>
      <c r="M182">
        <f t="shared" si="56"/>
        <v>2.6677728000000007</v>
      </c>
      <c r="N182">
        <f t="shared" si="57"/>
        <v>1.9461396705882352</v>
      </c>
      <c r="O182">
        <f t="shared" si="58"/>
        <v>6.3498920086393085</v>
      </c>
      <c r="P182">
        <f t="shared" si="59"/>
        <v>46.2</v>
      </c>
      <c r="Q182">
        <f t="shared" si="60"/>
        <v>132</v>
      </c>
      <c r="R182">
        <f t="shared" si="61"/>
        <v>121.44</v>
      </c>
      <c r="S182">
        <f t="shared" si="62"/>
        <v>10.56</v>
      </c>
      <c r="T182">
        <f>I182*E182/'[1]Inverter Analysis'!$L$2</f>
        <v>79.710644541282406</v>
      </c>
      <c r="U182">
        <f t="shared" si="63"/>
        <v>606.06060606060601</v>
      </c>
      <c r="V182">
        <f t="shared" si="64"/>
        <v>658.76152832674575</v>
      </c>
      <c r="W182">
        <f t="shared" si="65"/>
        <v>432.90043290043286</v>
      </c>
      <c r="X182">
        <f t="shared" si="66"/>
        <v>1.7358670048135594</v>
      </c>
      <c r="Y182">
        <f t="shared" si="67"/>
        <v>0.26614942199999997</v>
      </c>
      <c r="Z182">
        <f t="shared" si="68"/>
        <v>24.302138067389834</v>
      </c>
    </row>
    <row r="183" spans="1:26">
      <c r="A183">
        <v>13</v>
      </c>
      <c r="B183">
        <v>2</v>
      </c>
      <c r="C183" s="9">
        <v>5</v>
      </c>
      <c r="D183">
        <f t="shared" si="47"/>
        <v>280</v>
      </c>
      <c r="E183">
        <f t="shared" si="48"/>
        <v>120</v>
      </c>
      <c r="F183">
        <f t="shared" si="49"/>
        <v>9.1</v>
      </c>
      <c r="G183">
        <f t="shared" si="50"/>
        <v>0.13</v>
      </c>
      <c r="H183">
        <f t="shared" si="51"/>
        <v>32.76</v>
      </c>
      <c r="I183">
        <f t="shared" si="52"/>
        <v>273</v>
      </c>
      <c r="J183">
        <f t="shared" si="53"/>
        <v>195</v>
      </c>
      <c r="K183">
        <f t="shared" si="54"/>
        <v>23.4</v>
      </c>
      <c r="L183">
        <f t="shared" si="55"/>
        <v>2.7152579999999999</v>
      </c>
      <c r="M183">
        <f t="shared" si="56"/>
        <v>2.6273520000000001</v>
      </c>
      <c r="N183">
        <f t="shared" si="57"/>
        <v>1.916652705882353</v>
      </c>
      <c r="O183">
        <f t="shared" si="58"/>
        <v>3.386609071274298</v>
      </c>
      <c r="P183">
        <f t="shared" si="59"/>
        <v>54.6</v>
      </c>
      <c r="Q183">
        <f t="shared" si="60"/>
        <v>130</v>
      </c>
      <c r="R183">
        <f t="shared" si="61"/>
        <v>179.4</v>
      </c>
      <c r="S183">
        <f t="shared" si="62"/>
        <v>15.600000000000001</v>
      </c>
      <c r="T183">
        <f>I183*E183/'[1]Inverter Analysis'!$L$2</f>
        <v>78.502907502778129</v>
      </c>
      <c r="U183">
        <f t="shared" si="63"/>
        <v>410.25641025641028</v>
      </c>
      <c r="V183">
        <f t="shared" si="64"/>
        <v>445.93088071348939</v>
      </c>
      <c r="W183">
        <f t="shared" si="65"/>
        <v>293.04029304029302</v>
      </c>
      <c r="X183">
        <f t="shared" si="66"/>
        <v>0.79541740149563311</v>
      </c>
      <c r="Y183">
        <f t="shared" si="67"/>
        <v>0.57202671093750013</v>
      </c>
      <c r="Z183">
        <f t="shared" si="68"/>
        <v>11.135843620938864</v>
      </c>
    </row>
    <row r="184" spans="1:26">
      <c r="A184">
        <v>16</v>
      </c>
      <c r="B184">
        <v>2</v>
      </c>
      <c r="C184" s="9">
        <v>4</v>
      </c>
      <c r="D184">
        <f t="shared" si="47"/>
        <v>280</v>
      </c>
      <c r="E184">
        <f t="shared" si="48"/>
        <v>120</v>
      </c>
      <c r="F184">
        <f t="shared" si="49"/>
        <v>8.9600000000000009</v>
      </c>
      <c r="G184">
        <f t="shared" si="50"/>
        <v>0.128</v>
      </c>
      <c r="H184">
        <f t="shared" si="51"/>
        <v>32.256</v>
      </c>
      <c r="I184">
        <f t="shared" si="52"/>
        <v>268.8</v>
      </c>
      <c r="J184">
        <f t="shared" si="53"/>
        <v>192</v>
      </c>
      <c r="K184">
        <f t="shared" si="54"/>
        <v>23.04</v>
      </c>
      <c r="L184">
        <f t="shared" si="55"/>
        <v>2.6734848000000002</v>
      </c>
      <c r="M184">
        <f t="shared" si="56"/>
        <v>2.5869312000000004</v>
      </c>
      <c r="N184">
        <f t="shared" si="57"/>
        <v>1.8871657411764708</v>
      </c>
      <c r="O184">
        <f t="shared" si="58"/>
        <v>4.2332613390928726</v>
      </c>
      <c r="P184">
        <f t="shared" si="59"/>
        <v>67.2</v>
      </c>
      <c r="Q184">
        <f t="shared" si="60"/>
        <v>128</v>
      </c>
      <c r="R184">
        <f t="shared" si="61"/>
        <v>176.64</v>
      </c>
      <c r="S184">
        <f t="shared" si="62"/>
        <v>15.36</v>
      </c>
      <c r="T184">
        <f>I184*E184/'[1]Inverter Analysis'!$L$2</f>
        <v>77.295170464273852</v>
      </c>
      <c r="U184">
        <f t="shared" si="63"/>
        <v>416.66666666666669</v>
      </c>
      <c r="V184">
        <f t="shared" si="64"/>
        <v>452.89855072463774</v>
      </c>
      <c r="W184">
        <f t="shared" si="65"/>
        <v>297.61904761904759</v>
      </c>
      <c r="X184">
        <f t="shared" si="66"/>
        <v>0.82046838899390917</v>
      </c>
      <c r="Y184">
        <f t="shared" si="67"/>
        <v>0.5460295679999998</v>
      </c>
      <c r="Z184">
        <f t="shared" si="68"/>
        <v>11.486557445914729</v>
      </c>
    </row>
    <row r="185" spans="1:26">
      <c r="A185">
        <v>10</v>
      </c>
      <c r="B185">
        <v>2</v>
      </c>
      <c r="C185" s="9">
        <v>6</v>
      </c>
      <c r="D185">
        <f t="shared" si="47"/>
        <v>280</v>
      </c>
      <c r="E185">
        <f t="shared" si="48"/>
        <v>120</v>
      </c>
      <c r="F185">
        <f t="shared" si="49"/>
        <v>8.4</v>
      </c>
      <c r="G185">
        <f t="shared" si="50"/>
        <v>0.12</v>
      </c>
      <c r="H185">
        <f t="shared" si="51"/>
        <v>30.24</v>
      </c>
      <c r="I185">
        <f t="shared" si="52"/>
        <v>252</v>
      </c>
      <c r="J185">
        <f t="shared" si="53"/>
        <v>180</v>
      </c>
      <c r="K185">
        <f t="shared" si="54"/>
        <v>21.6</v>
      </c>
      <c r="L185">
        <f t="shared" si="55"/>
        <v>2.506392</v>
      </c>
      <c r="M185">
        <f t="shared" si="56"/>
        <v>2.4252479999999998</v>
      </c>
      <c r="N185">
        <f t="shared" si="57"/>
        <v>1.7692178823529412</v>
      </c>
      <c r="O185">
        <f t="shared" si="58"/>
        <v>2.8221742260619149</v>
      </c>
      <c r="P185">
        <f t="shared" si="59"/>
        <v>42</v>
      </c>
      <c r="Q185">
        <f t="shared" si="60"/>
        <v>120</v>
      </c>
      <c r="R185">
        <f t="shared" si="61"/>
        <v>165.6</v>
      </c>
      <c r="S185">
        <f t="shared" si="62"/>
        <v>14.399999999999999</v>
      </c>
      <c r="T185">
        <f>I185*E185/'[1]Inverter Analysis'!$L$2</f>
        <v>72.46422231025673</v>
      </c>
      <c r="U185">
        <f t="shared" si="63"/>
        <v>444.44444444444446</v>
      </c>
      <c r="V185">
        <f t="shared" si="64"/>
        <v>483.09178743961354</v>
      </c>
      <c r="W185">
        <f t="shared" si="65"/>
        <v>317.46031746031747</v>
      </c>
      <c r="X185">
        <f t="shared" si="66"/>
        <v>0.93351070036640293</v>
      </c>
      <c r="Y185">
        <f t="shared" si="67"/>
        <v>0.44991449999999999</v>
      </c>
      <c r="Z185">
        <f t="shared" si="68"/>
        <v>13.069149805129642</v>
      </c>
    </row>
    <row r="186" spans="1:26">
      <c r="A186">
        <v>12</v>
      </c>
      <c r="B186">
        <v>2</v>
      </c>
      <c r="C186" s="9">
        <v>5</v>
      </c>
      <c r="D186">
        <f t="shared" si="47"/>
        <v>280</v>
      </c>
      <c r="E186">
        <f t="shared" si="48"/>
        <v>120</v>
      </c>
      <c r="F186">
        <f t="shared" si="49"/>
        <v>8.4</v>
      </c>
      <c r="G186">
        <f t="shared" si="50"/>
        <v>0.12</v>
      </c>
      <c r="H186">
        <f t="shared" si="51"/>
        <v>30.24</v>
      </c>
      <c r="I186">
        <f t="shared" si="52"/>
        <v>252</v>
      </c>
      <c r="J186">
        <f t="shared" si="53"/>
        <v>180</v>
      </c>
      <c r="K186">
        <f t="shared" si="54"/>
        <v>21.6</v>
      </c>
      <c r="L186">
        <f t="shared" si="55"/>
        <v>2.506392</v>
      </c>
      <c r="M186">
        <f t="shared" si="56"/>
        <v>2.4252479999999998</v>
      </c>
      <c r="N186">
        <f t="shared" si="57"/>
        <v>1.7692178823529412</v>
      </c>
      <c r="O186">
        <f t="shared" si="58"/>
        <v>3.386609071274298</v>
      </c>
      <c r="P186">
        <f t="shared" si="59"/>
        <v>50.4</v>
      </c>
      <c r="Q186">
        <f t="shared" si="60"/>
        <v>120</v>
      </c>
      <c r="R186">
        <f t="shared" si="61"/>
        <v>165.6</v>
      </c>
      <c r="S186">
        <f t="shared" si="62"/>
        <v>14.399999999999999</v>
      </c>
      <c r="T186">
        <f>I186*E186/'[1]Inverter Analysis'!$L$2</f>
        <v>72.46422231025673</v>
      </c>
      <c r="U186">
        <f t="shared" si="63"/>
        <v>444.44444444444446</v>
      </c>
      <c r="V186">
        <f t="shared" si="64"/>
        <v>483.09178743961354</v>
      </c>
      <c r="W186">
        <f t="shared" si="65"/>
        <v>317.46031746031747</v>
      </c>
      <c r="X186">
        <f t="shared" si="66"/>
        <v>0.93351070036640293</v>
      </c>
      <c r="Y186">
        <f t="shared" si="67"/>
        <v>0.44991449999999999</v>
      </c>
      <c r="Z186">
        <f t="shared" si="68"/>
        <v>13.069149805129642</v>
      </c>
    </row>
    <row r="187" spans="1:26">
      <c r="A187">
        <v>10</v>
      </c>
      <c r="B187">
        <v>3</v>
      </c>
      <c r="C187" s="9">
        <v>4</v>
      </c>
      <c r="D187">
        <f t="shared" si="47"/>
        <v>420</v>
      </c>
      <c r="E187">
        <f t="shared" si="48"/>
        <v>180</v>
      </c>
      <c r="F187">
        <f t="shared" si="49"/>
        <v>8.4</v>
      </c>
      <c r="G187">
        <f t="shared" si="50"/>
        <v>5.333333333333333E-2</v>
      </c>
      <c r="H187">
        <f t="shared" si="51"/>
        <v>30.24</v>
      </c>
      <c r="I187">
        <f t="shared" si="52"/>
        <v>168</v>
      </c>
      <c r="J187">
        <f t="shared" si="53"/>
        <v>120</v>
      </c>
      <c r="K187">
        <f t="shared" si="54"/>
        <v>21.6</v>
      </c>
      <c r="L187">
        <f t="shared" si="55"/>
        <v>2.506392</v>
      </c>
      <c r="M187">
        <f t="shared" si="56"/>
        <v>2.4252479999999998</v>
      </c>
      <c r="N187">
        <f t="shared" si="57"/>
        <v>1.7692178823529412</v>
      </c>
      <c r="O187">
        <f t="shared" si="58"/>
        <v>6.3498920086393085</v>
      </c>
      <c r="P187">
        <f t="shared" si="59"/>
        <v>42</v>
      </c>
      <c r="Q187">
        <f t="shared" si="60"/>
        <v>120</v>
      </c>
      <c r="R187">
        <f t="shared" si="61"/>
        <v>110.4</v>
      </c>
      <c r="S187">
        <f t="shared" si="62"/>
        <v>9.6</v>
      </c>
      <c r="T187">
        <f>I187*E187/'[1]Inverter Analysis'!$L$2</f>
        <v>72.46422231025673</v>
      </c>
      <c r="U187">
        <f t="shared" si="63"/>
        <v>666.66666666666663</v>
      </c>
      <c r="V187">
        <f t="shared" si="64"/>
        <v>724.63768115942025</v>
      </c>
      <c r="W187">
        <f t="shared" si="65"/>
        <v>476.1904761904762</v>
      </c>
      <c r="X187">
        <f t="shared" si="66"/>
        <v>2.1003990758244062</v>
      </c>
      <c r="Y187">
        <f t="shared" si="67"/>
        <v>0.19996200000000003</v>
      </c>
      <c r="Z187">
        <f t="shared" si="68"/>
        <v>29.405587061541691</v>
      </c>
    </row>
    <row r="188" spans="1:26">
      <c r="A188">
        <v>15</v>
      </c>
      <c r="B188">
        <v>2</v>
      </c>
      <c r="C188" s="9">
        <v>4</v>
      </c>
      <c r="D188">
        <f t="shared" si="47"/>
        <v>280</v>
      </c>
      <c r="E188">
        <f t="shared" si="48"/>
        <v>120</v>
      </c>
      <c r="F188">
        <f t="shared" si="49"/>
        <v>8.4</v>
      </c>
      <c r="G188">
        <f t="shared" si="50"/>
        <v>0.12</v>
      </c>
      <c r="H188">
        <f t="shared" si="51"/>
        <v>30.24</v>
      </c>
      <c r="I188">
        <f t="shared" si="52"/>
        <v>252</v>
      </c>
      <c r="J188">
        <f t="shared" si="53"/>
        <v>180</v>
      </c>
      <c r="K188">
        <f t="shared" si="54"/>
        <v>21.6</v>
      </c>
      <c r="L188">
        <f t="shared" si="55"/>
        <v>2.506392</v>
      </c>
      <c r="M188">
        <f t="shared" si="56"/>
        <v>2.4252479999999998</v>
      </c>
      <c r="N188">
        <f t="shared" si="57"/>
        <v>1.7692178823529412</v>
      </c>
      <c r="O188">
        <f t="shared" si="58"/>
        <v>4.2332613390928726</v>
      </c>
      <c r="P188">
        <f t="shared" si="59"/>
        <v>63</v>
      </c>
      <c r="Q188">
        <f t="shared" si="60"/>
        <v>120</v>
      </c>
      <c r="R188">
        <f t="shared" si="61"/>
        <v>165.6</v>
      </c>
      <c r="S188">
        <f t="shared" si="62"/>
        <v>14.399999999999999</v>
      </c>
      <c r="T188">
        <f>I188*E188/'[1]Inverter Analysis'!$L$2</f>
        <v>72.46422231025673</v>
      </c>
      <c r="U188">
        <f t="shared" si="63"/>
        <v>444.44444444444446</v>
      </c>
      <c r="V188">
        <f t="shared" si="64"/>
        <v>483.09178743961354</v>
      </c>
      <c r="W188">
        <f t="shared" si="65"/>
        <v>317.46031746031747</v>
      </c>
      <c r="X188">
        <f t="shared" si="66"/>
        <v>0.93351070036640293</v>
      </c>
      <c r="Y188">
        <f t="shared" si="67"/>
        <v>0.44991449999999999</v>
      </c>
      <c r="Z188">
        <f t="shared" si="68"/>
        <v>13.069149805129642</v>
      </c>
    </row>
    <row r="189" spans="1:26">
      <c r="A189">
        <v>14</v>
      </c>
      <c r="B189">
        <v>2</v>
      </c>
      <c r="C189" s="9">
        <v>4</v>
      </c>
      <c r="D189">
        <f t="shared" si="47"/>
        <v>280</v>
      </c>
      <c r="E189">
        <f t="shared" si="48"/>
        <v>120</v>
      </c>
      <c r="F189">
        <f t="shared" si="49"/>
        <v>7.84</v>
      </c>
      <c r="G189">
        <f t="shared" si="50"/>
        <v>0.112</v>
      </c>
      <c r="H189">
        <f t="shared" si="51"/>
        <v>28.224000000000004</v>
      </c>
      <c r="I189">
        <f t="shared" si="52"/>
        <v>235.20000000000002</v>
      </c>
      <c r="J189">
        <f t="shared" si="53"/>
        <v>168</v>
      </c>
      <c r="K189">
        <f t="shared" si="54"/>
        <v>20.16</v>
      </c>
      <c r="L189">
        <f t="shared" si="55"/>
        <v>2.3392992000000001</v>
      </c>
      <c r="M189">
        <f t="shared" si="56"/>
        <v>2.2635648000000002</v>
      </c>
      <c r="N189">
        <f t="shared" si="57"/>
        <v>1.651270023529412</v>
      </c>
      <c r="O189">
        <f t="shared" si="58"/>
        <v>4.2332613390928726</v>
      </c>
      <c r="P189">
        <f t="shared" si="59"/>
        <v>58.800000000000004</v>
      </c>
      <c r="Q189">
        <f t="shared" si="60"/>
        <v>112</v>
      </c>
      <c r="R189">
        <f t="shared" si="61"/>
        <v>154.56</v>
      </c>
      <c r="S189">
        <f t="shared" si="62"/>
        <v>13.44</v>
      </c>
      <c r="T189">
        <f>I189*E189/'[1]Inverter Analysis'!$L$2</f>
        <v>67.633274156239622</v>
      </c>
      <c r="U189">
        <f t="shared" si="63"/>
        <v>476.1904761904762</v>
      </c>
      <c r="V189">
        <f t="shared" si="64"/>
        <v>517.59834368530016</v>
      </c>
      <c r="W189">
        <f t="shared" si="65"/>
        <v>340.13605442176868</v>
      </c>
      <c r="X189">
        <f t="shared" si="66"/>
        <v>1.0716321815430645</v>
      </c>
      <c r="Y189">
        <f t="shared" si="67"/>
        <v>0.36579715200000007</v>
      </c>
      <c r="Z189">
        <f t="shared" si="68"/>
        <v>15.0028505416029</v>
      </c>
    </row>
    <row r="190" spans="1:26">
      <c r="A190">
        <v>11</v>
      </c>
      <c r="B190">
        <v>2</v>
      </c>
      <c r="C190" s="9">
        <v>5</v>
      </c>
      <c r="D190">
        <f t="shared" si="47"/>
        <v>280</v>
      </c>
      <c r="E190">
        <f t="shared" si="48"/>
        <v>120</v>
      </c>
      <c r="F190">
        <f t="shared" si="49"/>
        <v>7.7</v>
      </c>
      <c r="G190">
        <f t="shared" si="50"/>
        <v>0.10999999999999999</v>
      </c>
      <c r="H190">
        <f t="shared" si="51"/>
        <v>27.72</v>
      </c>
      <c r="I190">
        <f t="shared" si="52"/>
        <v>231</v>
      </c>
      <c r="J190">
        <f t="shared" si="53"/>
        <v>165</v>
      </c>
      <c r="K190">
        <f t="shared" si="54"/>
        <v>19.8</v>
      </c>
      <c r="L190">
        <f t="shared" si="55"/>
        <v>2.297526</v>
      </c>
      <c r="M190">
        <f t="shared" si="56"/>
        <v>2.2231440000000005</v>
      </c>
      <c r="N190">
        <f t="shared" si="57"/>
        <v>1.6217830588235296</v>
      </c>
      <c r="O190">
        <f t="shared" si="58"/>
        <v>3.386609071274298</v>
      </c>
      <c r="P190">
        <f t="shared" si="59"/>
        <v>46.2</v>
      </c>
      <c r="Q190">
        <f t="shared" si="60"/>
        <v>110</v>
      </c>
      <c r="R190">
        <f t="shared" si="61"/>
        <v>151.80000000000001</v>
      </c>
      <c r="S190">
        <f t="shared" si="62"/>
        <v>13.2</v>
      </c>
      <c r="T190">
        <f>I190*E190/'[1]Inverter Analysis'!$L$2</f>
        <v>66.425537117735345</v>
      </c>
      <c r="U190">
        <f t="shared" si="63"/>
        <v>484.84848484848487</v>
      </c>
      <c r="V190">
        <f t="shared" si="64"/>
        <v>527.00922266139651</v>
      </c>
      <c r="W190">
        <f t="shared" si="65"/>
        <v>346.32034632034635</v>
      </c>
      <c r="X190">
        <f t="shared" si="66"/>
        <v>1.1109548830806775</v>
      </c>
      <c r="Y190">
        <f t="shared" si="67"/>
        <v>0.34654872656250008</v>
      </c>
      <c r="Z190">
        <f t="shared" si="68"/>
        <v>15.553368363129486</v>
      </c>
    </row>
    <row r="191" spans="1:26">
      <c r="A191">
        <v>13</v>
      </c>
      <c r="B191">
        <v>2</v>
      </c>
      <c r="C191" s="9">
        <v>4</v>
      </c>
      <c r="D191">
        <f t="shared" si="47"/>
        <v>280</v>
      </c>
      <c r="E191">
        <f t="shared" si="48"/>
        <v>120</v>
      </c>
      <c r="F191">
        <f t="shared" si="49"/>
        <v>7.28</v>
      </c>
      <c r="G191">
        <f t="shared" si="50"/>
        <v>0.10400000000000001</v>
      </c>
      <c r="H191">
        <f t="shared" si="51"/>
        <v>26.207999999999998</v>
      </c>
      <c r="I191">
        <f t="shared" si="52"/>
        <v>218.4</v>
      </c>
      <c r="J191">
        <f t="shared" si="53"/>
        <v>156</v>
      </c>
      <c r="K191">
        <f t="shared" si="54"/>
        <v>18.72</v>
      </c>
      <c r="L191">
        <f t="shared" si="55"/>
        <v>2.1722063999999999</v>
      </c>
      <c r="M191">
        <f t="shared" si="56"/>
        <v>2.1018816</v>
      </c>
      <c r="N191">
        <f t="shared" si="57"/>
        <v>1.5333221647058823</v>
      </c>
      <c r="O191">
        <f t="shared" si="58"/>
        <v>4.2332613390928726</v>
      </c>
      <c r="P191">
        <f t="shared" si="59"/>
        <v>54.6</v>
      </c>
      <c r="Q191">
        <f t="shared" si="60"/>
        <v>104</v>
      </c>
      <c r="R191">
        <f t="shared" si="61"/>
        <v>143.52000000000001</v>
      </c>
      <c r="S191">
        <f t="shared" si="62"/>
        <v>12.48</v>
      </c>
      <c r="T191">
        <f>I191*E191/'[1]Inverter Analysis'!$L$2</f>
        <v>62.8023260022225</v>
      </c>
      <c r="U191">
        <f t="shared" si="63"/>
        <v>512.82051282051282</v>
      </c>
      <c r="V191">
        <f t="shared" si="64"/>
        <v>557.41360089186173</v>
      </c>
      <c r="W191">
        <f t="shared" si="65"/>
        <v>366.30036630036631</v>
      </c>
      <c r="X191">
        <f t="shared" si="66"/>
        <v>1.2428396898369269</v>
      </c>
      <c r="Y191">
        <f t="shared" si="67"/>
        <v>0.29287767600000003</v>
      </c>
      <c r="Z191">
        <f t="shared" si="68"/>
        <v>17.399755657716977</v>
      </c>
    </row>
    <row r="192" spans="1:26">
      <c r="A192">
        <v>10</v>
      </c>
      <c r="B192">
        <v>2</v>
      </c>
      <c r="C192" s="9">
        <v>5</v>
      </c>
      <c r="D192">
        <f t="shared" si="47"/>
        <v>280</v>
      </c>
      <c r="E192">
        <f t="shared" si="48"/>
        <v>120</v>
      </c>
      <c r="F192">
        <f t="shared" si="49"/>
        <v>7</v>
      </c>
      <c r="G192">
        <f t="shared" si="50"/>
        <v>0.1</v>
      </c>
      <c r="H192">
        <f t="shared" si="51"/>
        <v>25.2</v>
      </c>
      <c r="I192">
        <f t="shared" si="52"/>
        <v>210</v>
      </c>
      <c r="J192">
        <f t="shared" si="53"/>
        <v>150</v>
      </c>
      <c r="K192">
        <f t="shared" si="54"/>
        <v>18</v>
      </c>
      <c r="L192">
        <f t="shared" si="55"/>
        <v>2.08866</v>
      </c>
      <c r="M192">
        <f t="shared" si="56"/>
        <v>2.0210400000000002</v>
      </c>
      <c r="N192">
        <f t="shared" si="57"/>
        <v>1.4743482352941177</v>
      </c>
      <c r="O192">
        <f t="shared" si="58"/>
        <v>3.386609071274298</v>
      </c>
      <c r="P192">
        <f t="shared" si="59"/>
        <v>42</v>
      </c>
      <c r="Q192">
        <f t="shared" si="60"/>
        <v>100</v>
      </c>
      <c r="R192">
        <f t="shared" si="61"/>
        <v>138</v>
      </c>
      <c r="S192">
        <f t="shared" si="62"/>
        <v>12</v>
      </c>
      <c r="T192">
        <f>I192*E192/'[1]Inverter Analysis'!$L$2</f>
        <v>60.386851925213946</v>
      </c>
      <c r="U192">
        <f t="shared" si="63"/>
        <v>533.33333333333337</v>
      </c>
      <c r="V192">
        <f t="shared" si="64"/>
        <v>579.71014492753625</v>
      </c>
      <c r="W192">
        <f t="shared" si="65"/>
        <v>380.95238095238096</v>
      </c>
      <c r="X192">
        <f t="shared" si="66"/>
        <v>1.3442554085276204</v>
      </c>
      <c r="Y192">
        <f t="shared" si="67"/>
        <v>0.26036718749999999</v>
      </c>
      <c r="Z192">
        <f t="shared" si="68"/>
        <v>18.819575719386684</v>
      </c>
    </row>
    <row r="193" spans="1:26">
      <c r="A193">
        <v>12</v>
      </c>
      <c r="B193">
        <v>2</v>
      </c>
      <c r="C193" s="9">
        <v>4</v>
      </c>
      <c r="D193">
        <f t="shared" si="47"/>
        <v>280</v>
      </c>
      <c r="E193">
        <f t="shared" si="48"/>
        <v>120</v>
      </c>
      <c r="F193">
        <f t="shared" si="49"/>
        <v>6.72</v>
      </c>
      <c r="G193">
        <f t="shared" si="50"/>
        <v>9.6000000000000002E-2</v>
      </c>
      <c r="H193">
        <f t="shared" si="51"/>
        <v>24.192000000000004</v>
      </c>
      <c r="I193">
        <f t="shared" si="52"/>
        <v>201.60000000000002</v>
      </c>
      <c r="J193">
        <f t="shared" si="53"/>
        <v>144</v>
      </c>
      <c r="K193">
        <f t="shared" si="54"/>
        <v>17.28</v>
      </c>
      <c r="L193">
        <f t="shared" si="55"/>
        <v>2.0051136000000001</v>
      </c>
      <c r="M193">
        <f t="shared" si="56"/>
        <v>1.9401984000000003</v>
      </c>
      <c r="N193">
        <f t="shared" si="57"/>
        <v>1.4153743058823531</v>
      </c>
      <c r="O193">
        <f t="shared" si="58"/>
        <v>4.2332613390928726</v>
      </c>
      <c r="P193">
        <f t="shared" si="59"/>
        <v>50.400000000000006</v>
      </c>
      <c r="Q193">
        <f t="shared" si="60"/>
        <v>96</v>
      </c>
      <c r="R193">
        <f t="shared" si="61"/>
        <v>132.47999999999999</v>
      </c>
      <c r="S193">
        <f t="shared" si="62"/>
        <v>11.52</v>
      </c>
      <c r="T193">
        <f>I193*E193/'[1]Inverter Analysis'!$L$2</f>
        <v>57.9713778482054</v>
      </c>
      <c r="U193">
        <f t="shared" si="63"/>
        <v>555.55555555555554</v>
      </c>
      <c r="V193">
        <f t="shared" si="64"/>
        <v>603.86473429951695</v>
      </c>
      <c r="W193">
        <f t="shared" si="65"/>
        <v>396.82539682539681</v>
      </c>
      <c r="X193">
        <f t="shared" si="66"/>
        <v>1.458610469322505</v>
      </c>
      <c r="Y193">
        <f t="shared" si="67"/>
        <v>0.23035622399999994</v>
      </c>
      <c r="Z193">
        <f t="shared" si="68"/>
        <v>20.420546570515068</v>
      </c>
    </row>
    <row r="194" spans="1:26">
      <c r="A194">
        <v>11</v>
      </c>
      <c r="B194">
        <v>2</v>
      </c>
      <c r="C194" s="9">
        <v>4</v>
      </c>
      <c r="D194">
        <f t="shared" si="47"/>
        <v>280</v>
      </c>
      <c r="E194">
        <f t="shared" si="48"/>
        <v>120</v>
      </c>
      <c r="F194">
        <f t="shared" si="49"/>
        <v>6.16</v>
      </c>
      <c r="G194">
        <f t="shared" si="50"/>
        <v>8.7999999999999995E-2</v>
      </c>
      <c r="H194">
        <f t="shared" si="51"/>
        <v>22.175999999999998</v>
      </c>
      <c r="I194">
        <f t="shared" si="52"/>
        <v>184.8</v>
      </c>
      <c r="J194">
        <f t="shared" si="53"/>
        <v>132</v>
      </c>
      <c r="K194">
        <f t="shared" si="54"/>
        <v>15.84</v>
      </c>
      <c r="L194">
        <f t="shared" si="55"/>
        <v>1.8380208</v>
      </c>
      <c r="M194">
        <f t="shared" si="56"/>
        <v>1.7785152000000002</v>
      </c>
      <c r="N194">
        <f t="shared" si="57"/>
        <v>1.2974264470588237</v>
      </c>
      <c r="O194">
        <f t="shared" si="58"/>
        <v>4.2332613390928726</v>
      </c>
      <c r="P194">
        <f t="shared" si="59"/>
        <v>46.2</v>
      </c>
      <c r="Q194">
        <f t="shared" si="60"/>
        <v>88</v>
      </c>
      <c r="R194">
        <f t="shared" si="61"/>
        <v>121.44</v>
      </c>
      <c r="S194">
        <f t="shared" si="62"/>
        <v>10.559999999999999</v>
      </c>
      <c r="T194">
        <f>I194*E194/'[1]Inverter Analysis'!$L$2</f>
        <v>53.140429694188271</v>
      </c>
      <c r="U194">
        <f t="shared" si="63"/>
        <v>606.06060606060601</v>
      </c>
      <c r="V194">
        <f t="shared" si="64"/>
        <v>658.76152832674575</v>
      </c>
      <c r="W194">
        <f t="shared" si="65"/>
        <v>432.90043290043286</v>
      </c>
      <c r="X194">
        <f t="shared" si="66"/>
        <v>1.7358670048135594</v>
      </c>
      <c r="Y194">
        <f t="shared" si="67"/>
        <v>0.17743294800000001</v>
      </c>
      <c r="Z194">
        <f t="shared" si="68"/>
        <v>24.302138067389826</v>
      </c>
    </row>
    <row r="195" spans="1:26">
      <c r="A195">
        <v>10</v>
      </c>
      <c r="B195">
        <v>2</v>
      </c>
      <c r="C195" s="9">
        <v>4</v>
      </c>
      <c r="D195">
        <f t="shared" si="47"/>
        <v>280</v>
      </c>
      <c r="E195">
        <f t="shared" si="48"/>
        <v>120</v>
      </c>
      <c r="F195">
        <f t="shared" si="49"/>
        <v>5.6</v>
      </c>
      <c r="G195">
        <f t="shared" si="50"/>
        <v>0.08</v>
      </c>
      <c r="H195">
        <f t="shared" si="51"/>
        <v>20.16</v>
      </c>
      <c r="I195">
        <f t="shared" si="52"/>
        <v>168</v>
      </c>
      <c r="J195">
        <f t="shared" si="53"/>
        <v>120</v>
      </c>
      <c r="K195">
        <f t="shared" si="54"/>
        <v>14.4</v>
      </c>
      <c r="L195">
        <f t="shared" si="55"/>
        <v>1.670928</v>
      </c>
      <c r="M195">
        <f t="shared" si="56"/>
        <v>1.616832</v>
      </c>
      <c r="N195">
        <f t="shared" si="57"/>
        <v>1.1794785882352943</v>
      </c>
      <c r="O195">
        <f t="shared" si="58"/>
        <v>4.2332613390928726</v>
      </c>
      <c r="P195">
        <f t="shared" si="59"/>
        <v>42</v>
      </c>
      <c r="Q195">
        <f t="shared" si="60"/>
        <v>80</v>
      </c>
      <c r="R195">
        <f t="shared" si="61"/>
        <v>110.4</v>
      </c>
      <c r="S195">
        <f t="shared" si="62"/>
        <v>9.6</v>
      </c>
      <c r="T195">
        <f>I195*E195/'[1]Inverter Analysis'!$L$2</f>
        <v>48.309481540171156</v>
      </c>
      <c r="U195">
        <f t="shared" si="63"/>
        <v>666.66666666666663</v>
      </c>
      <c r="V195">
        <f t="shared" si="64"/>
        <v>724.63768115942025</v>
      </c>
      <c r="W195">
        <f t="shared" si="65"/>
        <v>476.1904761904762</v>
      </c>
      <c r="X195">
        <f t="shared" si="66"/>
        <v>2.1003990758244062</v>
      </c>
      <c r="Y195">
        <f t="shared" si="67"/>
        <v>0.13330800000000001</v>
      </c>
      <c r="Z195">
        <f t="shared" si="68"/>
        <v>29.405587061541688</v>
      </c>
    </row>
    <row r="196" spans="1:26">
      <c r="D196">
        <f t="shared" si="47"/>
        <v>0</v>
      </c>
      <c r="E196">
        <f t="shared" si="48"/>
        <v>0</v>
      </c>
      <c r="F196">
        <f t="shared" si="49"/>
        <v>0</v>
      </c>
      <c r="G196" t="e">
        <f t="shared" si="50"/>
        <v>#DIV/0!</v>
      </c>
      <c r="H196">
        <f t="shared" si="51"/>
        <v>0</v>
      </c>
      <c r="I196">
        <f t="shared" si="52"/>
        <v>0</v>
      </c>
      <c r="J196">
        <f t="shared" si="53"/>
        <v>0</v>
      </c>
      <c r="K196">
        <f t="shared" si="54"/>
        <v>0</v>
      </c>
      <c r="L196">
        <f t="shared" si="55"/>
        <v>0</v>
      </c>
      <c r="M196">
        <f t="shared" si="56"/>
        <v>0</v>
      </c>
      <c r="N196">
        <f t="shared" si="57"/>
        <v>0</v>
      </c>
      <c r="O196" t="e">
        <f t="shared" si="58"/>
        <v>#DIV/0!</v>
      </c>
      <c r="P196" t="e">
        <f t="shared" si="59"/>
        <v>#DIV/0!</v>
      </c>
      <c r="Q196">
        <f t="shared" si="60"/>
        <v>0</v>
      </c>
      <c r="R196" t="e">
        <f t="shared" si="61"/>
        <v>#DIV/0!</v>
      </c>
      <c r="S196" t="e">
        <f t="shared" si="62"/>
        <v>#DIV/0!</v>
      </c>
      <c r="T196">
        <f>I196*E196/'[1]Inverter Analysis'!$L$2</f>
        <v>0</v>
      </c>
      <c r="U196" t="e">
        <f t="shared" si="63"/>
        <v>#DIV/0!</v>
      </c>
      <c r="V196" t="e">
        <f t="shared" si="64"/>
        <v>#DIV/0!</v>
      </c>
      <c r="W196" t="e">
        <f t="shared" si="65"/>
        <v>#DIV/0!</v>
      </c>
      <c r="X196" t="e">
        <f t="shared" si="66"/>
        <v>#DIV/0!</v>
      </c>
      <c r="Y196" t="e">
        <f t="shared" si="67"/>
        <v>#DIV/0!</v>
      </c>
      <c r="Z196" t="e">
        <f t="shared" si="68"/>
        <v>#DIV/0!</v>
      </c>
    </row>
    <row r="197" spans="1:26">
      <c r="D197">
        <f t="shared" si="47"/>
        <v>0</v>
      </c>
      <c r="E197">
        <f t="shared" si="48"/>
        <v>0</v>
      </c>
      <c r="F197">
        <f t="shared" si="49"/>
        <v>0</v>
      </c>
      <c r="G197" t="e">
        <f t="shared" si="50"/>
        <v>#DIV/0!</v>
      </c>
      <c r="H197">
        <f t="shared" si="51"/>
        <v>0</v>
      </c>
      <c r="I197">
        <f t="shared" si="52"/>
        <v>0</v>
      </c>
      <c r="J197">
        <f t="shared" si="53"/>
        <v>0</v>
      </c>
      <c r="K197">
        <f t="shared" si="54"/>
        <v>0</v>
      </c>
      <c r="L197">
        <f t="shared" si="55"/>
        <v>0</v>
      </c>
      <c r="M197">
        <f t="shared" si="56"/>
        <v>0</v>
      </c>
      <c r="N197">
        <f t="shared" si="57"/>
        <v>0</v>
      </c>
      <c r="O197" t="e">
        <f t="shared" si="58"/>
        <v>#DIV/0!</v>
      </c>
      <c r="P197" t="e">
        <f t="shared" si="59"/>
        <v>#DIV/0!</v>
      </c>
      <c r="Q197">
        <f t="shared" si="60"/>
        <v>0</v>
      </c>
      <c r="R197" t="e">
        <f t="shared" si="61"/>
        <v>#DIV/0!</v>
      </c>
      <c r="S197" t="e">
        <f t="shared" si="62"/>
        <v>#DIV/0!</v>
      </c>
      <c r="T197">
        <f>I197*E197/'[1]Inverter Analysis'!$L$2</f>
        <v>0</v>
      </c>
      <c r="U197" t="e">
        <f t="shared" si="63"/>
        <v>#DIV/0!</v>
      </c>
      <c r="V197" t="e">
        <f t="shared" si="64"/>
        <v>#DIV/0!</v>
      </c>
      <c r="W197" t="e">
        <f t="shared" si="65"/>
        <v>#DIV/0!</v>
      </c>
      <c r="X197" t="e">
        <f t="shared" si="66"/>
        <v>#DIV/0!</v>
      </c>
      <c r="Y197" t="e">
        <f t="shared" si="67"/>
        <v>#DIV/0!</v>
      </c>
      <c r="Z197" t="e">
        <f t="shared" si="68"/>
        <v>#DIV/0!</v>
      </c>
    </row>
    <row r="198" spans="1:26">
      <c r="D198">
        <f t="shared" si="47"/>
        <v>0</v>
      </c>
      <c r="E198">
        <f t="shared" si="48"/>
        <v>0</v>
      </c>
      <c r="F198">
        <f t="shared" si="49"/>
        <v>0</v>
      </c>
      <c r="G198" t="e">
        <f t="shared" si="50"/>
        <v>#DIV/0!</v>
      </c>
      <c r="H198">
        <f t="shared" si="51"/>
        <v>0</v>
      </c>
      <c r="I198">
        <f t="shared" si="52"/>
        <v>0</v>
      </c>
      <c r="J198">
        <f t="shared" si="53"/>
        <v>0</v>
      </c>
      <c r="K198">
        <f t="shared" si="54"/>
        <v>0</v>
      </c>
      <c r="L198">
        <f t="shared" si="55"/>
        <v>0</v>
      </c>
      <c r="M198">
        <f t="shared" si="56"/>
        <v>0</v>
      </c>
      <c r="N198">
        <f t="shared" si="57"/>
        <v>0</v>
      </c>
      <c r="O198" t="e">
        <f t="shared" si="58"/>
        <v>#DIV/0!</v>
      </c>
      <c r="P198" t="e">
        <f t="shared" si="59"/>
        <v>#DIV/0!</v>
      </c>
      <c r="Q198">
        <f t="shared" si="60"/>
        <v>0</v>
      </c>
      <c r="R198" t="e">
        <f t="shared" si="61"/>
        <v>#DIV/0!</v>
      </c>
      <c r="S198" t="e">
        <f t="shared" si="62"/>
        <v>#DIV/0!</v>
      </c>
      <c r="T198">
        <f>I198*E198/'[1]Inverter Analysis'!$L$2</f>
        <v>0</v>
      </c>
      <c r="U198" t="e">
        <f t="shared" si="63"/>
        <v>#DIV/0!</v>
      </c>
      <c r="V198" t="e">
        <f t="shared" si="64"/>
        <v>#DIV/0!</v>
      </c>
      <c r="W198" t="e">
        <f t="shared" si="65"/>
        <v>#DIV/0!</v>
      </c>
      <c r="X198" t="e">
        <f t="shared" si="66"/>
        <v>#DIV/0!</v>
      </c>
      <c r="Y198" t="e">
        <f t="shared" si="67"/>
        <v>#DIV/0!</v>
      </c>
      <c r="Z198" t="e">
        <f t="shared" si="68"/>
        <v>#DIV/0!</v>
      </c>
    </row>
    <row r="199" spans="1:26">
      <c r="D199">
        <f t="shared" ref="D199:D250" si="69">B199*$J$3</f>
        <v>0</v>
      </c>
      <c r="E199">
        <f t="shared" ref="E199:E250" si="70">B199*$I$3</f>
        <v>0</v>
      </c>
      <c r="F199">
        <f t="shared" ref="F199:F250" si="71">A199*B199*C199*$Q$3/1000</f>
        <v>0</v>
      </c>
      <c r="G199" t="e">
        <f t="shared" ref="G199:G250" si="72">((B199*$R$3^(-1))^(-1))*A199*C199</f>
        <v>#DIV/0!</v>
      </c>
      <c r="H199">
        <f t="shared" ref="H199:H250" si="73">E199*I199/1000</f>
        <v>0</v>
      </c>
      <c r="I199">
        <f t="shared" ref="I199:I250" si="74">A199*C199*4.2</f>
        <v>0</v>
      </c>
      <c r="J199">
        <f t="shared" ref="J199:J250" si="75">C199*A199*$K$3</f>
        <v>0</v>
      </c>
      <c r="K199">
        <f t="shared" ref="K199:K250" si="76">E199*J199/1000</f>
        <v>0</v>
      </c>
      <c r="L199">
        <f t="shared" ref="L199:L250" si="77">$O$3/1000*I199*B199/1000</f>
        <v>0</v>
      </c>
      <c r="M199">
        <f t="shared" ref="M199:M250" si="78">$P$3/1000*I199*B199/1000</f>
        <v>0</v>
      </c>
      <c r="N199">
        <f t="shared" ref="N199:N250" si="79">L199*(($L$3-$K$3)/($L$3-$M$3))</f>
        <v>0</v>
      </c>
      <c r="O199" t="e">
        <f t="shared" ref="O199:O250" si="80">$H$3/1000*B199*$I$7/277.8/C199</f>
        <v>#DIV/0!</v>
      </c>
      <c r="P199" t="e">
        <f t="shared" ref="P199:P250" si="81">I199/C199</f>
        <v>#DIV/0!</v>
      </c>
      <c r="Q199">
        <f t="shared" ref="Q199:Q250" si="82">(A199*B199*C199)</f>
        <v>0</v>
      </c>
      <c r="R199" t="e">
        <f t="shared" ref="R199:R250" si="83">J199-(G199*E199)</f>
        <v>#DIV/0!</v>
      </c>
      <c r="S199" t="e">
        <f t="shared" ref="S199:S250" si="84">G199*E199</f>
        <v>#DIV/0!</v>
      </c>
      <c r="T199">
        <f>I199*E199/'[1]Inverter Analysis'!$L$2</f>
        <v>0</v>
      </c>
      <c r="U199" t="e">
        <f t="shared" ref="U199:U250" si="85">80000/J199</f>
        <v>#DIV/0!</v>
      </c>
      <c r="V199" t="e">
        <f t="shared" ref="V199:V250" si="86">80000/R199</f>
        <v>#DIV/0!</v>
      </c>
      <c r="W199" t="e">
        <f t="shared" si="65"/>
        <v>#DIV/0!</v>
      </c>
      <c r="X199" t="e">
        <f t="shared" si="66"/>
        <v>#DIV/0!</v>
      </c>
      <c r="Y199" t="e">
        <f t="shared" si="67"/>
        <v>#DIV/0!</v>
      </c>
      <c r="Z199" t="e">
        <f t="shared" si="68"/>
        <v>#DIV/0!</v>
      </c>
    </row>
    <row r="200" spans="1:26">
      <c r="D200">
        <f t="shared" si="69"/>
        <v>0</v>
      </c>
      <c r="E200">
        <f t="shared" si="70"/>
        <v>0</v>
      </c>
      <c r="F200">
        <f t="shared" si="71"/>
        <v>0</v>
      </c>
      <c r="G200" t="e">
        <f t="shared" si="72"/>
        <v>#DIV/0!</v>
      </c>
      <c r="H200">
        <f t="shared" si="73"/>
        <v>0</v>
      </c>
      <c r="I200">
        <f t="shared" si="74"/>
        <v>0</v>
      </c>
      <c r="J200">
        <f t="shared" si="75"/>
        <v>0</v>
      </c>
      <c r="K200">
        <f t="shared" si="76"/>
        <v>0</v>
      </c>
      <c r="L200">
        <f t="shared" si="77"/>
        <v>0</v>
      </c>
      <c r="M200">
        <f t="shared" si="78"/>
        <v>0</v>
      </c>
      <c r="N200">
        <f t="shared" si="79"/>
        <v>0</v>
      </c>
      <c r="O200" t="e">
        <f t="shared" si="80"/>
        <v>#DIV/0!</v>
      </c>
      <c r="P200" t="e">
        <f t="shared" si="81"/>
        <v>#DIV/0!</v>
      </c>
      <c r="Q200">
        <f t="shared" si="82"/>
        <v>0</v>
      </c>
      <c r="R200" t="e">
        <f t="shared" si="83"/>
        <v>#DIV/0!</v>
      </c>
      <c r="S200" t="e">
        <f t="shared" si="84"/>
        <v>#DIV/0!</v>
      </c>
      <c r="T200">
        <f>I200*E200/'[1]Inverter Analysis'!$L$2</f>
        <v>0</v>
      </c>
      <c r="U200" t="e">
        <f t="shared" si="85"/>
        <v>#DIV/0!</v>
      </c>
      <c r="V200" t="e">
        <f t="shared" si="86"/>
        <v>#DIV/0!</v>
      </c>
      <c r="W200" t="e">
        <f t="shared" ref="W200:W250" si="87">80000/I200</f>
        <v>#DIV/0!</v>
      </c>
      <c r="X200" t="e">
        <f t="shared" si="66"/>
        <v>#DIV/0!</v>
      </c>
      <c r="Y200" t="e">
        <f t="shared" si="67"/>
        <v>#DIV/0!</v>
      </c>
      <c r="Z200" t="e">
        <f t="shared" si="68"/>
        <v>#DIV/0!</v>
      </c>
    </row>
    <row r="201" spans="1:26">
      <c r="D201">
        <f t="shared" si="69"/>
        <v>0</v>
      </c>
      <c r="E201">
        <f t="shared" si="70"/>
        <v>0</v>
      </c>
      <c r="F201">
        <f t="shared" si="71"/>
        <v>0</v>
      </c>
      <c r="G201" t="e">
        <f t="shared" si="72"/>
        <v>#DIV/0!</v>
      </c>
      <c r="H201">
        <f t="shared" si="73"/>
        <v>0</v>
      </c>
      <c r="I201">
        <f t="shared" si="74"/>
        <v>0</v>
      </c>
      <c r="J201">
        <f t="shared" si="75"/>
        <v>0</v>
      </c>
      <c r="K201">
        <f t="shared" si="76"/>
        <v>0</v>
      </c>
      <c r="L201">
        <f t="shared" si="77"/>
        <v>0</v>
      </c>
      <c r="M201">
        <f t="shared" si="78"/>
        <v>0</v>
      </c>
      <c r="N201">
        <f t="shared" si="79"/>
        <v>0</v>
      </c>
      <c r="O201" t="e">
        <f t="shared" si="80"/>
        <v>#DIV/0!</v>
      </c>
      <c r="P201" t="e">
        <f t="shared" si="81"/>
        <v>#DIV/0!</v>
      </c>
      <c r="Q201">
        <f t="shared" si="82"/>
        <v>0</v>
      </c>
      <c r="R201" t="e">
        <f t="shared" si="83"/>
        <v>#DIV/0!</v>
      </c>
      <c r="S201" t="e">
        <f t="shared" si="84"/>
        <v>#DIV/0!</v>
      </c>
      <c r="T201">
        <f>I201*E201/'[1]Inverter Analysis'!$L$2</f>
        <v>0</v>
      </c>
      <c r="U201" t="e">
        <f t="shared" si="85"/>
        <v>#DIV/0!</v>
      </c>
      <c r="V201" t="e">
        <f t="shared" si="86"/>
        <v>#DIV/0!</v>
      </c>
      <c r="W201" t="e">
        <f t="shared" si="87"/>
        <v>#DIV/0!</v>
      </c>
      <c r="X201" t="e">
        <f t="shared" si="66"/>
        <v>#DIV/0!</v>
      </c>
      <c r="Y201" t="e">
        <f t="shared" si="67"/>
        <v>#DIV/0!</v>
      </c>
      <c r="Z201" t="e">
        <f t="shared" si="68"/>
        <v>#DIV/0!</v>
      </c>
    </row>
    <row r="202" spans="1:26">
      <c r="D202">
        <f t="shared" si="69"/>
        <v>0</v>
      </c>
      <c r="E202">
        <f t="shared" si="70"/>
        <v>0</v>
      </c>
      <c r="F202">
        <f t="shared" si="71"/>
        <v>0</v>
      </c>
      <c r="G202" t="e">
        <f t="shared" si="72"/>
        <v>#DIV/0!</v>
      </c>
      <c r="H202">
        <f t="shared" si="73"/>
        <v>0</v>
      </c>
      <c r="I202">
        <f t="shared" si="74"/>
        <v>0</v>
      </c>
      <c r="J202">
        <f t="shared" si="75"/>
        <v>0</v>
      </c>
      <c r="K202">
        <f t="shared" si="76"/>
        <v>0</v>
      </c>
      <c r="L202">
        <f t="shared" si="77"/>
        <v>0</v>
      </c>
      <c r="M202">
        <f t="shared" si="78"/>
        <v>0</v>
      </c>
      <c r="N202">
        <f t="shared" si="79"/>
        <v>0</v>
      </c>
      <c r="O202" t="e">
        <f t="shared" si="80"/>
        <v>#DIV/0!</v>
      </c>
      <c r="P202" t="e">
        <f t="shared" si="81"/>
        <v>#DIV/0!</v>
      </c>
      <c r="Q202">
        <f t="shared" si="82"/>
        <v>0</v>
      </c>
      <c r="R202" t="e">
        <f t="shared" si="83"/>
        <v>#DIV/0!</v>
      </c>
      <c r="S202" t="e">
        <f t="shared" si="84"/>
        <v>#DIV/0!</v>
      </c>
      <c r="T202">
        <f>I202*E202/'[1]Inverter Analysis'!$L$2</f>
        <v>0</v>
      </c>
      <c r="U202" t="e">
        <f t="shared" si="85"/>
        <v>#DIV/0!</v>
      </c>
      <c r="V202" t="e">
        <f t="shared" si="86"/>
        <v>#DIV/0!</v>
      </c>
      <c r="W202" t="e">
        <f t="shared" si="87"/>
        <v>#DIV/0!</v>
      </c>
      <c r="X202" t="e">
        <f t="shared" si="66"/>
        <v>#DIV/0!</v>
      </c>
      <c r="Y202" t="e">
        <f t="shared" si="67"/>
        <v>#DIV/0!</v>
      </c>
      <c r="Z202" t="e">
        <f t="shared" si="68"/>
        <v>#DIV/0!</v>
      </c>
    </row>
    <row r="203" spans="1:26">
      <c r="D203">
        <f t="shared" si="69"/>
        <v>0</v>
      </c>
      <c r="E203">
        <f t="shared" si="70"/>
        <v>0</v>
      </c>
      <c r="F203">
        <f t="shared" si="71"/>
        <v>0</v>
      </c>
      <c r="G203" t="e">
        <f t="shared" si="72"/>
        <v>#DIV/0!</v>
      </c>
      <c r="H203">
        <f t="shared" si="73"/>
        <v>0</v>
      </c>
      <c r="I203">
        <f t="shared" si="74"/>
        <v>0</v>
      </c>
      <c r="J203">
        <f t="shared" si="75"/>
        <v>0</v>
      </c>
      <c r="K203">
        <f t="shared" si="76"/>
        <v>0</v>
      </c>
      <c r="L203">
        <f t="shared" si="77"/>
        <v>0</v>
      </c>
      <c r="M203">
        <f t="shared" si="78"/>
        <v>0</v>
      </c>
      <c r="N203">
        <f t="shared" si="79"/>
        <v>0</v>
      </c>
      <c r="O203" t="e">
        <f t="shared" si="80"/>
        <v>#DIV/0!</v>
      </c>
      <c r="P203" t="e">
        <f t="shared" si="81"/>
        <v>#DIV/0!</v>
      </c>
      <c r="Q203">
        <f t="shared" si="82"/>
        <v>0</v>
      </c>
      <c r="R203" t="e">
        <f t="shared" si="83"/>
        <v>#DIV/0!</v>
      </c>
      <c r="S203" t="e">
        <f t="shared" si="84"/>
        <v>#DIV/0!</v>
      </c>
      <c r="T203">
        <f>I203*E203/'[1]Inverter Analysis'!$L$2</f>
        <v>0</v>
      </c>
      <c r="U203" t="e">
        <f t="shared" si="85"/>
        <v>#DIV/0!</v>
      </c>
      <c r="V203" t="e">
        <f t="shared" si="86"/>
        <v>#DIV/0!</v>
      </c>
      <c r="W203" t="e">
        <f t="shared" si="87"/>
        <v>#DIV/0!</v>
      </c>
      <c r="X203" t="e">
        <f t="shared" si="66"/>
        <v>#DIV/0!</v>
      </c>
      <c r="Y203" t="e">
        <f t="shared" si="67"/>
        <v>#DIV/0!</v>
      </c>
      <c r="Z203" t="e">
        <f t="shared" si="68"/>
        <v>#DIV/0!</v>
      </c>
    </row>
    <row r="204" spans="1:26">
      <c r="D204">
        <f t="shared" si="69"/>
        <v>0</v>
      </c>
      <c r="E204">
        <f t="shared" si="70"/>
        <v>0</v>
      </c>
      <c r="F204">
        <f t="shared" si="71"/>
        <v>0</v>
      </c>
      <c r="G204" t="e">
        <f t="shared" si="72"/>
        <v>#DIV/0!</v>
      </c>
      <c r="H204">
        <f t="shared" si="73"/>
        <v>0</v>
      </c>
      <c r="I204">
        <f t="shared" si="74"/>
        <v>0</v>
      </c>
      <c r="J204">
        <f t="shared" si="75"/>
        <v>0</v>
      </c>
      <c r="K204">
        <f t="shared" si="76"/>
        <v>0</v>
      </c>
      <c r="L204">
        <f t="shared" si="77"/>
        <v>0</v>
      </c>
      <c r="M204">
        <f t="shared" si="78"/>
        <v>0</v>
      </c>
      <c r="N204">
        <f t="shared" si="79"/>
        <v>0</v>
      </c>
      <c r="O204" t="e">
        <f t="shared" si="80"/>
        <v>#DIV/0!</v>
      </c>
      <c r="P204" t="e">
        <f t="shared" si="81"/>
        <v>#DIV/0!</v>
      </c>
      <c r="Q204">
        <f t="shared" si="82"/>
        <v>0</v>
      </c>
      <c r="R204" t="e">
        <f t="shared" si="83"/>
        <v>#DIV/0!</v>
      </c>
      <c r="S204" t="e">
        <f t="shared" si="84"/>
        <v>#DIV/0!</v>
      </c>
      <c r="T204">
        <f>I204*E204/'[1]Inverter Analysis'!$L$2</f>
        <v>0</v>
      </c>
      <c r="U204" t="e">
        <f t="shared" si="85"/>
        <v>#DIV/0!</v>
      </c>
      <c r="V204" t="e">
        <f t="shared" si="86"/>
        <v>#DIV/0!</v>
      </c>
      <c r="W204" t="e">
        <f t="shared" si="87"/>
        <v>#DIV/0!</v>
      </c>
      <c r="X204" t="e">
        <f t="shared" ref="X204:X250" si="88">(MAX(U204:W204)^2)*$R$3/1000</f>
        <v>#DIV/0!</v>
      </c>
      <c r="Y204" t="e">
        <f t="shared" ref="Y204:Y250" si="89">($S$3*F204/(X204*1000))*10</f>
        <v>#DIV/0!</v>
      </c>
      <c r="Z204" t="e">
        <f t="shared" ref="Z204:Z250" si="90">($Q$3*F204/(Y204*1000))*10</f>
        <v>#DIV/0!</v>
      </c>
    </row>
    <row r="205" spans="1:26">
      <c r="D205">
        <f t="shared" si="69"/>
        <v>0</v>
      </c>
      <c r="E205">
        <f t="shared" si="70"/>
        <v>0</v>
      </c>
      <c r="F205">
        <f t="shared" si="71"/>
        <v>0</v>
      </c>
      <c r="G205" t="e">
        <f t="shared" si="72"/>
        <v>#DIV/0!</v>
      </c>
      <c r="H205">
        <f t="shared" si="73"/>
        <v>0</v>
      </c>
      <c r="I205">
        <f t="shared" si="74"/>
        <v>0</v>
      </c>
      <c r="J205">
        <f t="shared" si="75"/>
        <v>0</v>
      </c>
      <c r="K205">
        <f t="shared" si="76"/>
        <v>0</v>
      </c>
      <c r="L205">
        <f t="shared" si="77"/>
        <v>0</v>
      </c>
      <c r="M205">
        <f t="shared" si="78"/>
        <v>0</v>
      </c>
      <c r="N205">
        <f t="shared" si="79"/>
        <v>0</v>
      </c>
      <c r="O205" t="e">
        <f t="shared" si="80"/>
        <v>#DIV/0!</v>
      </c>
      <c r="P205" t="e">
        <f t="shared" si="81"/>
        <v>#DIV/0!</v>
      </c>
      <c r="Q205">
        <f t="shared" si="82"/>
        <v>0</v>
      </c>
      <c r="R205" t="e">
        <f t="shared" si="83"/>
        <v>#DIV/0!</v>
      </c>
      <c r="S205" t="e">
        <f t="shared" si="84"/>
        <v>#DIV/0!</v>
      </c>
      <c r="T205">
        <f>I205*E205/'[1]Inverter Analysis'!$L$2</f>
        <v>0</v>
      </c>
      <c r="U205" t="e">
        <f t="shared" si="85"/>
        <v>#DIV/0!</v>
      </c>
      <c r="V205" t="e">
        <f t="shared" si="86"/>
        <v>#DIV/0!</v>
      </c>
      <c r="W205" t="e">
        <f t="shared" si="87"/>
        <v>#DIV/0!</v>
      </c>
      <c r="X205" t="e">
        <f t="shared" si="88"/>
        <v>#DIV/0!</v>
      </c>
      <c r="Y205" t="e">
        <f t="shared" si="89"/>
        <v>#DIV/0!</v>
      </c>
      <c r="Z205" t="e">
        <f t="shared" si="90"/>
        <v>#DIV/0!</v>
      </c>
    </row>
    <row r="206" spans="1:26">
      <c r="D206">
        <f t="shared" si="69"/>
        <v>0</v>
      </c>
      <c r="E206">
        <f t="shared" si="70"/>
        <v>0</v>
      </c>
      <c r="F206">
        <f t="shared" si="71"/>
        <v>0</v>
      </c>
      <c r="G206" t="e">
        <f t="shared" si="72"/>
        <v>#DIV/0!</v>
      </c>
      <c r="H206">
        <f t="shared" si="73"/>
        <v>0</v>
      </c>
      <c r="I206">
        <f t="shared" si="74"/>
        <v>0</v>
      </c>
      <c r="J206">
        <f t="shared" si="75"/>
        <v>0</v>
      </c>
      <c r="K206">
        <f t="shared" si="76"/>
        <v>0</v>
      </c>
      <c r="L206">
        <f t="shared" si="77"/>
        <v>0</v>
      </c>
      <c r="M206">
        <f t="shared" si="78"/>
        <v>0</v>
      </c>
      <c r="N206">
        <f t="shared" si="79"/>
        <v>0</v>
      </c>
      <c r="O206" t="e">
        <f t="shared" si="80"/>
        <v>#DIV/0!</v>
      </c>
      <c r="P206" t="e">
        <f t="shared" si="81"/>
        <v>#DIV/0!</v>
      </c>
      <c r="Q206">
        <f t="shared" si="82"/>
        <v>0</v>
      </c>
      <c r="R206" t="e">
        <f t="shared" si="83"/>
        <v>#DIV/0!</v>
      </c>
      <c r="S206" t="e">
        <f t="shared" si="84"/>
        <v>#DIV/0!</v>
      </c>
      <c r="T206">
        <f>I206*E206/'[1]Inverter Analysis'!$L$2</f>
        <v>0</v>
      </c>
      <c r="U206" t="e">
        <f t="shared" si="85"/>
        <v>#DIV/0!</v>
      </c>
      <c r="V206" t="e">
        <f t="shared" si="86"/>
        <v>#DIV/0!</v>
      </c>
      <c r="W206" t="e">
        <f t="shared" si="87"/>
        <v>#DIV/0!</v>
      </c>
      <c r="X206" t="e">
        <f t="shared" si="88"/>
        <v>#DIV/0!</v>
      </c>
      <c r="Y206" t="e">
        <f t="shared" si="89"/>
        <v>#DIV/0!</v>
      </c>
      <c r="Z206" t="e">
        <f t="shared" si="90"/>
        <v>#DIV/0!</v>
      </c>
    </row>
    <row r="207" spans="1:26">
      <c r="D207">
        <f t="shared" si="69"/>
        <v>0</v>
      </c>
      <c r="E207">
        <f t="shared" si="70"/>
        <v>0</v>
      </c>
      <c r="F207">
        <f t="shared" si="71"/>
        <v>0</v>
      </c>
      <c r="G207" t="e">
        <f t="shared" si="72"/>
        <v>#DIV/0!</v>
      </c>
      <c r="H207">
        <f t="shared" si="73"/>
        <v>0</v>
      </c>
      <c r="I207">
        <f t="shared" si="74"/>
        <v>0</v>
      </c>
      <c r="J207">
        <f t="shared" si="75"/>
        <v>0</v>
      </c>
      <c r="K207">
        <f t="shared" si="76"/>
        <v>0</v>
      </c>
      <c r="L207">
        <f t="shared" si="77"/>
        <v>0</v>
      </c>
      <c r="M207">
        <f t="shared" si="78"/>
        <v>0</v>
      </c>
      <c r="N207">
        <f t="shared" si="79"/>
        <v>0</v>
      </c>
      <c r="O207" t="e">
        <f t="shared" si="80"/>
        <v>#DIV/0!</v>
      </c>
      <c r="P207" t="e">
        <f t="shared" si="81"/>
        <v>#DIV/0!</v>
      </c>
      <c r="Q207">
        <f t="shared" si="82"/>
        <v>0</v>
      </c>
      <c r="R207" t="e">
        <f t="shared" si="83"/>
        <v>#DIV/0!</v>
      </c>
      <c r="S207" t="e">
        <f t="shared" si="84"/>
        <v>#DIV/0!</v>
      </c>
      <c r="T207">
        <f>I207*E207/'[1]Inverter Analysis'!$L$2</f>
        <v>0</v>
      </c>
      <c r="U207" t="e">
        <f t="shared" si="85"/>
        <v>#DIV/0!</v>
      </c>
      <c r="V207" t="e">
        <f t="shared" si="86"/>
        <v>#DIV/0!</v>
      </c>
      <c r="W207" t="e">
        <f t="shared" si="87"/>
        <v>#DIV/0!</v>
      </c>
      <c r="X207" t="e">
        <f t="shared" si="88"/>
        <v>#DIV/0!</v>
      </c>
      <c r="Y207" t="e">
        <f t="shared" si="89"/>
        <v>#DIV/0!</v>
      </c>
      <c r="Z207" t="e">
        <f t="shared" si="90"/>
        <v>#DIV/0!</v>
      </c>
    </row>
    <row r="208" spans="1:26">
      <c r="D208">
        <f t="shared" si="69"/>
        <v>0</v>
      </c>
      <c r="E208">
        <f t="shared" si="70"/>
        <v>0</v>
      </c>
      <c r="F208">
        <f t="shared" si="71"/>
        <v>0</v>
      </c>
      <c r="G208" t="e">
        <f t="shared" si="72"/>
        <v>#DIV/0!</v>
      </c>
      <c r="H208">
        <f t="shared" si="73"/>
        <v>0</v>
      </c>
      <c r="I208">
        <f t="shared" si="74"/>
        <v>0</v>
      </c>
      <c r="J208">
        <f t="shared" si="75"/>
        <v>0</v>
      </c>
      <c r="K208">
        <f t="shared" si="76"/>
        <v>0</v>
      </c>
      <c r="L208">
        <f t="shared" si="77"/>
        <v>0</v>
      </c>
      <c r="M208">
        <f t="shared" si="78"/>
        <v>0</v>
      </c>
      <c r="N208">
        <f t="shared" si="79"/>
        <v>0</v>
      </c>
      <c r="O208" t="e">
        <f t="shared" si="80"/>
        <v>#DIV/0!</v>
      </c>
      <c r="P208" t="e">
        <f t="shared" si="81"/>
        <v>#DIV/0!</v>
      </c>
      <c r="Q208">
        <f t="shared" si="82"/>
        <v>0</v>
      </c>
      <c r="R208" t="e">
        <f t="shared" si="83"/>
        <v>#DIV/0!</v>
      </c>
      <c r="S208" t="e">
        <f t="shared" si="84"/>
        <v>#DIV/0!</v>
      </c>
      <c r="T208">
        <f>I208*E208/'[1]Inverter Analysis'!$L$2</f>
        <v>0</v>
      </c>
      <c r="U208" t="e">
        <f t="shared" si="85"/>
        <v>#DIV/0!</v>
      </c>
      <c r="V208" t="e">
        <f t="shared" si="86"/>
        <v>#DIV/0!</v>
      </c>
      <c r="W208" t="e">
        <f t="shared" si="87"/>
        <v>#DIV/0!</v>
      </c>
      <c r="X208" t="e">
        <f t="shared" si="88"/>
        <v>#DIV/0!</v>
      </c>
      <c r="Y208" t="e">
        <f t="shared" si="89"/>
        <v>#DIV/0!</v>
      </c>
      <c r="Z208" t="e">
        <f t="shared" si="90"/>
        <v>#DIV/0!</v>
      </c>
    </row>
    <row r="209" spans="4:26">
      <c r="D209">
        <f t="shared" si="69"/>
        <v>0</v>
      </c>
      <c r="E209">
        <f t="shared" si="70"/>
        <v>0</v>
      </c>
      <c r="F209">
        <f t="shared" si="71"/>
        <v>0</v>
      </c>
      <c r="G209" t="e">
        <f t="shared" si="72"/>
        <v>#DIV/0!</v>
      </c>
      <c r="H209">
        <f t="shared" si="73"/>
        <v>0</v>
      </c>
      <c r="I209">
        <f t="shared" si="74"/>
        <v>0</v>
      </c>
      <c r="J209">
        <f t="shared" si="75"/>
        <v>0</v>
      </c>
      <c r="K209">
        <f t="shared" si="76"/>
        <v>0</v>
      </c>
      <c r="L209">
        <f t="shared" si="77"/>
        <v>0</v>
      </c>
      <c r="M209">
        <f t="shared" si="78"/>
        <v>0</v>
      </c>
      <c r="N209">
        <f t="shared" si="79"/>
        <v>0</v>
      </c>
      <c r="O209" t="e">
        <f t="shared" si="80"/>
        <v>#DIV/0!</v>
      </c>
      <c r="P209" t="e">
        <f t="shared" si="81"/>
        <v>#DIV/0!</v>
      </c>
      <c r="Q209">
        <f t="shared" si="82"/>
        <v>0</v>
      </c>
      <c r="R209" t="e">
        <f t="shared" si="83"/>
        <v>#DIV/0!</v>
      </c>
      <c r="S209" t="e">
        <f t="shared" si="84"/>
        <v>#DIV/0!</v>
      </c>
      <c r="T209">
        <f>I209*E209/'[1]Inverter Analysis'!$L$2</f>
        <v>0</v>
      </c>
      <c r="U209" t="e">
        <f t="shared" si="85"/>
        <v>#DIV/0!</v>
      </c>
      <c r="V209" t="e">
        <f t="shared" si="86"/>
        <v>#DIV/0!</v>
      </c>
      <c r="W209" t="e">
        <f t="shared" si="87"/>
        <v>#DIV/0!</v>
      </c>
      <c r="X209" t="e">
        <f t="shared" si="88"/>
        <v>#DIV/0!</v>
      </c>
      <c r="Y209" t="e">
        <f t="shared" si="89"/>
        <v>#DIV/0!</v>
      </c>
      <c r="Z209" t="e">
        <f t="shared" si="90"/>
        <v>#DIV/0!</v>
      </c>
    </row>
    <row r="210" spans="4:26">
      <c r="D210">
        <f t="shared" si="69"/>
        <v>0</v>
      </c>
      <c r="E210">
        <f t="shared" si="70"/>
        <v>0</v>
      </c>
      <c r="F210">
        <f t="shared" si="71"/>
        <v>0</v>
      </c>
      <c r="G210" t="e">
        <f t="shared" si="72"/>
        <v>#DIV/0!</v>
      </c>
      <c r="H210">
        <f t="shared" si="73"/>
        <v>0</v>
      </c>
      <c r="I210">
        <f t="shared" si="74"/>
        <v>0</v>
      </c>
      <c r="J210">
        <f t="shared" si="75"/>
        <v>0</v>
      </c>
      <c r="K210">
        <f t="shared" si="76"/>
        <v>0</v>
      </c>
      <c r="L210">
        <f t="shared" si="77"/>
        <v>0</v>
      </c>
      <c r="M210">
        <f t="shared" si="78"/>
        <v>0</v>
      </c>
      <c r="N210">
        <f t="shared" si="79"/>
        <v>0</v>
      </c>
      <c r="O210" t="e">
        <f t="shared" si="80"/>
        <v>#DIV/0!</v>
      </c>
      <c r="P210" t="e">
        <f t="shared" si="81"/>
        <v>#DIV/0!</v>
      </c>
      <c r="Q210">
        <f t="shared" si="82"/>
        <v>0</v>
      </c>
      <c r="R210" t="e">
        <f t="shared" si="83"/>
        <v>#DIV/0!</v>
      </c>
      <c r="S210" t="e">
        <f t="shared" si="84"/>
        <v>#DIV/0!</v>
      </c>
      <c r="T210">
        <f>I210*E210/'[1]Inverter Analysis'!$L$2</f>
        <v>0</v>
      </c>
      <c r="U210" t="e">
        <f t="shared" si="85"/>
        <v>#DIV/0!</v>
      </c>
      <c r="V210" t="e">
        <f t="shared" si="86"/>
        <v>#DIV/0!</v>
      </c>
      <c r="W210" t="e">
        <f t="shared" si="87"/>
        <v>#DIV/0!</v>
      </c>
      <c r="X210" t="e">
        <f t="shared" si="88"/>
        <v>#DIV/0!</v>
      </c>
      <c r="Y210" t="e">
        <f t="shared" si="89"/>
        <v>#DIV/0!</v>
      </c>
      <c r="Z210" t="e">
        <f t="shared" si="90"/>
        <v>#DIV/0!</v>
      </c>
    </row>
    <row r="211" spans="4:26">
      <c r="D211">
        <f t="shared" si="69"/>
        <v>0</v>
      </c>
      <c r="E211">
        <f t="shared" si="70"/>
        <v>0</v>
      </c>
      <c r="F211">
        <f t="shared" si="71"/>
        <v>0</v>
      </c>
      <c r="G211" t="e">
        <f t="shared" si="72"/>
        <v>#DIV/0!</v>
      </c>
      <c r="H211">
        <f t="shared" si="73"/>
        <v>0</v>
      </c>
      <c r="I211">
        <f t="shared" si="74"/>
        <v>0</v>
      </c>
      <c r="J211">
        <f t="shared" si="75"/>
        <v>0</v>
      </c>
      <c r="K211">
        <f t="shared" si="76"/>
        <v>0</v>
      </c>
      <c r="L211">
        <f t="shared" si="77"/>
        <v>0</v>
      </c>
      <c r="M211">
        <f t="shared" si="78"/>
        <v>0</v>
      </c>
      <c r="N211">
        <f t="shared" si="79"/>
        <v>0</v>
      </c>
      <c r="O211" t="e">
        <f t="shared" si="80"/>
        <v>#DIV/0!</v>
      </c>
      <c r="P211" t="e">
        <f t="shared" si="81"/>
        <v>#DIV/0!</v>
      </c>
      <c r="Q211">
        <f t="shared" si="82"/>
        <v>0</v>
      </c>
      <c r="R211" t="e">
        <f t="shared" si="83"/>
        <v>#DIV/0!</v>
      </c>
      <c r="S211" t="e">
        <f t="shared" si="84"/>
        <v>#DIV/0!</v>
      </c>
      <c r="T211">
        <f>I211*E211/'[1]Inverter Analysis'!$L$2</f>
        <v>0</v>
      </c>
      <c r="U211" t="e">
        <f t="shared" si="85"/>
        <v>#DIV/0!</v>
      </c>
      <c r="V211" t="e">
        <f t="shared" si="86"/>
        <v>#DIV/0!</v>
      </c>
      <c r="W211" t="e">
        <f t="shared" si="87"/>
        <v>#DIV/0!</v>
      </c>
      <c r="X211" t="e">
        <f t="shared" si="88"/>
        <v>#DIV/0!</v>
      </c>
      <c r="Y211" t="e">
        <f t="shared" si="89"/>
        <v>#DIV/0!</v>
      </c>
      <c r="Z211" t="e">
        <f t="shared" si="90"/>
        <v>#DIV/0!</v>
      </c>
    </row>
    <row r="212" spans="4:26">
      <c r="D212">
        <f t="shared" si="69"/>
        <v>0</v>
      </c>
      <c r="E212">
        <f t="shared" si="70"/>
        <v>0</v>
      </c>
      <c r="F212">
        <f t="shared" si="71"/>
        <v>0</v>
      </c>
      <c r="G212" t="e">
        <f t="shared" si="72"/>
        <v>#DIV/0!</v>
      </c>
      <c r="H212">
        <f t="shared" si="73"/>
        <v>0</v>
      </c>
      <c r="I212">
        <f t="shared" si="74"/>
        <v>0</v>
      </c>
      <c r="J212">
        <f t="shared" si="75"/>
        <v>0</v>
      </c>
      <c r="K212">
        <f t="shared" si="76"/>
        <v>0</v>
      </c>
      <c r="L212">
        <f t="shared" si="77"/>
        <v>0</v>
      </c>
      <c r="M212">
        <f t="shared" si="78"/>
        <v>0</v>
      </c>
      <c r="N212">
        <f t="shared" si="79"/>
        <v>0</v>
      </c>
      <c r="O212" t="e">
        <f t="shared" si="80"/>
        <v>#DIV/0!</v>
      </c>
      <c r="P212" t="e">
        <f t="shared" si="81"/>
        <v>#DIV/0!</v>
      </c>
      <c r="Q212">
        <f t="shared" si="82"/>
        <v>0</v>
      </c>
      <c r="R212" t="e">
        <f t="shared" si="83"/>
        <v>#DIV/0!</v>
      </c>
      <c r="S212" t="e">
        <f t="shared" si="84"/>
        <v>#DIV/0!</v>
      </c>
      <c r="T212">
        <f>I212*E212/'[1]Inverter Analysis'!$L$2</f>
        <v>0</v>
      </c>
      <c r="U212" t="e">
        <f t="shared" si="85"/>
        <v>#DIV/0!</v>
      </c>
      <c r="V212" t="e">
        <f t="shared" si="86"/>
        <v>#DIV/0!</v>
      </c>
      <c r="W212" t="e">
        <f t="shared" si="87"/>
        <v>#DIV/0!</v>
      </c>
      <c r="X212" t="e">
        <f t="shared" si="88"/>
        <v>#DIV/0!</v>
      </c>
      <c r="Y212" t="e">
        <f t="shared" si="89"/>
        <v>#DIV/0!</v>
      </c>
      <c r="Z212" t="e">
        <f t="shared" si="90"/>
        <v>#DIV/0!</v>
      </c>
    </row>
    <row r="213" spans="4:26">
      <c r="D213">
        <f t="shared" si="69"/>
        <v>0</v>
      </c>
      <c r="E213">
        <f t="shared" si="70"/>
        <v>0</v>
      </c>
      <c r="F213">
        <f t="shared" si="71"/>
        <v>0</v>
      </c>
      <c r="G213" t="e">
        <f t="shared" si="72"/>
        <v>#DIV/0!</v>
      </c>
      <c r="H213">
        <f t="shared" si="73"/>
        <v>0</v>
      </c>
      <c r="I213">
        <f t="shared" si="74"/>
        <v>0</v>
      </c>
      <c r="J213">
        <f t="shared" si="75"/>
        <v>0</v>
      </c>
      <c r="K213">
        <f t="shared" si="76"/>
        <v>0</v>
      </c>
      <c r="L213">
        <f t="shared" si="77"/>
        <v>0</v>
      </c>
      <c r="M213">
        <f t="shared" si="78"/>
        <v>0</v>
      </c>
      <c r="N213">
        <f t="shared" si="79"/>
        <v>0</v>
      </c>
      <c r="O213" t="e">
        <f t="shared" si="80"/>
        <v>#DIV/0!</v>
      </c>
      <c r="P213" t="e">
        <f t="shared" si="81"/>
        <v>#DIV/0!</v>
      </c>
      <c r="Q213">
        <f t="shared" si="82"/>
        <v>0</v>
      </c>
      <c r="R213" t="e">
        <f t="shared" si="83"/>
        <v>#DIV/0!</v>
      </c>
      <c r="S213" t="e">
        <f t="shared" si="84"/>
        <v>#DIV/0!</v>
      </c>
      <c r="T213">
        <f>I213*E213/'[1]Inverter Analysis'!$L$2</f>
        <v>0</v>
      </c>
      <c r="U213" t="e">
        <f t="shared" si="85"/>
        <v>#DIV/0!</v>
      </c>
      <c r="V213" t="e">
        <f t="shared" si="86"/>
        <v>#DIV/0!</v>
      </c>
      <c r="W213" t="e">
        <f t="shared" si="87"/>
        <v>#DIV/0!</v>
      </c>
      <c r="X213" t="e">
        <f t="shared" si="88"/>
        <v>#DIV/0!</v>
      </c>
      <c r="Y213" t="e">
        <f t="shared" si="89"/>
        <v>#DIV/0!</v>
      </c>
      <c r="Z213" t="e">
        <f t="shared" si="90"/>
        <v>#DIV/0!</v>
      </c>
    </row>
    <row r="214" spans="4:26">
      <c r="D214">
        <f t="shared" si="69"/>
        <v>0</v>
      </c>
      <c r="E214">
        <f t="shared" si="70"/>
        <v>0</v>
      </c>
      <c r="F214">
        <f t="shared" si="71"/>
        <v>0</v>
      </c>
      <c r="G214" t="e">
        <f t="shared" si="72"/>
        <v>#DIV/0!</v>
      </c>
      <c r="H214">
        <f t="shared" si="73"/>
        <v>0</v>
      </c>
      <c r="I214">
        <f t="shared" si="74"/>
        <v>0</v>
      </c>
      <c r="J214">
        <f t="shared" si="75"/>
        <v>0</v>
      </c>
      <c r="K214">
        <f t="shared" si="76"/>
        <v>0</v>
      </c>
      <c r="L214">
        <f t="shared" si="77"/>
        <v>0</v>
      </c>
      <c r="M214">
        <f t="shared" si="78"/>
        <v>0</v>
      </c>
      <c r="N214">
        <f t="shared" si="79"/>
        <v>0</v>
      </c>
      <c r="O214" t="e">
        <f t="shared" si="80"/>
        <v>#DIV/0!</v>
      </c>
      <c r="P214" t="e">
        <f t="shared" si="81"/>
        <v>#DIV/0!</v>
      </c>
      <c r="Q214">
        <f t="shared" si="82"/>
        <v>0</v>
      </c>
      <c r="R214" t="e">
        <f t="shared" si="83"/>
        <v>#DIV/0!</v>
      </c>
      <c r="S214" t="e">
        <f t="shared" si="84"/>
        <v>#DIV/0!</v>
      </c>
      <c r="T214">
        <f>I214*E214/'[1]Inverter Analysis'!$L$2</f>
        <v>0</v>
      </c>
      <c r="U214" t="e">
        <f t="shared" si="85"/>
        <v>#DIV/0!</v>
      </c>
      <c r="V214" t="e">
        <f t="shared" si="86"/>
        <v>#DIV/0!</v>
      </c>
      <c r="W214" t="e">
        <f t="shared" si="87"/>
        <v>#DIV/0!</v>
      </c>
      <c r="X214" t="e">
        <f t="shared" si="88"/>
        <v>#DIV/0!</v>
      </c>
      <c r="Y214" t="e">
        <f t="shared" si="89"/>
        <v>#DIV/0!</v>
      </c>
      <c r="Z214" t="e">
        <f t="shared" si="90"/>
        <v>#DIV/0!</v>
      </c>
    </row>
    <row r="215" spans="4:26">
      <c r="D215">
        <f t="shared" si="69"/>
        <v>0</v>
      </c>
      <c r="E215">
        <f t="shared" si="70"/>
        <v>0</v>
      </c>
      <c r="F215">
        <f t="shared" si="71"/>
        <v>0</v>
      </c>
      <c r="G215" t="e">
        <f t="shared" si="72"/>
        <v>#DIV/0!</v>
      </c>
      <c r="H215">
        <f t="shared" si="73"/>
        <v>0</v>
      </c>
      <c r="I215">
        <f t="shared" si="74"/>
        <v>0</v>
      </c>
      <c r="J215">
        <f t="shared" si="75"/>
        <v>0</v>
      </c>
      <c r="K215">
        <f t="shared" si="76"/>
        <v>0</v>
      </c>
      <c r="L215">
        <f t="shared" si="77"/>
        <v>0</v>
      </c>
      <c r="M215">
        <f t="shared" si="78"/>
        <v>0</v>
      </c>
      <c r="N215">
        <f t="shared" si="79"/>
        <v>0</v>
      </c>
      <c r="O215" t="e">
        <f t="shared" si="80"/>
        <v>#DIV/0!</v>
      </c>
      <c r="P215" t="e">
        <f t="shared" si="81"/>
        <v>#DIV/0!</v>
      </c>
      <c r="Q215">
        <f t="shared" si="82"/>
        <v>0</v>
      </c>
      <c r="R215" t="e">
        <f t="shared" si="83"/>
        <v>#DIV/0!</v>
      </c>
      <c r="S215" t="e">
        <f t="shared" si="84"/>
        <v>#DIV/0!</v>
      </c>
      <c r="T215">
        <f>I215*E215/'[1]Inverter Analysis'!$L$2</f>
        <v>0</v>
      </c>
      <c r="U215" t="e">
        <f t="shared" si="85"/>
        <v>#DIV/0!</v>
      </c>
      <c r="V215" t="e">
        <f t="shared" si="86"/>
        <v>#DIV/0!</v>
      </c>
      <c r="W215" t="e">
        <f t="shared" si="87"/>
        <v>#DIV/0!</v>
      </c>
      <c r="X215" t="e">
        <f t="shared" si="88"/>
        <v>#DIV/0!</v>
      </c>
      <c r="Y215" t="e">
        <f t="shared" si="89"/>
        <v>#DIV/0!</v>
      </c>
      <c r="Z215" t="e">
        <f t="shared" si="90"/>
        <v>#DIV/0!</v>
      </c>
    </row>
    <row r="216" spans="4:26">
      <c r="D216">
        <f t="shared" si="69"/>
        <v>0</v>
      </c>
      <c r="E216">
        <f t="shared" si="70"/>
        <v>0</v>
      </c>
      <c r="F216">
        <f t="shared" si="71"/>
        <v>0</v>
      </c>
      <c r="G216" t="e">
        <f t="shared" si="72"/>
        <v>#DIV/0!</v>
      </c>
      <c r="H216">
        <f t="shared" si="73"/>
        <v>0</v>
      </c>
      <c r="I216">
        <f t="shared" si="74"/>
        <v>0</v>
      </c>
      <c r="J216">
        <f t="shared" si="75"/>
        <v>0</v>
      </c>
      <c r="K216">
        <f t="shared" si="76"/>
        <v>0</v>
      </c>
      <c r="L216">
        <f t="shared" si="77"/>
        <v>0</v>
      </c>
      <c r="M216">
        <f t="shared" si="78"/>
        <v>0</v>
      </c>
      <c r="N216">
        <f t="shared" si="79"/>
        <v>0</v>
      </c>
      <c r="O216" t="e">
        <f t="shared" si="80"/>
        <v>#DIV/0!</v>
      </c>
      <c r="P216" t="e">
        <f t="shared" si="81"/>
        <v>#DIV/0!</v>
      </c>
      <c r="Q216">
        <f t="shared" si="82"/>
        <v>0</v>
      </c>
      <c r="R216" t="e">
        <f t="shared" si="83"/>
        <v>#DIV/0!</v>
      </c>
      <c r="S216" t="e">
        <f t="shared" si="84"/>
        <v>#DIV/0!</v>
      </c>
      <c r="T216">
        <f>I216*E216/'[1]Inverter Analysis'!$L$2</f>
        <v>0</v>
      </c>
      <c r="U216" t="e">
        <f t="shared" si="85"/>
        <v>#DIV/0!</v>
      </c>
      <c r="V216" t="e">
        <f t="shared" si="86"/>
        <v>#DIV/0!</v>
      </c>
      <c r="W216" t="e">
        <f t="shared" si="87"/>
        <v>#DIV/0!</v>
      </c>
      <c r="X216" t="e">
        <f t="shared" si="88"/>
        <v>#DIV/0!</v>
      </c>
      <c r="Y216" t="e">
        <f t="shared" si="89"/>
        <v>#DIV/0!</v>
      </c>
      <c r="Z216" t="e">
        <f t="shared" si="90"/>
        <v>#DIV/0!</v>
      </c>
    </row>
    <row r="217" spans="4:26">
      <c r="D217">
        <f t="shared" si="69"/>
        <v>0</v>
      </c>
      <c r="E217">
        <f t="shared" si="70"/>
        <v>0</v>
      </c>
      <c r="F217">
        <f t="shared" si="71"/>
        <v>0</v>
      </c>
      <c r="G217" t="e">
        <f t="shared" si="72"/>
        <v>#DIV/0!</v>
      </c>
      <c r="H217">
        <f t="shared" si="73"/>
        <v>0</v>
      </c>
      <c r="I217">
        <f t="shared" si="74"/>
        <v>0</v>
      </c>
      <c r="J217">
        <f t="shared" si="75"/>
        <v>0</v>
      </c>
      <c r="K217">
        <f t="shared" si="76"/>
        <v>0</v>
      </c>
      <c r="L217">
        <f t="shared" si="77"/>
        <v>0</v>
      </c>
      <c r="M217">
        <f t="shared" si="78"/>
        <v>0</v>
      </c>
      <c r="N217">
        <f t="shared" si="79"/>
        <v>0</v>
      </c>
      <c r="O217" t="e">
        <f t="shared" si="80"/>
        <v>#DIV/0!</v>
      </c>
      <c r="P217" t="e">
        <f t="shared" si="81"/>
        <v>#DIV/0!</v>
      </c>
      <c r="Q217">
        <f t="shared" si="82"/>
        <v>0</v>
      </c>
      <c r="R217" t="e">
        <f t="shared" si="83"/>
        <v>#DIV/0!</v>
      </c>
      <c r="S217" t="e">
        <f t="shared" si="84"/>
        <v>#DIV/0!</v>
      </c>
      <c r="T217">
        <f>I217*E217/'[1]Inverter Analysis'!$L$2</f>
        <v>0</v>
      </c>
      <c r="U217" t="e">
        <f t="shared" si="85"/>
        <v>#DIV/0!</v>
      </c>
      <c r="V217" t="e">
        <f t="shared" si="86"/>
        <v>#DIV/0!</v>
      </c>
      <c r="W217" t="e">
        <f t="shared" si="87"/>
        <v>#DIV/0!</v>
      </c>
      <c r="X217" t="e">
        <f t="shared" si="88"/>
        <v>#DIV/0!</v>
      </c>
      <c r="Y217" t="e">
        <f t="shared" si="89"/>
        <v>#DIV/0!</v>
      </c>
      <c r="Z217" t="e">
        <f t="shared" si="90"/>
        <v>#DIV/0!</v>
      </c>
    </row>
    <row r="218" spans="4:26">
      <c r="D218">
        <f t="shared" si="69"/>
        <v>0</v>
      </c>
      <c r="E218">
        <f t="shared" si="70"/>
        <v>0</v>
      </c>
      <c r="F218">
        <f t="shared" si="71"/>
        <v>0</v>
      </c>
      <c r="G218" t="e">
        <f t="shared" si="72"/>
        <v>#DIV/0!</v>
      </c>
      <c r="H218">
        <f t="shared" si="73"/>
        <v>0</v>
      </c>
      <c r="I218">
        <f t="shared" si="74"/>
        <v>0</v>
      </c>
      <c r="J218">
        <f t="shared" si="75"/>
        <v>0</v>
      </c>
      <c r="K218">
        <f t="shared" si="76"/>
        <v>0</v>
      </c>
      <c r="L218">
        <f t="shared" si="77"/>
        <v>0</v>
      </c>
      <c r="M218">
        <f t="shared" si="78"/>
        <v>0</v>
      </c>
      <c r="N218">
        <f t="shared" si="79"/>
        <v>0</v>
      </c>
      <c r="O218" t="e">
        <f t="shared" si="80"/>
        <v>#DIV/0!</v>
      </c>
      <c r="P218" t="e">
        <f t="shared" si="81"/>
        <v>#DIV/0!</v>
      </c>
      <c r="Q218">
        <f t="shared" si="82"/>
        <v>0</v>
      </c>
      <c r="R218" t="e">
        <f t="shared" si="83"/>
        <v>#DIV/0!</v>
      </c>
      <c r="S218" t="e">
        <f t="shared" si="84"/>
        <v>#DIV/0!</v>
      </c>
      <c r="T218">
        <f>I218*E218/'[1]Inverter Analysis'!$L$2</f>
        <v>0</v>
      </c>
      <c r="U218" t="e">
        <f t="shared" si="85"/>
        <v>#DIV/0!</v>
      </c>
      <c r="V218" t="e">
        <f t="shared" si="86"/>
        <v>#DIV/0!</v>
      </c>
      <c r="W218" t="e">
        <f t="shared" si="87"/>
        <v>#DIV/0!</v>
      </c>
      <c r="X218" t="e">
        <f t="shared" si="88"/>
        <v>#DIV/0!</v>
      </c>
      <c r="Y218" t="e">
        <f t="shared" si="89"/>
        <v>#DIV/0!</v>
      </c>
      <c r="Z218" t="e">
        <f t="shared" si="90"/>
        <v>#DIV/0!</v>
      </c>
    </row>
    <row r="219" spans="4:26">
      <c r="D219">
        <f t="shared" si="69"/>
        <v>0</v>
      </c>
      <c r="E219">
        <f t="shared" si="70"/>
        <v>0</v>
      </c>
      <c r="F219">
        <f t="shared" si="71"/>
        <v>0</v>
      </c>
      <c r="G219" t="e">
        <f t="shared" si="72"/>
        <v>#DIV/0!</v>
      </c>
      <c r="H219">
        <f t="shared" si="73"/>
        <v>0</v>
      </c>
      <c r="I219">
        <f t="shared" si="74"/>
        <v>0</v>
      </c>
      <c r="J219">
        <f t="shared" si="75"/>
        <v>0</v>
      </c>
      <c r="K219">
        <f t="shared" si="76"/>
        <v>0</v>
      </c>
      <c r="L219">
        <f t="shared" si="77"/>
        <v>0</v>
      </c>
      <c r="M219">
        <f t="shared" si="78"/>
        <v>0</v>
      </c>
      <c r="N219">
        <f t="shared" si="79"/>
        <v>0</v>
      </c>
      <c r="O219" t="e">
        <f t="shared" si="80"/>
        <v>#DIV/0!</v>
      </c>
      <c r="P219" t="e">
        <f t="shared" si="81"/>
        <v>#DIV/0!</v>
      </c>
      <c r="Q219">
        <f t="shared" si="82"/>
        <v>0</v>
      </c>
      <c r="R219" t="e">
        <f t="shared" si="83"/>
        <v>#DIV/0!</v>
      </c>
      <c r="S219" t="e">
        <f t="shared" si="84"/>
        <v>#DIV/0!</v>
      </c>
      <c r="T219">
        <f>I219*E219/'[1]Inverter Analysis'!$L$2</f>
        <v>0</v>
      </c>
      <c r="U219" t="e">
        <f t="shared" si="85"/>
        <v>#DIV/0!</v>
      </c>
      <c r="V219" t="e">
        <f t="shared" si="86"/>
        <v>#DIV/0!</v>
      </c>
      <c r="W219" t="e">
        <f t="shared" si="87"/>
        <v>#DIV/0!</v>
      </c>
      <c r="X219" t="e">
        <f t="shared" si="88"/>
        <v>#DIV/0!</v>
      </c>
      <c r="Y219" t="e">
        <f t="shared" si="89"/>
        <v>#DIV/0!</v>
      </c>
      <c r="Z219" t="e">
        <f t="shared" si="90"/>
        <v>#DIV/0!</v>
      </c>
    </row>
    <row r="220" spans="4:26">
      <c r="D220">
        <f t="shared" si="69"/>
        <v>0</v>
      </c>
      <c r="E220">
        <f t="shared" si="70"/>
        <v>0</v>
      </c>
      <c r="F220">
        <f t="shared" si="71"/>
        <v>0</v>
      </c>
      <c r="G220" t="e">
        <f t="shared" si="72"/>
        <v>#DIV/0!</v>
      </c>
      <c r="H220">
        <f t="shared" si="73"/>
        <v>0</v>
      </c>
      <c r="I220">
        <f t="shared" si="74"/>
        <v>0</v>
      </c>
      <c r="J220">
        <f t="shared" si="75"/>
        <v>0</v>
      </c>
      <c r="K220">
        <f t="shared" si="76"/>
        <v>0</v>
      </c>
      <c r="L220">
        <f t="shared" si="77"/>
        <v>0</v>
      </c>
      <c r="M220">
        <f t="shared" si="78"/>
        <v>0</v>
      </c>
      <c r="N220">
        <f t="shared" si="79"/>
        <v>0</v>
      </c>
      <c r="O220" t="e">
        <f t="shared" si="80"/>
        <v>#DIV/0!</v>
      </c>
      <c r="P220" t="e">
        <f t="shared" si="81"/>
        <v>#DIV/0!</v>
      </c>
      <c r="Q220">
        <f t="shared" si="82"/>
        <v>0</v>
      </c>
      <c r="R220" t="e">
        <f t="shared" si="83"/>
        <v>#DIV/0!</v>
      </c>
      <c r="S220" t="e">
        <f t="shared" si="84"/>
        <v>#DIV/0!</v>
      </c>
      <c r="T220">
        <f>I220*E220/'[1]Inverter Analysis'!$L$2</f>
        <v>0</v>
      </c>
      <c r="U220" t="e">
        <f t="shared" si="85"/>
        <v>#DIV/0!</v>
      </c>
      <c r="V220" t="e">
        <f t="shared" si="86"/>
        <v>#DIV/0!</v>
      </c>
      <c r="W220" t="e">
        <f t="shared" si="87"/>
        <v>#DIV/0!</v>
      </c>
      <c r="X220" t="e">
        <f t="shared" si="88"/>
        <v>#DIV/0!</v>
      </c>
      <c r="Y220" t="e">
        <f t="shared" si="89"/>
        <v>#DIV/0!</v>
      </c>
      <c r="Z220" t="e">
        <f t="shared" si="90"/>
        <v>#DIV/0!</v>
      </c>
    </row>
    <row r="221" spans="4:26">
      <c r="D221">
        <f t="shared" si="69"/>
        <v>0</v>
      </c>
      <c r="E221">
        <f t="shared" si="70"/>
        <v>0</v>
      </c>
      <c r="F221">
        <f t="shared" si="71"/>
        <v>0</v>
      </c>
      <c r="G221" t="e">
        <f t="shared" si="72"/>
        <v>#DIV/0!</v>
      </c>
      <c r="H221">
        <f t="shared" si="73"/>
        <v>0</v>
      </c>
      <c r="I221">
        <f t="shared" si="74"/>
        <v>0</v>
      </c>
      <c r="J221">
        <f t="shared" si="75"/>
        <v>0</v>
      </c>
      <c r="K221">
        <f t="shared" si="76"/>
        <v>0</v>
      </c>
      <c r="L221">
        <f t="shared" si="77"/>
        <v>0</v>
      </c>
      <c r="M221">
        <f t="shared" si="78"/>
        <v>0</v>
      </c>
      <c r="N221">
        <f t="shared" si="79"/>
        <v>0</v>
      </c>
      <c r="O221" t="e">
        <f t="shared" si="80"/>
        <v>#DIV/0!</v>
      </c>
      <c r="P221" t="e">
        <f t="shared" si="81"/>
        <v>#DIV/0!</v>
      </c>
      <c r="Q221">
        <f t="shared" si="82"/>
        <v>0</v>
      </c>
      <c r="R221" t="e">
        <f t="shared" si="83"/>
        <v>#DIV/0!</v>
      </c>
      <c r="S221" t="e">
        <f t="shared" si="84"/>
        <v>#DIV/0!</v>
      </c>
      <c r="T221">
        <f>I221*E221/'[1]Inverter Analysis'!$L$2</f>
        <v>0</v>
      </c>
      <c r="U221" t="e">
        <f t="shared" si="85"/>
        <v>#DIV/0!</v>
      </c>
      <c r="V221" t="e">
        <f t="shared" si="86"/>
        <v>#DIV/0!</v>
      </c>
      <c r="W221" t="e">
        <f t="shared" si="87"/>
        <v>#DIV/0!</v>
      </c>
      <c r="X221" t="e">
        <f t="shared" si="88"/>
        <v>#DIV/0!</v>
      </c>
      <c r="Y221" t="e">
        <f t="shared" si="89"/>
        <v>#DIV/0!</v>
      </c>
      <c r="Z221" t="e">
        <f t="shared" si="90"/>
        <v>#DIV/0!</v>
      </c>
    </row>
    <row r="222" spans="4:26">
      <c r="D222">
        <f t="shared" si="69"/>
        <v>0</v>
      </c>
      <c r="E222">
        <f t="shared" si="70"/>
        <v>0</v>
      </c>
      <c r="F222">
        <f t="shared" si="71"/>
        <v>0</v>
      </c>
      <c r="G222" t="e">
        <f t="shared" si="72"/>
        <v>#DIV/0!</v>
      </c>
      <c r="H222">
        <f t="shared" si="73"/>
        <v>0</v>
      </c>
      <c r="I222">
        <f t="shared" si="74"/>
        <v>0</v>
      </c>
      <c r="J222">
        <f t="shared" si="75"/>
        <v>0</v>
      </c>
      <c r="K222">
        <f t="shared" si="76"/>
        <v>0</v>
      </c>
      <c r="L222">
        <f t="shared" si="77"/>
        <v>0</v>
      </c>
      <c r="M222">
        <f t="shared" si="78"/>
        <v>0</v>
      </c>
      <c r="N222">
        <f t="shared" si="79"/>
        <v>0</v>
      </c>
      <c r="O222" t="e">
        <f t="shared" si="80"/>
        <v>#DIV/0!</v>
      </c>
      <c r="P222" t="e">
        <f t="shared" si="81"/>
        <v>#DIV/0!</v>
      </c>
      <c r="Q222">
        <f t="shared" si="82"/>
        <v>0</v>
      </c>
      <c r="R222" t="e">
        <f t="shared" si="83"/>
        <v>#DIV/0!</v>
      </c>
      <c r="S222" t="e">
        <f t="shared" si="84"/>
        <v>#DIV/0!</v>
      </c>
      <c r="T222">
        <f>I222*E222/'[1]Inverter Analysis'!$L$2</f>
        <v>0</v>
      </c>
      <c r="U222" t="e">
        <f t="shared" si="85"/>
        <v>#DIV/0!</v>
      </c>
      <c r="V222" t="e">
        <f t="shared" si="86"/>
        <v>#DIV/0!</v>
      </c>
      <c r="W222" t="e">
        <f t="shared" si="87"/>
        <v>#DIV/0!</v>
      </c>
      <c r="X222" t="e">
        <f t="shared" si="88"/>
        <v>#DIV/0!</v>
      </c>
      <c r="Y222" t="e">
        <f t="shared" si="89"/>
        <v>#DIV/0!</v>
      </c>
      <c r="Z222" t="e">
        <f t="shared" si="90"/>
        <v>#DIV/0!</v>
      </c>
    </row>
    <row r="223" spans="4:26">
      <c r="D223">
        <f t="shared" si="69"/>
        <v>0</v>
      </c>
      <c r="E223">
        <f t="shared" si="70"/>
        <v>0</v>
      </c>
      <c r="F223">
        <f t="shared" si="71"/>
        <v>0</v>
      </c>
      <c r="G223" t="e">
        <f t="shared" si="72"/>
        <v>#DIV/0!</v>
      </c>
      <c r="H223">
        <f t="shared" si="73"/>
        <v>0</v>
      </c>
      <c r="I223">
        <f t="shared" si="74"/>
        <v>0</v>
      </c>
      <c r="J223">
        <f t="shared" si="75"/>
        <v>0</v>
      </c>
      <c r="K223">
        <f t="shared" si="76"/>
        <v>0</v>
      </c>
      <c r="L223">
        <f t="shared" si="77"/>
        <v>0</v>
      </c>
      <c r="M223">
        <f t="shared" si="78"/>
        <v>0</v>
      </c>
      <c r="N223">
        <f t="shared" si="79"/>
        <v>0</v>
      </c>
      <c r="O223" t="e">
        <f t="shared" si="80"/>
        <v>#DIV/0!</v>
      </c>
      <c r="P223" t="e">
        <f t="shared" si="81"/>
        <v>#DIV/0!</v>
      </c>
      <c r="Q223">
        <f t="shared" si="82"/>
        <v>0</v>
      </c>
      <c r="R223" t="e">
        <f t="shared" si="83"/>
        <v>#DIV/0!</v>
      </c>
      <c r="S223" t="e">
        <f t="shared" si="84"/>
        <v>#DIV/0!</v>
      </c>
      <c r="T223">
        <f>I223*E223/'[1]Inverter Analysis'!$L$2</f>
        <v>0</v>
      </c>
      <c r="U223" t="e">
        <f t="shared" si="85"/>
        <v>#DIV/0!</v>
      </c>
      <c r="V223" t="e">
        <f t="shared" si="86"/>
        <v>#DIV/0!</v>
      </c>
      <c r="W223" t="e">
        <f t="shared" si="87"/>
        <v>#DIV/0!</v>
      </c>
      <c r="X223" t="e">
        <f t="shared" si="88"/>
        <v>#DIV/0!</v>
      </c>
      <c r="Y223" t="e">
        <f t="shared" si="89"/>
        <v>#DIV/0!</v>
      </c>
      <c r="Z223" t="e">
        <f t="shared" si="90"/>
        <v>#DIV/0!</v>
      </c>
    </row>
    <row r="224" spans="4:26">
      <c r="D224">
        <f t="shared" si="69"/>
        <v>0</v>
      </c>
      <c r="E224">
        <f t="shared" si="70"/>
        <v>0</v>
      </c>
      <c r="F224">
        <f t="shared" si="71"/>
        <v>0</v>
      </c>
      <c r="G224" t="e">
        <f t="shared" si="72"/>
        <v>#DIV/0!</v>
      </c>
      <c r="H224">
        <f t="shared" si="73"/>
        <v>0</v>
      </c>
      <c r="I224">
        <f t="shared" si="74"/>
        <v>0</v>
      </c>
      <c r="J224">
        <f t="shared" si="75"/>
        <v>0</v>
      </c>
      <c r="K224">
        <f t="shared" si="76"/>
        <v>0</v>
      </c>
      <c r="L224">
        <f t="shared" si="77"/>
        <v>0</v>
      </c>
      <c r="M224">
        <f t="shared" si="78"/>
        <v>0</v>
      </c>
      <c r="N224">
        <f t="shared" si="79"/>
        <v>0</v>
      </c>
      <c r="O224" t="e">
        <f t="shared" si="80"/>
        <v>#DIV/0!</v>
      </c>
      <c r="P224" t="e">
        <f t="shared" si="81"/>
        <v>#DIV/0!</v>
      </c>
      <c r="Q224">
        <f t="shared" si="82"/>
        <v>0</v>
      </c>
      <c r="R224" t="e">
        <f t="shared" si="83"/>
        <v>#DIV/0!</v>
      </c>
      <c r="S224" t="e">
        <f t="shared" si="84"/>
        <v>#DIV/0!</v>
      </c>
      <c r="T224">
        <f>I224*E224/'[1]Inverter Analysis'!$L$2</f>
        <v>0</v>
      </c>
      <c r="U224" t="e">
        <f t="shared" si="85"/>
        <v>#DIV/0!</v>
      </c>
      <c r="V224" t="e">
        <f t="shared" si="86"/>
        <v>#DIV/0!</v>
      </c>
      <c r="W224" t="e">
        <f t="shared" si="87"/>
        <v>#DIV/0!</v>
      </c>
      <c r="X224" t="e">
        <f t="shared" si="88"/>
        <v>#DIV/0!</v>
      </c>
      <c r="Y224" t="e">
        <f t="shared" si="89"/>
        <v>#DIV/0!</v>
      </c>
      <c r="Z224" t="e">
        <f t="shared" si="90"/>
        <v>#DIV/0!</v>
      </c>
    </row>
    <row r="225" spans="4:26">
      <c r="D225">
        <f t="shared" si="69"/>
        <v>0</v>
      </c>
      <c r="E225">
        <f t="shared" si="70"/>
        <v>0</v>
      </c>
      <c r="F225">
        <f t="shared" si="71"/>
        <v>0</v>
      </c>
      <c r="G225" t="e">
        <f t="shared" si="72"/>
        <v>#DIV/0!</v>
      </c>
      <c r="H225">
        <f t="shared" si="73"/>
        <v>0</v>
      </c>
      <c r="I225">
        <f t="shared" si="74"/>
        <v>0</v>
      </c>
      <c r="J225">
        <f t="shared" si="75"/>
        <v>0</v>
      </c>
      <c r="K225">
        <f t="shared" si="76"/>
        <v>0</v>
      </c>
      <c r="L225">
        <f t="shared" si="77"/>
        <v>0</v>
      </c>
      <c r="M225">
        <f t="shared" si="78"/>
        <v>0</v>
      </c>
      <c r="N225">
        <f t="shared" si="79"/>
        <v>0</v>
      </c>
      <c r="O225" t="e">
        <f t="shared" si="80"/>
        <v>#DIV/0!</v>
      </c>
      <c r="P225" t="e">
        <f t="shared" si="81"/>
        <v>#DIV/0!</v>
      </c>
      <c r="Q225">
        <f t="shared" si="82"/>
        <v>0</v>
      </c>
      <c r="R225" t="e">
        <f t="shared" si="83"/>
        <v>#DIV/0!</v>
      </c>
      <c r="S225" t="e">
        <f t="shared" si="84"/>
        <v>#DIV/0!</v>
      </c>
      <c r="T225">
        <f>I225*E225/'[1]Inverter Analysis'!$L$2</f>
        <v>0</v>
      </c>
      <c r="U225" t="e">
        <f t="shared" si="85"/>
        <v>#DIV/0!</v>
      </c>
      <c r="V225" t="e">
        <f t="shared" si="86"/>
        <v>#DIV/0!</v>
      </c>
      <c r="W225" t="e">
        <f t="shared" si="87"/>
        <v>#DIV/0!</v>
      </c>
      <c r="X225" t="e">
        <f t="shared" si="88"/>
        <v>#DIV/0!</v>
      </c>
      <c r="Y225" t="e">
        <f t="shared" si="89"/>
        <v>#DIV/0!</v>
      </c>
      <c r="Z225" t="e">
        <f t="shared" si="90"/>
        <v>#DIV/0!</v>
      </c>
    </row>
    <row r="226" spans="4:26">
      <c r="D226">
        <f t="shared" si="69"/>
        <v>0</v>
      </c>
      <c r="E226">
        <f t="shared" si="70"/>
        <v>0</v>
      </c>
      <c r="F226">
        <f t="shared" si="71"/>
        <v>0</v>
      </c>
      <c r="G226" t="e">
        <f t="shared" si="72"/>
        <v>#DIV/0!</v>
      </c>
      <c r="H226">
        <f t="shared" si="73"/>
        <v>0</v>
      </c>
      <c r="I226">
        <f t="shared" si="74"/>
        <v>0</v>
      </c>
      <c r="J226">
        <f t="shared" si="75"/>
        <v>0</v>
      </c>
      <c r="K226">
        <f t="shared" si="76"/>
        <v>0</v>
      </c>
      <c r="L226">
        <f t="shared" si="77"/>
        <v>0</v>
      </c>
      <c r="M226">
        <f t="shared" si="78"/>
        <v>0</v>
      </c>
      <c r="N226">
        <f t="shared" si="79"/>
        <v>0</v>
      </c>
      <c r="O226" t="e">
        <f t="shared" si="80"/>
        <v>#DIV/0!</v>
      </c>
      <c r="P226" t="e">
        <f t="shared" si="81"/>
        <v>#DIV/0!</v>
      </c>
      <c r="Q226">
        <f t="shared" si="82"/>
        <v>0</v>
      </c>
      <c r="R226" t="e">
        <f t="shared" si="83"/>
        <v>#DIV/0!</v>
      </c>
      <c r="S226" t="e">
        <f t="shared" si="84"/>
        <v>#DIV/0!</v>
      </c>
      <c r="T226">
        <f>I226*E226/'[1]Inverter Analysis'!$L$2</f>
        <v>0</v>
      </c>
      <c r="U226" t="e">
        <f t="shared" si="85"/>
        <v>#DIV/0!</v>
      </c>
      <c r="V226" t="e">
        <f t="shared" si="86"/>
        <v>#DIV/0!</v>
      </c>
      <c r="W226" t="e">
        <f t="shared" si="87"/>
        <v>#DIV/0!</v>
      </c>
      <c r="X226" t="e">
        <f t="shared" si="88"/>
        <v>#DIV/0!</v>
      </c>
      <c r="Y226" t="e">
        <f t="shared" si="89"/>
        <v>#DIV/0!</v>
      </c>
      <c r="Z226" t="e">
        <f t="shared" si="90"/>
        <v>#DIV/0!</v>
      </c>
    </row>
    <row r="227" spans="4:26">
      <c r="D227">
        <f t="shared" si="69"/>
        <v>0</v>
      </c>
      <c r="E227">
        <f t="shared" si="70"/>
        <v>0</v>
      </c>
      <c r="F227">
        <f t="shared" si="71"/>
        <v>0</v>
      </c>
      <c r="G227" t="e">
        <f t="shared" si="72"/>
        <v>#DIV/0!</v>
      </c>
      <c r="H227">
        <f t="shared" si="73"/>
        <v>0</v>
      </c>
      <c r="I227">
        <f t="shared" si="74"/>
        <v>0</v>
      </c>
      <c r="J227">
        <f t="shared" si="75"/>
        <v>0</v>
      </c>
      <c r="K227">
        <f t="shared" si="76"/>
        <v>0</v>
      </c>
      <c r="L227">
        <f t="shared" si="77"/>
        <v>0</v>
      </c>
      <c r="M227">
        <f t="shared" si="78"/>
        <v>0</v>
      </c>
      <c r="N227">
        <f t="shared" si="79"/>
        <v>0</v>
      </c>
      <c r="O227" t="e">
        <f t="shared" si="80"/>
        <v>#DIV/0!</v>
      </c>
      <c r="P227" t="e">
        <f t="shared" si="81"/>
        <v>#DIV/0!</v>
      </c>
      <c r="Q227">
        <f t="shared" si="82"/>
        <v>0</v>
      </c>
      <c r="R227" t="e">
        <f t="shared" si="83"/>
        <v>#DIV/0!</v>
      </c>
      <c r="S227" t="e">
        <f t="shared" si="84"/>
        <v>#DIV/0!</v>
      </c>
      <c r="T227">
        <f>I227*E227/'[1]Inverter Analysis'!$L$2</f>
        <v>0</v>
      </c>
      <c r="U227" t="e">
        <f t="shared" si="85"/>
        <v>#DIV/0!</v>
      </c>
      <c r="V227" t="e">
        <f t="shared" si="86"/>
        <v>#DIV/0!</v>
      </c>
      <c r="W227" t="e">
        <f t="shared" si="87"/>
        <v>#DIV/0!</v>
      </c>
      <c r="X227" t="e">
        <f t="shared" si="88"/>
        <v>#DIV/0!</v>
      </c>
      <c r="Y227" t="e">
        <f t="shared" si="89"/>
        <v>#DIV/0!</v>
      </c>
      <c r="Z227" t="e">
        <f t="shared" si="90"/>
        <v>#DIV/0!</v>
      </c>
    </row>
    <row r="228" spans="4:26">
      <c r="D228">
        <f t="shared" si="69"/>
        <v>0</v>
      </c>
      <c r="E228">
        <f t="shared" si="70"/>
        <v>0</v>
      </c>
      <c r="F228">
        <f t="shared" si="71"/>
        <v>0</v>
      </c>
      <c r="G228" t="e">
        <f t="shared" si="72"/>
        <v>#DIV/0!</v>
      </c>
      <c r="H228">
        <f t="shared" si="73"/>
        <v>0</v>
      </c>
      <c r="I228">
        <f t="shared" si="74"/>
        <v>0</v>
      </c>
      <c r="J228">
        <f t="shared" si="75"/>
        <v>0</v>
      </c>
      <c r="K228">
        <f t="shared" si="76"/>
        <v>0</v>
      </c>
      <c r="L228">
        <f t="shared" si="77"/>
        <v>0</v>
      </c>
      <c r="M228">
        <f t="shared" si="78"/>
        <v>0</v>
      </c>
      <c r="N228">
        <f t="shared" si="79"/>
        <v>0</v>
      </c>
      <c r="O228" t="e">
        <f t="shared" si="80"/>
        <v>#DIV/0!</v>
      </c>
      <c r="P228" t="e">
        <f t="shared" si="81"/>
        <v>#DIV/0!</v>
      </c>
      <c r="Q228">
        <f t="shared" si="82"/>
        <v>0</v>
      </c>
      <c r="R228" t="e">
        <f t="shared" si="83"/>
        <v>#DIV/0!</v>
      </c>
      <c r="S228" t="e">
        <f t="shared" si="84"/>
        <v>#DIV/0!</v>
      </c>
      <c r="T228">
        <f>I228*E228/'[1]Inverter Analysis'!$L$2</f>
        <v>0</v>
      </c>
      <c r="U228" t="e">
        <f t="shared" si="85"/>
        <v>#DIV/0!</v>
      </c>
      <c r="V228" t="e">
        <f t="shared" si="86"/>
        <v>#DIV/0!</v>
      </c>
      <c r="W228" t="e">
        <f t="shared" si="87"/>
        <v>#DIV/0!</v>
      </c>
      <c r="X228" t="e">
        <f t="shared" si="88"/>
        <v>#DIV/0!</v>
      </c>
      <c r="Y228" t="e">
        <f t="shared" si="89"/>
        <v>#DIV/0!</v>
      </c>
      <c r="Z228" t="e">
        <f t="shared" si="90"/>
        <v>#DIV/0!</v>
      </c>
    </row>
    <row r="229" spans="4:26">
      <c r="D229">
        <f t="shared" si="69"/>
        <v>0</v>
      </c>
      <c r="E229">
        <f t="shared" si="70"/>
        <v>0</v>
      </c>
      <c r="F229">
        <f t="shared" si="71"/>
        <v>0</v>
      </c>
      <c r="G229" t="e">
        <f t="shared" si="72"/>
        <v>#DIV/0!</v>
      </c>
      <c r="H229">
        <f t="shared" si="73"/>
        <v>0</v>
      </c>
      <c r="I229">
        <f t="shared" si="74"/>
        <v>0</v>
      </c>
      <c r="J229">
        <f t="shared" si="75"/>
        <v>0</v>
      </c>
      <c r="K229">
        <f t="shared" si="76"/>
        <v>0</v>
      </c>
      <c r="L229">
        <f t="shared" si="77"/>
        <v>0</v>
      </c>
      <c r="M229">
        <f t="shared" si="78"/>
        <v>0</v>
      </c>
      <c r="N229">
        <f t="shared" si="79"/>
        <v>0</v>
      </c>
      <c r="O229" t="e">
        <f t="shared" si="80"/>
        <v>#DIV/0!</v>
      </c>
      <c r="P229" t="e">
        <f t="shared" si="81"/>
        <v>#DIV/0!</v>
      </c>
      <c r="Q229">
        <f t="shared" si="82"/>
        <v>0</v>
      </c>
      <c r="R229" t="e">
        <f t="shared" si="83"/>
        <v>#DIV/0!</v>
      </c>
      <c r="S229" t="e">
        <f t="shared" si="84"/>
        <v>#DIV/0!</v>
      </c>
      <c r="T229">
        <f>I229*E229/'[1]Inverter Analysis'!$L$2</f>
        <v>0</v>
      </c>
      <c r="U229" t="e">
        <f t="shared" si="85"/>
        <v>#DIV/0!</v>
      </c>
      <c r="V229" t="e">
        <f t="shared" si="86"/>
        <v>#DIV/0!</v>
      </c>
      <c r="W229" t="e">
        <f t="shared" si="87"/>
        <v>#DIV/0!</v>
      </c>
      <c r="X229" t="e">
        <f t="shared" si="88"/>
        <v>#DIV/0!</v>
      </c>
      <c r="Y229" t="e">
        <f t="shared" si="89"/>
        <v>#DIV/0!</v>
      </c>
      <c r="Z229" t="e">
        <f t="shared" si="90"/>
        <v>#DIV/0!</v>
      </c>
    </row>
    <row r="230" spans="4:26">
      <c r="D230">
        <f t="shared" si="69"/>
        <v>0</v>
      </c>
      <c r="E230">
        <f t="shared" si="70"/>
        <v>0</v>
      </c>
      <c r="F230">
        <f t="shared" si="71"/>
        <v>0</v>
      </c>
      <c r="G230" t="e">
        <f t="shared" si="72"/>
        <v>#DIV/0!</v>
      </c>
      <c r="H230">
        <f t="shared" si="73"/>
        <v>0</v>
      </c>
      <c r="I230">
        <f t="shared" si="74"/>
        <v>0</v>
      </c>
      <c r="J230">
        <f t="shared" si="75"/>
        <v>0</v>
      </c>
      <c r="K230">
        <f t="shared" si="76"/>
        <v>0</v>
      </c>
      <c r="L230">
        <f t="shared" si="77"/>
        <v>0</v>
      </c>
      <c r="M230">
        <f t="shared" si="78"/>
        <v>0</v>
      </c>
      <c r="N230">
        <f t="shared" si="79"/>
        <v>0</v>
      </c>
      <c r="O230" t="e">
        <f t="shared" si="80"/>
        <v>#DIV/0!</v>
      </c>
      <c r="P230" t="e">
        <f t="shared" si="81"/>
        <v>#DIV/0!</v>
      </c>
      <c r="Q230">
        <f t="shared" si="82"/>
        <v>0</v>
      </c>
      <c r="R230" t="e">
        <f t="shared" si="83"/>
        <v>#DIV/0!</v>
      </c>
      <c r="S230" t="e">
        <f t="shared" si="84"/>
        <v>#DIV/0!</v>
      </c>
      <c r="T230">
        <f>I230*E230/'[1]Inverter Analysis'!$L$2</f>
        <v>0</v>
      </c>
      <c r="U230" t="e">
        <f t="shared" si="85"/>
        <v>#DIV/0!</v>
      </c>
      <c r="V230" t="e">
        <f t="shared" si="86"/>
        <v>#DIV/0!</v>
      </c>
      <c r="W230" t="e">
        <f t="shared" si="87"/>
        <v>#DIV/0!</v>
      </c>
      <c r="X230" t="e">
        <f t="shared" si="88"/>
        <v>#DIV/0!</v>
      </c>
      <c r="Y230" t="e">
        <f t="shared" si="89"/>
        <v>#DIV/0!</v>
      </c>
      <c r="Z230" t="e">
        <f t="shared" si="90"/>
        <v>#DIV/0!</v>
      </c>
    </row>
    <row r="231" spans="4:26">
      <c r="D231">
        <f t="shared" si="69"/>
        <v>0</v>
      </c>
      <c r="E231">
        <f t="shared" si="70"/>
        <v>0</v>
      </c>
      <c r="F231">
        <f t="shared" si="71"/>
        <v>0</v>
      </c>
      <c r="G231" t="e">
        <f t="shared" si="72"/>
        <v>#DIV/0!</v>
      </c>
      <c r="H231">
        <f t="shared" si="73"/>
        <v>0</v>
      </c>
      <c r="I231">
        <f t="shared" si="74"/>
        <v>0</v>
      </c>
      <c r="J231">
        <f t="shared" si="75"/>
        <v>0</v>
      </c>
      <c r="K231">
        <f t="shared" si="76"/>
        <v>0</v>
      </c>
      <c r="L231">
        <f t="shared" si="77"/>
        <v>0</v>
      </c>
      <c r="M231">
        <f t="shared" si="78"/>
        <v>0</v>
      </c>
      <c r="N231">
        <f t="shared" si="79"/>
        <v>0</v>
      </c>
      <c r="O231" t="e">
        <f t="shared" si="80"/>
        <v>#DIV/0!</v>
      </c>
      <c r="P231" t="e">
        <f t="shared" si="81"/>
        <v>#DIV/0!</v>
      </c>
      <c r="Q231">
        <f t="shared" si="82"/>
        <v>0</v>
      </c>
      <c r="R231" t="e">
        <f t="shared" si="83"/>
        <v>#DIV/0!</v>
      </c>
      <c r="S231" t="e">
        <f t="shared" si="84"/>
        <v>#DIV/0!</v>
      </c>
      <c r="T231">
        <f>I231*E231/'[1]Inverter Analysis'!$L$2</f>
        <v>0</v>
      </c>
      <c r="U231" t="e">
        <f t="shared" si="85"/>
        <v>#DIV/0!</v>
      </c>
      <c r="V231" t="e">
        <f t="shared" si="86"/>
        <v>#DIV/0!</v>
      </c>
      <c r="W231" t="e">
        <f t="shared" si="87"/>
        <v>#DIV/0!</v>
      </c>
      <c r="X231" t="e">
        <f t="shared" si="88"/>
        <v>#DIV/0!</v>
      </c>
      <c r="Y231" t="e">
        <f t="shared" si="89"/>
        <v>#DIV/0!</v>
      </c>
      <c r="Z231" t="e">
        <f t="shared" si="90"/>
        <v>#DIV/0!</v>
      </c>
    </row>
    <row r="232" spans="4:26">
      <c r="D232">
        <f t="shared" si="69"/>
        <v>0</v>
      </c>
      <c r="E232">
        <f t="shared" si="70"/>
        <v>0</v>
      </c>
      <c r="F232">
        <f t="shared" si="71"/>
        <v>0</v>
      </c>
      <c r="G232" t="e">
        <f t="shared" si="72"/>
        <v>#DIV/0!</v>
      </c>
      <c r="H232">
        <f t="shared" si="73"/>
        <v>0</v>
      </c>
      <c r="I232">
        <f t="shared" si="74"/>
        <v>0</v>
      </c>
      <c r="J232">
        <f t="shared" si="75"/>
        <v>0</v>
      </c>
      <c r="K232">
        <f t="shared" si="76"/>
        <v>0</v>
      </c>
      <c r="L232">
        <f t="shared" si="77"/>
        <v>0</v>
      </c>
      <c r="M232">
        <f t="shared" si="78"/>
        <v>0</v>
      </c>
      <c r="N232">
        <f t="shared" si="79"/>
        <v>0</v>
      </c>
      <c r="O232" t="e">
        <f t="shared" si="80"/>
        <v>#DIV/0!</v>
      </c>
      <c r="P232" t="e">
        <f t="shared" si="81"/>
        <v>#DIV/0!</v>
      </c>
      <c r="Q232">
        <f t="shared" si="82"/>
        <v>0</v>
      </c>
      <c r="R232" t="e">
        <f t="shared" si="83"/>
        <v>#DIV/0!</v>
      </c>
      <c r="S232" t="e">
        <f t="shared" si="84"/>
        <v>#DIV/0!</v>
      </c>
      <c r="T232">
        <f>I232*E232/'[1]Inverter Analysis'!$L$2</f>
        <v>0</v>
      </c>
      <c r="U232" t="e">
        <f t="shared" si="85"/>
        <v>#DIV/0!</v>
      </c>
      <c r="V232" t="e">
        <f t="shared" si="86"/>
        <v>#DIV/0!</v>
      </c>
      <c r="W232" t="e">
        <f t="shared" si="87"/>
        <v>#DIV/0!</v>
      </c>
      <c r="X232" t="e">
        <f t="shared" si="88"/>
        <v>#DIV/0!</v>
      </c>
      <c r="Y232" t="e">
        <f t="shared" si="89"/>
        <v>#DIV/0!</v>
      </c>
      <c r="Z232" t="e">
        <f t="shared" si="90"/>
        <v>#DIV/0!</v>
      </c>
    </row>
    <row r="233" spans="4:26">
      <c r="D233">
        <f t="shared" si="69"/>
        <v>0</v>
      </c>
      <c r="E233">
        <f t="shared" si="70"/>
        <v>0</v>
      </c>
      <c r="F233">
        <f t="shared" si="71"/>
        <v>0</v>
      </c>
      <c r="G233" t="e">
        <f t="shared" si="72"/>
        <v>#DIV/0!</v>
      </c>
      <c r="H233">
        <f t="shared" si="73"/>
        <v>0</v>
      </c>
      <c r="I233">
        <f t="shared" si="74"/>
        <v>0</v>
      </c>
      <c r="J233">
        <f t="shared" si="75"/>
        <v>0</v>
      </c>
      <c r="K233">
        <f t="shared" si="76"/>
        <v>0</v>
      </c>
      <c r="L233">
        <f t="shared" si="77"/>
        <v>0</v>
      </c>
      <c r="M233">
        <f t="shared" si="78"/>
        <v>0</v>
      </c>
      <c r="N233">
        <f t="shared" si="79"/>
        <v>0</v>
      </c>
      <c r="O233" t="e">
        <f t="shared" si="80"/>
        <v>#DIV/0!</v>
      </c>
      <c r="P233" t="e">
        <f t="shared" si="81"/>
        <v>#DIV/0!</v>
      </c>
      <c r="Q233">
        <f t="shared" si="82"/>
        <v>0</v>
      </c>
      <c r="R233" t="e">
        <f t="shared" si="83"/>
        <v>#DIV/0!</v>
      </c>
      <c r="S233" t="e">
        <f t="shared" si="84"/>
        <v>#DIV/0!</v>
      </c>
      <c r="T233">
        <f>I233*E233/'[1]Inverter Analysis'!$L$2</f>
        <v>0</v>
      </c>
      <c r="U233" t="e">
        <f t="shared" si="85"/>
        <v>#DIV/0!</v>
      </c>
      <c r="V233" t="e">
        <f t="shared" si="86"/>
        <v>#DIV/0!</v>
      </c>
      <c r="W233" t="e">
        <f t="shared" si="87"/>
        <v>#DIV/0!</v>
      </c>
      <c r="X233" t="e">
        <f t="shared" si="88"/>
        <v>#DIV/0!</v>
      </c>
      <c r="Y233" t="e">
        <f t="shared" si="89"/>
        <v>#DIV/0!</v>
      </c>
      <c r="Z233" t="e">
        <f t="shared" si="90"/>
        <v>#DIV/0!</v>
      </c>
    </row>
    <row r="234" spans="4:26">
      <c r="D234">
        <f t="shared" si="69"/>
        <v>0</v>
      </c>
      <c r="E234">
        <f t="shared" si="70"/>
        <v>0</v>
      </c>
      <c r="F234">
        <f t="shared" si="71"/>
        <v>0</v>
      </c>
      <c r="G234" t="e">
        <f t="shared" si="72"/>
        <v>#DIV/0!</v>
      </c>
      <c r="H234">
        <f t="shared" si="73"/>
        <v>0</v>
      </c>
      <c r="I234">
        <f t="shared" si="74"/>
        <v>0</v>
      </c>
      <c r="J234">
        <f t="shared" si="75"/>
        <v>0</v>
      </c>
      <c r="K234">
        <f t="shared" si="76"/>
        <v>0</v>
      </c>
      <c r="L234">
        <f t="shared" si="77"/>
        <v>0</v>
      </c>
      <c r="M234">
        <f t="shared" si="78"/>
        <v>0</v>
      </c>
      <c r="N234">
        <f t="shared" si="79"/>
        <v>0</v>
      </c>
      <c r="O234" t="e">
        <f t="shared" si="80"/>
        <v>#DIV/0!</v>
      </c>
      <c r="P234" t="e">
        <f t="shared" si="81"/>
        <v>#DIV/0!</v>
      </c>
      <c r="Q234">
        <f t="shared" si="82"/>
        <v>0</v>
      </c>
      <c r="R234" t="e">
        <f t="shared" si="83"/>
        <v>#DIV/0!</v>
      </c>
      <c r="S234" t="e">
        <f t="shared" si="84"/>
        <v>#DIV/0!</v>
      </c>
      <c r="T234">
        <f>I234*E234/'[1]Inverter Analysis'!$L$2</f>
        <v>0</v>
      </c>
      <c r="U234" t="e">
        <f t="shared" si="85"/>
        <v>#DIV/0!</v>
      </c>
      <c r="V234" t="e">
        <f t="shared" si="86"/>
        <v>#DIV/0!</v>
      </c>
      <c r="W234" t="e">
        <f t="shared" si="87"/>
        <v>#DIV/0!</v>
      </c>
      <c r="X234" t="e">
        <f t="shared" si="88"/>
        <v>#DIV/0!</v>
      </c>
      <c r="Y234" t="e">
        <f t="shared" si="89"/>
        <v>#DIV/0!</v>
      </c>
      <c r="Z234" t="e">
        <f t="shared" si="90"/>
        <v>#DIV/0!</v>
      </c>
    </row>
    <row r="235" spans="4:26">
      <c r="D235">
        <f t="shared" si="69"/>
        <v>0</v>
      </c>
      <c r="E235">
        <f t="shared" si="70"/>
        <v>0</v>
      </c>
      <c r="F235">
        <f t="shared" si="71"/>
        <v>0</v>
      </c>
      <c r="G235" t="e">
        <f t="shared" si="72"/>
        <v>#DIV/0!</v>
      </c>
      <c r="H235">
        <f t="shared" si="73"/>
        <v>0</v>
      </c>
      <c r="I235">
        <f t="shared" si="74"/>
        <v>0</v>
      </c>
      <c r="J235">
        <f t="shared" si="75"/>
        <v>0</v>
      </c>
      <c r="K235">
        <f t="shared" si="76"/>
        <v>0</v>
      </c>
      <c r="L235">
        <f t="shared" si="77"/>
        <v>0</v>
      </c>
      <c r="M235">
        <f t="shared" si="78"/>
        <v>0</v>
      </c>
      <c r="N235">
        <f t="shared" si="79"/>
        <v>0</v>
      </c>
      <c r="O235" t="e">
        <f t="shared" si="80"/>
        <v>#DIV/0!</v>
      </c>
      <c r="P235" t="e">
        <f t="shared" si="81"/>
        <v>#DIV/0!</v>
      </c>
      <c r="Q235">
        <f t="shared" si="82"/>
        <v>0</v>
      </c>
      <c r="R235" t="e">
        <f t="shared" si="83"/>
        <v>#DIV/0!</v>
      </c>
      <c r="S235" t="e">
        <f t="shared" si="84"/>
        <v>#DIV/0!</v>
      </c>
      <c r="T235">
        <f>I235*E235/'[1]Inverter Analysis'!$L$2</f>
        <v>0</v>
      </c>
      <c r="U235" t="e">
        <f t="shared" si="85"/>
        <v>#DIV/0!</v>
      </c>
      <c r="V235" t="e">
        <f t="shared" si="86"/>
        <v>#DIV/0!</v>
      </c>
      <c r="W235" t="e">
        <f t="shared" si="87"/>
        <v>#DIV/0!</v>
      </c>
      <c r="X235" t="e">
        <f t="shared" si="88"/>
        <v>#DIV/0!</v>
      </c>
      <c r="Y235" t="e">
        <f t="shared" si="89"/>
        <v>#DIV/0!</v>
      </c>
      <c r="Z235" t="e">
        <f t="shared" si="90"/>
        <v>#DIV/0!</v>
      </c>
    </row>
    <row r="236" spans="4:26">
      <c r="D236">
        <f t="shared" si="69"/>
        <v>0</v>
      </c>
      <c r="E236">
        <f t="shared" si="70"/>
        <v>0</v>
      </c>
      <c r="F236">
        <f t="shared" si="71"/>
        <v>0</v>
      </c>
      <c r="G236" t="e">
        <f t="shared" si="72"/>
        <v>#DIV/0!</v>
      </c>
      <c r="H236">
        <f t="shared" si="73"/>
        <v>0</v>
      </c>
      <c r="I236">
        <f t="shared" si="74"/>
        <v>0</v>
      </c>
      <c r="J236">
        <f t="shared" si="75"/>
        <v>0</v>
      </c>
      <c r="K236">
        <f t="shared" si="76"/>
        <v>0</v>
      </c>
      <c r="L236">
        <f t="shared" si="77"/>
        <v>0</v>
      </c>
      <c r="M236">
        <f t="shared" si="78"/>
        <v>0</v>
      </c>
      <c r="N236">
        <f t="shared" si="79"/>
        <v>0</v>
      </c>
      <c r="O236" t="e">
        <f t="shared" si="80"/>
        <v>#DIV/0!</v>
      </c>
      <c r="P236" t="e">
        <f t="shared" si="81"/>
        <v>#DIV/0!</v>
      </c>
      <c r="Q236">
        <f t="shared" si="82"/>
        <v>0</v>
      </c>
      <c r="R236" t="e">
        <f t="shared" si="83"/>
        <v>#DIV/0!</v>
      </c>
      <c r="S236" t="e">
        <f t="shared" si="84"/>
        <v>#DIV/0!</v>
      </c>
      <c r="T236">
        <f>I236*E236/'[1]Inverter Analysis'!$L$2</f>
        <v>0</v>
      </c>
      <c r="U236" t="e">
        <f t="shared" si="85"/>
        <v>#DIV/0!</v>
      </c>
      <c r="V236" t="e">
        <f t="shared" si="86"/>
        <v>#DIV/0!</v>
      </c>
      <c r="W236" t="e">
        <f t="shared" si="87"/>
        <v>#DIV/0!</v>
      </c>
      <c r="X236" t="e">
        <f t="shared" si="88"/>
        <v>#DIV/0!</v>
      </c>
      <c r="Y236" t="e">
        <f t="shared" si="89"/>
        <v>#DIV/0!</v>
      </c>
      <c r="Z236" t="e">
        <f t="shared" si="90"/>
        <v>#DIV/0!</v>
      </c>
    </row>
    <row r="237" spans="4:26">
      <c r="D237">
        <f t="shared" si="69"/>
        <v>0</v>
      </c>
      <c r="E237">
        <f t="shared" si="70"/>
        <v>0</v>
      </c>
      <c r="F237">
        <f t="shared" si="71"/>
        <v>0</v>
      </c>
      <c r="G237" t="e">
        <f t="shared" si="72"/>
        <v>#DIV/0!</v>
      </c>
      <c r="H237">
        <f t="shared" si="73"/>
        <v>0</v>
      </c>
      <c r="I237">
        <f t="shared" si="74"/>
        <v>0</v>
      </c>
      <c r="J237">
        <f t="shared" si="75"/>
        <v>0</v>
      </c>
      <c r="K237">
        <f t="shared" si="76"/>
        <v>0</v>
      </c>
      <c r="L237">
        <f t="shared" si="77"/>
        <v>0</v>
      </c>
      <c r="M237">
        <f t="shared" si="78"/>
        <v>0</v>
      </c>
      <c r="N237">
        <f t="shared" si="79"/>
        <v>0</v>
      </c>
      <c r="O237" t="e">
        <f t="shared" si="80"/>
        <v>#DIV/0!</v>
      </c>
      <c r="P237" t="e">
        <f t="shared" si="81"/>
        <v>#DIV/0!</v>
      </c>
      <c r="Q237">
        <f t="shared" si="82"/>
        <v>0</v>
      </c>
      <c r="R237" t="e">
        <f t="shared" si="83"/>
        <v>#DIV/0!</v>
      </c>
      <c r="S237" t="e">
        <f t="shared" si="84"/>
        <v>#DIV/0!</v>
      </c>
      <c r="T237">
        <f>I237*E237/'[1]Inverter Analysis'!$L$2</f>
        <v>0</v>
      </c>
      <c r="U237" t="e">
        <f t="shared" si="85"/>
        <v>#DIV/0!</v>
      </c>
      <c r="V237" t="e">
        <f t="shared" si="86"/>
        <v>#DIV/0!</v>
      </c>
      <c r="W237" t="e">
        <f t="shared" si="87"/>
        <v>#DIV/0!</v>
      </c>
      <c r="X237" t="e">
        <f t="shared" si="88"/>
        <v>#DIV/0!</v>
      </c>
      <c r="Y237" t="e">
        <f t="shared" si="89"/>
        <v>#DIV/0!</v>
      </c>
      <c r="Z237" t="e">
        <f t="shared" si="90"/>
        <v>#DIV/0!</v>
      </c>
    </row>
    <row r="238" spans="4:26">
      <c r="D238">
        <f t="shared" si="69"/>
        <v>0</v>
      </c>
      <c r="E238">
        <f t="shared" si="70"/>
        <v>0</v>
      </c>
      <c r="F238">
        <f t="shared" si="71"/>
        <v>0</v>
      </c>
      <c r="G238" t="e">
        <f t="shared" si="72"/>
        <v>#DIV/0!</v>
      </c>
      <c r="H238">
        <f t="shared" si="73"/>
        <v>0</v>
      </c>
      <c r="I238">
        <f t="shared" si="74"/>
        <v>0</v>
      </c>
      <c r="J238">
        <f t="shared" si="75"/>
        <v>0</v>
      </c>
      <c r="K238">
        <f t="shared" si="76"/>
        <v>0</v>
      </c>
      <c r="L238">
        <f t="shared" si="77"/>
        <v>0</v>
      </c>
      <c r="M238">
        <f t="shared" si="78"/>
        <v>0</v>
      </c>
      <c r="N238">
        <f t="shared" si="79"/>
        <v>0</v>
      </c>
      <c r="O238" t="e">
        <f t="shared" si="80"/>
        <v>#DIV/0!</v>
      </c>
      <c r="P238" t="e">
        <f t="shared" si="81"/>
        <v>#DIV/0!</v>
      </c>
      <c r="Q238">
        <f t="shared" si="82"/>
        <v>0</v>
      </c>
      <c r="R238" t="e">
        <f t="shared" si="83"/>
        <v>#DIV/0!</v>
      </c>
      <c r="S238" t="e">
        <f t="shared" si="84"/>
        <v>#DIV/0!</v>
      </c>
      <c r="T238">
        <f>I238*E238/'[1]Inverter Analysis'!$L$2</f>
        <v>0</v>
      </c>
      <c r="U238" t="e">
        <f t="shared" si="85"/>
        <v>#DIV/0!</v>
      </c>
      <c r="V238" t="e">
        <f t="shared" si="86"/>
        <v>#DIV/0!</v>
      </c>
      <c r="W238" t="e">
        <f t="shared" si="87"/>
        <v>#DIV/0!</v>
      </c>
      <c r="X238" t="e">
        <f t="shared" si="88"/>
        <v>#DIV/0!</v>
      </c>
      <c r="Y238" t="e">
        <f t="shared" si="89"/>
        <v>#DIV/0!</v>
      </c>
      <c r="Z238" t="e">
        <f t="shared" si="90"/>
        <v>#DIV/0!</v>
      </c>
    </row>
    <row r="239" spans="4:26">
      <c r="D239">
        <f t="shared" si="69"/>
        <v>0</v>
      </c>
      <c r="E239">
        <f t="shared" si="70"/>
        <v>0</v>
      </c>
      <c r="F239">
        <f t="shared" si="71"/>
        <v>0</v>
      </c>
      <c r="G239" t="e">
        <f t="shared" si="72"/>
        <v>#DIV/0!</v>
      </c>
      <c r="H239">
        <f t="shared" si="73"/>
        <v>0</v>
      </c>
      <c r="I239">
        <f t="shared" si="74"/>
        <v>0</v>
      </c>
      <c r="J239">
        <f t="shared" si="75"/>
        <v>0</v>
      </c>
      <c r="K239">
        <f t="shared" si="76"/>
        <v>0</v>
      </c>
      <c r="L239">
        <f t="shared" si="77"/>
        <v>0</v>
      </c>
      <c r="M239">
        <f t="shared" si="78"/>
        <v>0</v>
      </c>
      <c r="N239">
        <f t="shared" si="79"/>
        <v>0</v>
      </c>
      <c r="O239" t="e">
        <f t="shared" si="80"/>
        <v>#DIV/0!</v>
      </c>
      <c r="P239" t="e">
        <f t="shared" si="81"/>
        <v>#DIV/0!</v>
      </c>
      <c r="Q239">
        <f t="shared" si="82"/>
        <v>0</v>
      </c>
      <c r="R239" t="e">
        <f t="shared" si="83"/>
        <v>#DIV/0!</v>
      </c>
      <c r="S239" t="e">
        <f t="shared" si="84"/>
        <v>#DIV/0!</v>
      </c>
      <c r="T239">
        <f>I239*E239/'[1]Inverter Analysis'!$L$2</f>
        <v>0</v>
      </c>
      <c r="U239" t="e">
        <f t="shared" si="85"/>
        <v>#DIV/0!</v>
      </c>
      <c r="V239" t="e">
        <f t="shared" si="86"/>
        <v>#DIV/0!</v>
      </c>
      <c r="W239" t="e">
        <f t="shared" si="87"/>
        <v>#DIV/0!</v>
      </c>
      <c r="X239" t="e">
        <f t="shared" si="88"/>
        <v>#DIV/0!</v>
      </c>
      <c r="Y239" t="e">
        <f t="shared" si="89"/>
        <v>#DIV/0!</v>
      </c>
      <c r="Z239" t="e">
        <f t="shared" si="90"/>
        <v>#DIV/0!</v>
      </c>
    </row>
    <row r="240" spans="4:26">
      <c r="D240">
        <f t="shared" si="69"/>
        <v>0</v>
      </c>
      <c r="E240">
        <f t="shared" si="70"/>
        <v>0</v>
      </c>
      <c r="F240">
        <f t="shared" si="71"/>
        <v>0</v>
      </c>
      <c r="G240" t="e">
        <f t="shared" si="72"/>
        <v>#DIV/0!</v>
      </c>
      <c r="H240">
        <f t="shared" si="73"/>
        <v>0</v>
      </c>
      <c r="I240">
        <f t="shared" si="74"/>
        <v>0</v>
      </c>
      <c r="J240">
        <f t="shared" si="75"/>
        <v>0</v>
      </c>
      <c r="K240">
        <f t="shared" si="76"/>
        <v>0</v>
      </c>
      <c r="L240">
        <f t="shared" si="77"/>
        <v>0</v>
      </c>
      <c r="M240">
        <f t="shared" si="78"/>
        <v>0</v>
      </c>
      <c r="N240">
        <f t="shared" si="79"/>
        <v>0</v>
      </c>
      <c r="O240" t="e">
        <f t="shared" si="80"/>
        <v>#DIV/0!</v>
      </c>
      <c r="P240" t="e">
        <f t="shared" si="81"/>
        <v>#DIV/0!</v>
      </c>
      <c r="Q240">
        <f t="shared" si="82"/>
        <v>0</v>
      </c>
      <c r="R240" t="e">
        <f t="shared" si="83"/>
        <v>#DIV/0!</v>
      </c>
      <c r="S240" t="e">
        <f t="shared" si="84"/>
        <v>#DIV/0!</v>
      </c>
      <c r="T240">
        <f>I240*E240/'[1]Inverter Analysis'!$L$2</f>
        <v>0</v>
      </c>
      <c r="U240" t="e">
        <f t="shared" si="85"/>
        <v>#DIV/0!</v>
      </c>
      <c r="V240" t="e">
        <f t="shared" si="86"/>
        <v>#DIV/0!</v>
      </c>
      <c r="W240" t="e">
        <f t="shared" si="87"/>
        <v>#DIV/0!</v>
      </c>
      <c r="X240" t="e">
        <f t="shared" si="88"/>
        <v>#DIV/0!</v>
      </c>
      <c r="Y240" t="e">
        <f t="shared" si="89"/>
        <v>#DIV/0!</v>
      </c>
      <c r="Z240" t="e">
        <f t="shared" si="90"/>
        <v>#DIV/0!</v>
      </c>
    </row>
    <row r="241" spans="4:26">
      <c r="D241">
        <f t="shared" si="69"/>
        <v>0</v>
      </c>
      <c r="E241">
        <f t="shared" si="70"/>
        <v>0</v>
      </c>
      <c r="F241">
        <f t="shared" si="71"/>
        <v>0</v>
      </c>
      <c r="G241" t="e">
        <f t="shared" si="72"/>
        <v>#DIV/0!</v>
      </c>
      <c r="H241">
        <f t="shared" si="73"/>
        <v>0</v>
      </c>
      <c r="I241">
        <f t="shared" si="74"/>
        <v>0</v>
      </c>
      <c r="J241">
        <f t="shared" si="75"/>
        <v>0</v>
      </c>
      <c r="K241">
        <f t="shared" si="76"/>
        <v>0</v>
      </c>
      <c r="L241">
        <f t="shared" si="77"/>
        <v>0</v>
      </c>
      <c r="M241">
        <f t="shared" si="78"/>
        <v>0</v>
      </c>
      <c r="N241">
        <f t="shared" si="79"/>
        <v>0</v>
      </c>
      <c r="O241" t="e">
        <f t="shared" si="80"/>
        <v>#DIV/0!</v>
      </c>
      <c r="P241" t="e">
        <f t="shared" si="81"/>
        <v>#DIV/0!</v>
      </c>
      <c r="Q241">
        <f t="shared" si="82"/>
        <v>0</v>
      </c>
      <c r="R241" t="e">
        <f t="shared" si="83"/>
        <v>#DIV/0!</v>
      </c>
      <c r="S241" t="e">
        <f t="shared" si="84"/>
        <v>#DIV/0!</v>
      </c>
      <c r="T241">
        <f>I241*E241/'[1]Inverter Analysis'!$L$2</f>
        <v>0</v>
      </c>
      <c r="U241" t="e">
        <f t="shared" si="85"/>
        <v>#DIV/0!</v>
      </c>
      <c r="V241" t="e">
        <f t="shared" si="86"/>
        <v>#DIV/0!</v>
      </c>
      <c r="W241" t="e">
        <f t="shared" si="87"/>
        <v>#DIV/0!</v>
      </c>
      <c r="X241" t="e">
        <f t="shared" si="88"/>
        <v>#DIV/0!</v>
      </c>
      <c r="Y241" t="e">
        <f t="shared" si="89"/>
        <v>#DIV/0!</v>
      </c>
      <c r="Z241" t="e">
        <f t="shared" si="90"/>
        <v>#DIV/0!</v>
      </c>
    </row>
    <row r="242" spans="4:26">
      <c r="D242">
        <f t="shared" si="69"/>
        <v>0</v>
      </c>
      <c r="E242">
        <f t="shared" si="70"/>
        <v>0</v>
      </c>
      <c r="F242">
        <f t="shared" si="71"/>
        <v>0</v>
      </c>
      <c r="G242" t="e">
        <f t="shared" si="72"/>
        <v>#DIV/0!</v>
      </c>
      <c r="H242">
        <f t="shared" si="73"/>
        <v>0</v>
      </c>
      <c r="I242">
        <f t="shared" si="74"/>
        <v>0</v>
      </c>
      <c r="J242">
        <f t="shared" si="75"/>
        <v>0</v>
      </c>
      <c r="K242">
        <f t="shared" si="76"/>
        <v>0</v>
      </c>
      <c r="L242">
        <f t="shared" si="77"/>
        <v>0</v>
      </c>
      <c r="M242">
        <f t="shared" si="78"/>
        <v>0</v>
      </c>
      <c r="N242">
        <f t="shared" si="79"/>
        <v>0</v>
      </c>
      <c r="O242" t="e">
        <f t="shared" si="80"/>
        <v>#DIV/0!</v>
      </c>
      <c r="P242" t="e">
        <f t="shared" si="81"/>
        <v>#DIV/0!</v>
      </c>
      <c r="Q242">
        <f t="shared" si="82"/>
        <v>0</v>
      </c>
      <c r="R242" t="e">
        <f t="shared" si="83"/>
        <v>#DIV/0!</v>
      </c>
      <c r="S242" t="e">
        <f t="shared" si="84"/>
        <v>#DIV/0!</v>
      </c>
      <c r="T242">
        <f>I242*E242/'[1]Inverter Analysis'!$L$2</f>
        <v>0</v>
      </c>
      <c r="U242" t="e">
        <f t="shared" si="85"/>
        <v>#DIV/0!</v>
      </c>
      <c r="V242" t="e">
        <f t="shared" si="86"/>
        <v>#DIV/0!</v>
      </c>
      <c r="W242" t="e">
        <f t="shared" si="87"/>
        <v>#DIV/0!</v>
      </c>
      <c r="X242" t="e">
        <f t="shared" si="88"/>
        <v>#DIV/0!</v>
      </c>
      <c r="Y242" t="e">
        <f t="shared" si="89"/>
        <v>#DIV/0!</v>
      </c>
      <c r="Z242" t="e">
        <f t="shared" si="90"/>
        <v>#DIV/0!</v>
      </c>
    </row>
    <row r="243" spans="4:26">
      <c r="D243">
        <f t="shared" si="69"/>
        <v>0</v>
      </c>
      <c r="E243">
        <f t="shared" si="70"/>
        <v>0</v>
      </c>
      <c r="F243">
        <f t="shared" si="71"/>
        <v>0</v>
      </c>
      <c r="G243" t="e">
        <f t="shared" si="72"/>
        <v>#DIV/0!</v>
      </c>
      <c r="H243">
        <f t="shared" si="73"/>
        <v>0</v>
      </c>
      <c r="I243">
        <f t="shared" si="74"/>
        <v>0</v>
      </c>
      <c r="J243">
        <f t="shared" si="75"/>
        <v>0</v>
      </c>
      <c r="K243">
        <f t="shared" si="76"/>
        <v>0</v>
      </c>
      <c r="L243">
        <f t="shared" si="77"/>
        <v>0</v>
      </c>
      <c r="M243">
        <f t="shared" si="78"/>
        <v>0</v>
      </c>
      <c r="N243">
        <f t="shared" si="79"/>
        <v>0</v>
      </c>
      <c r="O243" t="e">
        <f t="shared" si="80"/>
        <v>#DIV/0!</v>
      </c>
      <c r="P243" t="e">
        <f t="shared" si="81"/>
        <v>#DIV/0!</v>
      </c>
      <c r="Q243">
        <f t="shared" si="82"/>
        <v>0</v>
      </c>
      <c r="R243" t="e">
        <f t="shared" si="83"/>
        <v>#DIV/0!</v>
      </c>
      <c r="S243" t="e">
        <f t="shared" si="84"/>
        <v>#DIV/0!</v>
      </c>
      <c r="T243">
        <f>I243*E243/'[1]Inverter Analysis'!$L$2</f>
        <v>0</v>
      </c>
      <c r="U243" t="e">
        <f t="shared" si="85"/>
        <v>#DIV/0!</v>
      </c>
      <c r="V243" t="e">
        <f t="shared" si="86"/>
        <v>#DIV/0!</v>
      </c>
      <c r="W243" t="e">
        <f t="shared" si="87"/>
        <v>#DIV/0!</v>
      </c>
      <c r="X243" t="e">
        <f t="shared" si="88"/>
        <v>#DIV/0!</v>
      </c>
      <c r="Y243" t="e">
        <f t="shared" si="89"/>
        <v>#DIV/0!</v>
      </c>
      <c r="Z243" t="e">
        <f t="shared" si="90"/>
        <v>#DIV/0!</v>
      </c>
    </row>
    <row r="244" spans="4:26">
      <c r="D244">
        <f t="shared" si="69"/>
        <v>0</v>
      </c>
      <c r="E244">
        <f t="shared" si="70"/>
        <v>0</v>
      </c>
      <c r="F244">
        <f t="shared" si="71"/>
        <v>0</v>
      </c>
      <c r="G244" t="e">
        <f t="shared" si="72"/>
        <v>#DIV/0!</v>
      </c>
      <c r="H244">
        <f t="shared" si="73"/>
        <v>0</v>
      </c>
      <c r="I244">
        <f t="shared" si="74"/>
        <v>0</v>
      </c>
      <c r="J244">
        <f t="shared" si="75"/>
        <v>0</v>
      </c>
      <c r="K244">
        <f t="shared" si="76"/>
        <v>0</v>
      </c>
      <c r="L244">
        <f t="shared" si="77"/>
        <v>0</v>
      </c>
      <c r="M244">
        <f t="shared" si="78"/>
        <v>0</v>
      </c>
      <c r="N244">
        <f t="shared" si="79"/>
        <v>0</v>
      </c>
      <c r="O244" t="e">
        <f t="shared" si="80"/>
        <v>#DIV/0!</v>
      </c>
      <c r="P244" t="e">
        <f t="shared" si="81"/>
        <v>#DIV/0!</v>
      </c>
      <c r="Q244">
        <f t="shared" si="82"/>
        <v>0</v>
      </c>
      <c r="R244" t="e">
        <f t="shared" si="83"/>
        <v>#DIV/0!</v>
      </c>
      <c r="S244" t="e">
        <f t="shared" si="84"/>
        <v>#DIV/0!</v>
      </c>
      <c r="T244">
        <f>I244*E244/'[1]Inverter Analysis'!$L$2</f>
        <v>0</v>
      </c>
      <c r="U244" t="e">
        <f t="shared" si="85"/>
        <v>#DIV/0!</v>
      </c>
      <c r="V244" t="e">
        <f t="shared" si="86"/>
        <v>#DIV/0!</v>
      </c>
      <c r="W244" t="e">
        <f t="shared" si="87"/>
        <v>#DIV/0!</v>
      </c>
      <c r="X244" t="e">
        <f t="shared" si="88"/>
        <v>#DIV/0!</v>
      </c>
      <c r="Y244" t="e">
        <f t="shared" si="89"/>
        <v>#DIV/0!</v>
      </c>
      <c r="Z244" t="e">
        <f t="shared" si="90"/>
        <v>#DIV/0!</v>
      </c>
    </row>
    <row r="245" spans="4:26">
      <c r="D245">
        <f t="shared" si="69"/>
        <v>0</v>
      </c>
      <c r="E245">
        <f t="shared" si="70"/>
        <v>0</v>
      </c>
      <c r="F245">
        <f t="shared" si="71"/>
        <v>0</v>
      </c>
      <c r="G245" t="e">
        <f t="shared" si="72"/>
        <v>#DIV/0!</v>
      </c>
      <c r="H245">
        <f t="shared" si="73"/>
        <v>0</v>
      </c>
      <c r="I245">
        <f t="shared" si="74"/>
        <v>0</v>
      </c>
      <c r="J245">
        <f t="shared" si="75"/>
        <v>0</v>
      </c>
      <c r="K245">
        <f t="shared" si="76"/>
        <v>0</v>
      </c>
      <c r="L245">
        <f t="shared" si="77"/>
        <v>0</v>
      </c>
      <c r="M245">
        <f t="shared" si="78"/>
        <v>0</v>
      </c>
      <c r="N245">
        <f t="shared" si="79"/>
        <v>0</v>
      </c>
      <c r="O245" t="e">
        <f t="shared" si="80"/>
        <v>#DIV/0!</v>
      </c>
      <c r="P245" t="e">
        <f t="shared" si="81"/>
        <v>#DIV/0!</v>
      </c>
      <c r="Q245">
        <f t="shared" si="82"/>
        <v>0</v>
      </c>
      <c r="R245" t="e">
        <f t="shared" si="83"/>
        <v>#DIV/0!</v>
      </c>
      <c r="S245" t="e">
        <f t="shared" si="84"/>
        <v>#DIV/0!</v>
      </c>
      <c r="T245">
        <f>I245*E245/'[1]Inverter Analysis'!$L$2</f>
        <v>0</v>
      </c>
      <c r="U245" t="e">
        <f t="shared" si="85"/>
        <v>#DIV/0!</v>
      </c>
      <c r="V245" t="e">
        <f t="shared" si="86"/>
        <v>#DIV/0!</v>
      </c>
      <c r="W245" t="e">
        <f t="shared" si="87"/>
        <v>#DIV/0!</v>
      </c>
      <c r="X245" t="e">
        <f t="shared" si="88"/>
        <v>#DIV/0!</v>
      </c>
      <c r="Y245" t="e">
        <f t="shared" si="89"/>
        <v>#DIV/0!</v>
      </c>
      <c r="Z245" t="e">
        <f t="shared" si="90"/>
        <v>#DIV/0!</v>
      </c>
    </row>
    <row r="246" spans="4:26">
      <c r="D246">
        <f t="shared" si="69"/>
        <v>0</v>
      </c>
      <c r="E246">
        <f t="shared" si="70"/>
        <v>0</v>
      </c>
      <c r="F246">
        <f t="shared" si="71"/>
        <v>0</v>
      </c>
      <c r="G246" t="e">
        <f t="shared" si="72"/>
        <v>#DIV/0!</v>
      </c>
      <c r="H246">
        <f t="shared" si="73"/>
        <v>0</v>
      </c>
      <c r="I246">
        <f t="shared" si="74"/>
        <v>0</v>
      </c>
      <c r="J246">
        <f t="shared" si="75"/>
        <v>0</v>
      </c>
      <c r="K246">
        <f t="shared" si="76"/>
        <v>0</v>
      </c>
      <c r="L246">
        <f t="shared" si="77"/>
        <v>0</v>
      </c>
      <c r="M246">
        <f t="shared" si="78"/>
        <v>0</v>
      </c>
      <c r="N246">
        <f t="shared" si="79"/>
        <v>0</v>
      </c>
      <c r="O246" t="e">
        <f t="shared" si="80"/>
        <v>#DIV/0!</v>
      </c>
      <c r="P246" t="e">
        <f t="shared" si="81"/>
        <v>#DIV/0!</v>
      </c>
      <c r="Q246">
        <f t="shared" si="82"/>
        <v>0</v>
      </c>
      <c r="R246" t="e">
        <f t="shared" si="83"/>
        <v>#DIV/0!</v>
      </c>
      <c r="S246" t="e">
        <f t="shared" si="84"/>
        <v>#DIV/0!</v>
      </c>
      <c r="T246">
        <f>I246*E246/'[1]Inverter Analysis'!$L$2</f>
        <v>0</v>
      </c>
      <c r="U246" t="e">
        <f t="shared" si="85"/>
        <v>#DIV/0!</v>
      </c>
      <c r="V246" t="e">
        <f t="shared" si="86"/>
        <v>#DIV/0!</v>
      </c>
      <c r="W246" t="e">
        <f t="shared" si="87"/>
        <v>#DIV/0!</v>
      </c>
      <c r="X246" t="e">
        <f t="shared" si="88"/>
        <v>#DIV/0!</v>
      </c>
      <c r="Y246" t="e">
        <f t="shared" si="89"/>
        <v>#DIV/0!</v>
      </c>
      <c r="Z246" t="e">
        <f t="shared" si="90"/>
        <v>#DIV/0!</v>
      </c>
    </row>
    <row r="247" spans="4:26">
      <c r="D247">
        <f t="shared" si="69"/>
        <v>0</v>
      </c>
      <c r="E247">
        <f t="shared" si="70"/>
        <v>0</v>
      </c>
      <c r="F247">
        <f t="shared" si="71"/>
        <v>0</v>
      </c>
      <c r="G247" t="e">
        <f t="shared" si="72"/>
        <v>#DIV/0!</v>
      </c>
      <c r="H247">
        <f t="shared" si="73"/>
        <v>0</v>
      </c>
      <c r="I247">
        <f t="shared" si="74"/>
        <v>0</v>
      </c>
      <c r="J247">
        <f t="shared" si="75"/>
        <v>0</v>
      </c>
      <c r="K247">
        <f t="shared" si="76"/>
        <v>0</v>
      </c>
      <c r="L247">
        <f t="shared" si="77"/>
        <v>0</v>
      </c>
      <c r="M247">
        <f t="shared" si="78"/>
        <v>0</v>
      </c>
      <c r="N247">
        <f t="shared" si="79"/>
        <v>0</v>
      </c>
      <c r="O247" t="e">
        <f t="shared" si="80"/>
        <v>#DIV/0!</v>
      </c>
      <c r="P247" t="e">
        <f t="shared" si="81"/>
        <v>#DIV/0!</v>
      </c>
      <c r="Q247">
        <f t="shared" si="82"/>
        <v>0</v>
      </c>
      <c r="R247" t="e">
        <f t="shared" si="83"/>
        <v>#DIV/0!</v>
      </c>
      <c r="S247" t="e">
        <f t="shared" si="84"/>
        <v>#DIV/0!</v>
      </c>
      <c r="T247">
        <f>I247*E247/'[1]Inverter Analysis'!$L$2</f>
        <v>0</v>
      </c>
      <c r="U247" t="e">
        <f t="shared" si="85"/>
        <v>#DIV/0!</v>
      </c>
      <c r="V247" t="e">
        <f t="shared" si="86"/>
        <v>#DIV/0!</v>
      </c>
      <c r="W247" t="e">
        <f t="shared" si="87"/>
        <v>#DIV/0!</v>
      </c>
      <c r="X247" t="e">
        <f t="shared" si="88"/>
        <v>#DIV/0!</v>
      </c>
      <c r="Y247" t="e">
        <f t="shared" si="89"/>
        <v>#DIV/0!</v>
      </c>
      <c r="Z247" t="e">
        <f t="shared" si="90"/>
        <v>#DIV/0!</v>
      </c>
    </row>
    <row r="248" spans="4:26">
      <c r="D248">
        <f t="shared" si="69"/>
        <v>0</v>
      </c>
      <c r="E248">
        <f t="shared" si="70"/>
        <v>0</v>
      </c>
      <c r="F248">
        <f t="shared" si="71"/>
        <v>0</v>
      </c>
      <c r="G248" t="e">
        <f t="shared" si="72"/>
        <v>#DIV/0!</v>
      </c>
      <c r="H248">
        <f t="shared" si="73"/>
        <v>0</v>
      </c>
      <c r="I248">
        <f t="shared" si="74"/>
        <v>0</v>
      </c>
      <c r="J248">
        <f t="shared" si="75"/>
        <v>0</v>
      </c>
      <c r="K248">
        <f t="shared" si="76"/>
        <v>0</v>
      </c>
      <c r="L248">
        <f t="shared" si="77"/>
        <v>0</v>
      </c>
      <c r="M248">
        <f t="shared" si="78"/>
        <v>0</v>
      </c>
      <c r="N248">
        <f t="shared" si="79"/>
        <v>0</v>
      </c>
      <c r="O248" t="e">
        <f t="shared" si="80"/>
        <v>#DIV/0!</v>
      </c>
      <c r="P248" t="e">
        <f t="shared" si="81"/>
        <v>#DIV/0!</v>
      </c>
      <c r="Q248">
        <f t="shared" si="82"/>
        <v>0</v>
      </c>
      <c r="R248" t="e">
        <f t="shared" si="83"/>
        <v>#DIV/0!</v>
      </c>
      <c r="S248" t="e">
        <f t="shared" si="84"/>
        <v>#DIV/0!</v>
      </c>
      <c r="T248">
        <f>I248*E248/'[1]Inverter Analysis'!$L$2</f>
        <v>0</v>
      </c>
      <c r="U248" t="e">
        <f t="shared" si="85"/>
        <v>#DIV/0!</v>
      </c>
      <c r="V248" t="e">
        <f t="shared" si="86"/>
        <v>#DIV/0!</v>
      </c>
      <c r="W248" t="e">
        <f t="shared" si="87"/>
        <v>#DIV/0!</v>
      </c>
      <c r="X248" t="e">
        <f t="shared" si="88"/>
        <v>#DIV/0!</v>
      </c>
      <c r="Y248" t="e">
        <f t="shared" si="89"/>
        <v>#DIV/0!</v>
      </c>
      <c r="Z248" t="e">
        <f t="shared" si="90"/>
        <v>#DIV/0!</v>
      </c>
    </row>
    <row r="249" spans="4:26">
      <c r="D249">
        <f t="shared" si="69"/>
        <v>0</v>
      </c>
      <c r="E249">
        <f t="shared" si="70"/>
        <v>0</v>
      </c>
      <c r="F249">
        <f t="shared" si="71"/>
        <v>0</v>
      </c>
      <c r="G249" t="e">
        <f t="shared" si="72"/>
        <v>#DIV/0!</v>
      </c>
      <c r="H249">
        <f t="shared" si="73"/>
        <v>0</v>
      </c>
      <c r="I249">
        <f t="shared" si="74"/>
        <v>0</v>
      </c>
      <c r="J249">
        <f t="shared" si="75"/>
        <v>0</v>
      </c>
      <c r="K249">
        <f t="shared" si="76"/>
        <v>0</v>
      </c>
      <c r="L249">
        <f t="shared" si="77"/>
        <v>0</v>
      </c>
      <c r="M249">
        <f t="shared" si="78"/>
        <v>0</v>
      </c>
      <c r="N249">
        <f t="shared" si="79"/>
        <v>0</v>
      </c>
      <c r="O249" t="e">
        <f t="shared" si="80"/>
        <v>#DIV/0!</v>
      </c>
      <c r="P249" t="e">
        <f t="shared" si="81"/>
        <v>#DIV/0!</v>
      </c>
      <c r="Q249">
        <f t="shared" si="82"/>
        <v>0</v>
      </c>
      <c r="R249" t="e">
        <f t="shared" si="83"/>
        <v>#DIV/0!</v>
      </c>
      <c r="S249" t="e">
        <f t="shared" si="84"/>
        <v>#DIV/0!</v>
      </c>
      <c r="T249">
        <f>I249*E249/'[1]Inverter Analysis'!$L$2</f>
        <v>0</v>
      </c>
      <c r="U249" t="e">
        <f t="shared" si="85"/>
        <v>#DIV/0!</v>
      </c>
      <c r="V249" t="e">
        <f t="shared" si="86"/>
        <v>#DIV/0!</v>
      </c>
      <c r="W249" t="e">
        <f t="shared" si="87"/>
        <v>#DIV/0!</v>
      </c>
      <c r="X249" t="e">
        <f t="shared" si="88"/>
        <v>#DIV/0!</v>
      </c>
      <c r="Y249" t="e">
        <f t="shared" si="89"/>
        <v>#DIV/0!</v>
      </c>
      <c r="Z249" t="e">
        <f t="shared" si="90"/>
        <v>#DIV/0!</v>
      </c>
    </row>
    <row r="250" spans="4:26">
      <c r="D250">
        <f t="shared" si="69"/>
        <v>0</v>
      </c>
      <c r="E250">
        <f t="shared" si="70"/>
        <v>0</v>
      </c>
      <c r="F250">
        <f t="shared" si="71"/>
        <v>0</v>
      </c>
      <c r="G250" t="e">
        <f t="shared" si="72"/>
        <v>#DIV/0!</v>
      </c>
      <c r="H250">
        <f t="shared" si="73"/>
        <v>0</v>
      </c>
      <c r="I250">
        <f t="shared" si="74"/>
        <v>0</v>
      </c>
      <c r="J250">
        <f t="shared" si="75"/>
        <v>0</v>
      </c>
      <c r="K250">
        <f t="shared" si="76"/>
        <v>0</v>
      </c>
      <c r="L250">
        <f t="shared" si="77"/>
        <v>0</v>
      </c>
      <c r="M250">
        <f t="shared" si="78"/>
        <v>0</v>
      </c>
      <c r="N250">
        <f t="shared" si="79"/>
        <v>0</v>
      </c>
      <c r="O250" t="e">
        <f t="shared" si="80"/>
        <v>#DIV/0!</v>
      </c>
      <c r="P250" t="e">
        <f t="shared" si="81"/>
        <v>#DIV/0!</v>
      </c>
      <c r="Q250">
        <f t="shared" si="82"/>
        <v>0</v>
      </c>
      <c r="R250" t="e">
        <f t="shared" si="83"/>
        <v>#DIV/0!</v>
      </c>
      <c r="S250" t="e">
        <f t="shared" si="84"/>
        <v>#DIV/0!</v>
      </c>
      <c r="T250">
        <f>I250*E250/'[1]Inverter Analysis'!$L$2</f>
        <v>0</v>
      </c>
      <c r="U250" t="e">
        <f t="shared" si="85"/>
        <v>#DIV/0!</v>
      </c>
      <c r="V250" t="e">
        <f t="shared" si="86"/>
        <v>#DIV/0!</v>
      </c>
      <c r="W250" t="e">
        <f t="shared" si="87"/>
        <v>#DIV/0!</v>
      </c>
      <c r="X250" t="e">
        <f t="shared" si="88"/>
        <v>#DIV/0!</v>
      </c>
      <c r="Y250" t="e">
        <f t="shared" si="89"/>
        <v>#DIV/0!</v>
      </c>
      <c r="Z250" t="e">
        <f t="shared" si="90"/>
        <v>#DIV/0!</v>
      </c>
    </row>
  </sheetData>
  <autoFilter ref="A6:V192" xr:uid="{C3DF1A25-4785-428D-8159-5CCC2B87239E}">
    <sortState xmlns:xlrd2="http://schemas.microsoft.com/office/spreadsheetml/2017/richdata2" ref="A7:V250">
      <sortCondition sortBy="cellColor" ref="I6:I192" dxfId="64"/>
    </sortState>
  </autoFilter>
  <conditionalFormatting sqref="H7:H1048576">
    <cfRule type="cellIs" dxfId="72" priority="4" operator="between">
      <formula>70</formula>
      <formula>85</formula>
    </cfRule>
    <cfRule type="cellIs" dxfId="71" priority="5" operator="lessThan">
      <formula>70</formula>
    </cfRule>
    <cfRule type="cellIs" dxfId="70" priority="6" operator="greaterThan">
      <formula>85</formula>
    </cfRule>
  </conditionalFormatting>
  <conditionalFormatting sqref="I7:I250">
    <cfRule type="cellIs" dxfId="69" priority="3" operator="greaterThan">
      <formula>600</formula>
    </cfRule>
  </conditionalFormatting>
  <conditionalFormatting sqref="I6:K1048576">
    <cfRule type="cellIs" dxfId="68" priority="1" operator="between">
      <formula>400</formula>
      <formula>600</formula>
    </cfRule>
    <cfRule type="cellIs" dxfId="67" priority="2" operator="lessThan">
      <formula>400</formula>
    </cfRule>
  </conditionalFormatting>
  <conditionalFormatting sqref="Q7:Q250">
    <cfRule type="cellIs" dxfId="66" priority="7" operator="lessThan">
      <formula>60</formula>
    </cfRule>
    <cfRule type="cellIs" dxfId="65" priority="8" operator="greaterThan">
      <formula>60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3BF4-4D61-42D5-9C92-15152D91C6A3}">
  <sheetPr filterMode="1"/>
  <dimension ref="A1:AD209"/>
  <sheetViews>
    <sheetView topLeftCell="K1" zoomScale="70" zoomScaleNormal="70" workbookViewId="0">
      <selection activeCell="U4" sqref="U4"/>
    </sheetView>
  </sheetViews>
  <sheetFormatPr defaultRowHeight="15"/>
  <cols>
    <col min="4" max="4" width="19.28515625" bestFit="1" customWidth="1"/>
    <col min="6" max="6" width="14.42578125" customWidth="1"/>
    <col min="7" max="7" width="12.140625" bestFit="1" customWidth="1"/>
    <col min="8" max="8" width="12.5703125" bestFit="1" customWidth="1"/>
    <col min="9" max="9" width="23.5703125" bestFit="1" customWidth="1"/>
    <col min="10" max="10" width="10" customWidth="1"/>
    <col min="11" max="11" width="19" bestFit="1" customWidth="1"/>
    <col min="12" max="12" width="21" bestFit="1" customWidth="1"/>
    <col min="13" max="13" width="12.28515625" bestFit="1" customWidth="1"/>
    <col min="14" max="14" width="12.28515625" customWidth="1"/>
    <col min="15" max="15" width="18" customWidth="1"/>
    <col min="16" max="16" width="11.140625" bestFit="1" customWidth="1"/>
    <col min="17" max="17" width="27.28515625" bestFit="1" customWidth="1"/>
    <col min="18" max="18" width="34.5703125" bestFit="1" customWidth="1"/>
    <col min="20" max="20" width="16.42578125" bestFit="1" customWidth="1"/>
    <col min="21" max="21" width="14.85546875" customWidth="1"/>
    <col min="22" max="22" width="15.42578125" customWidth="1"/>
    <col min="23" max="23" width="31.5703125" customWidth="1"/>
    <col min="24" max="24" width="25.7109375" bestFit="1" customWidth="1"/>
    <col min="25" max="25" width="33.42578125" bestFit="1" customWidth="1"/>
    <col min="26" max="26" width="52.28515625" bestFit="1" customWidth="1"/>
    <col min="27" max="27" width="33.42578125" bestFit="1" customWidth="1"/>
    <col min="28" max="28" width="29.7109375" bestFit="1" customWidth="1"/>
    <col min="29" max="29" width="23.5703125" bestFit="1" customWidth="1"/>
  </cols>
  <sheetData>
    <row r="1" spans="1:29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6" t="s">
        <v>36</v>
      </c>
      <c r="V1" s="26"/>
      <c r="W1" s="26"/>
      <c r="X1" s="1"/>
      <c r="Y1" s="1"/>
    </row>
    <row r="2" spans="1:29">
      <c r="A2" s="1" t="s">
        <v>37</v>
      </c>
      <c r="B2" s="1" t="s">
        <v>38</v>
      </c>
      <c r="C2" s="1" t="s">
        <v>39</v>
      </c>
      <c r="D2" s="1"/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/>
      <c r="K2" s="1" t="s">
        <v>3</v>
      </c>
      <c r="L2" s="1" t="s">
        <v>45</v>
      </c>
      <c r="M2" s="1" t="s">
        <v>46</v>
      </c>
      <c r="N2" s="1"/>
      <c r="O2" s="1" t="s">
        <v>47</v>
      </c>
      <c r="P2" s="1" t="s">
        <v>49</v>
      </c>
      <c r="Q2" s="1" t="s">
        <v>50</v>
      </c>
      <c r="R2" s="1" t="s">
        <v>75</v>
      </c>
      <c r="S2" s="1" t="s">
        <v>76</v>
      </c>
      <c r="T2" s="1" t="s">
        <v>51</v>
      </c>
      <c r="U2" s="1" t="s">
        <v>77</v>
      </c>
      <c r="V2" s="1" t="s">
        <v>53</v>
      </c>
    </row>
    <row r="3" spans="1:29" ht="26.25">
      <c r="A3" s="2" t="s">
        <v>78</v>
      </c>
      <c r="B3" s="2" t="s">
        <v>55</v>
      </c>
      <c r="C3" s="2">
        <v>21700</v>
      </c>
      <c r="D3" s="2"/>
      <c r="E3" s="2">
        <v>2025</v>
      </c>
      <c r="F3" s="2" t="s">
        <v>56</v>
      </c>
      <c r="G3" s="2" t="s">
        <v>57</v>
      </c>
      <c r="H3">
        <v>5000</v>
      </c>
      <c r="I3">
        <v>70</v>
      </c>
      <c r="K3" s="2">
        <v>250</v>
      </c>
      <c r="L3" s="2">
        <v>2.85</v>
      </c>
      <c r="M3" s="2">
        <v>4.1139999999999999</v>
      </c>
      <c r="N3" s="2"/>
      <c r="O3" s="2">
        <v>2.5</v>
      </c>
      <c r="P3">
        <v>5000</v>
      </c>
      <c r="Q3" s="2">
        <v>5000</v>
      </c>
      <c r="R3">
        <v>5000</v>
      </c>
      <c r="S3">
        <v>4885</v>
      </c>
      <c r="T3">
        <v>65</v>
      </c>
      <c r="U3">
        <v>2.5700000000000001E-2</v>
      </c>
      <c r="V3" s="4">
        <v>5</v>
      </c>
    </row>
    <row r="4" spans="1:29">
      <c r="A4" s="1" t="s">
        <v>58</v>
      </c>
      <c r="D4" s="7" t="s">
        <v>79</v>
      </c>
    </row>
    <row r="5" spans="1:29">
      <c r="A5" s="3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/>
      <c r="K5" s="1" t="s">
        <v>9</v>
      </c>
      <c r="L5" s="1" t="s">
        <v>10</v>
      </c>
      <c r="M5" s="1" t="s">
        <v>11</v>
      </c>
      <c r="N5" s="1" t="s">
        <v>12</v>
      </c>
      <c r="O5" s="1" t="s">
        <v>80</v>
      </c>
      <c r="P5" s="1" t="s">
        <v>81</v>
      </c>
      <c r="Q5" s="1" t="s">
        <v>82</v>
      </c>
      <c r="R5" s="1" t="s">
        <v>83</v>
      </c>
      <c r="S5" s="1" t="s">
        <v>14</v>
      </c>
      <c r="T5" s="1" t="s">
        <v>15</v>
      </c>
      <c r="U5" s="1" t="s">
        <v>16</v>
      </c>
      <c r="V5" s="1" t="s">
        <v>17</v>
      </c>
      <c r="W5" s="1" t="s">
        <v>18</v>
      </c>
      <c r="X5" s="1" t="s">
        <v>19</v>
      </c>
      <c r="Y5" s="1" t="s">
        <v>20</v>
      </c>
      <c r="Z5" s="1" t="s">
        <v>21</v>
      </c>
      <c r="AA5" s="1" t="s">
        <v>20</v>
      </c>
      <c r="AB5" s="1" t="s">
        <v>22</v>
      </c>
      <c r="AC5" s="1" t="s">
        <v>23</v>
      </c>
    </row>
    <row r="6" spans="1:29" s="10" customFormat="1" hidden="1">
      <c r="A6">
        <v>12</v>
      </c>
      <c r="B6">
        <v>4</v>
      </c>
      <c r="C6">
        <v>12</v>
      </c>
      <c r="D6">
        <f t="shared" ref="D6:D37" si="0">B6*$K$3</f>
        <v>1000</v>
      </c>
      <c r="E6">
        <f t="shared" ref="E6:E37" si="1">B6*$I$3</f>
        <v>280</v>
      </c>
      <c r="F6">
        <f t="shared" ref="F6:F37" si="2">A6*B6*C6*$T$3/1000</f>
        <v>37.44</v>
      </c>
      <c r="G6">
        <f t="shared" ref="G6:G37" si="3">((B6*$U$3^(-1))^(-1))*A6*C6</f>
        <v>0.92520000000000002</v>
      </c>
      <c r="H6">
        <f t="shared" ref="H6:H37" si="4">E6*I6/1000</f>
        <v>169.34400000000002</v>
      </c>
      <c r="I6">
        <f t="shared" ref="I6:I37" si="5">A6*C6*4.2</f>
        <v>604.80000000000007</v>
      </c>
      <c r="J6"/>
      <c r="K6">
        <f t="shared" ref="K6:K37" si="6">C6*A6*$L$3</f>
        <v>410.40000000000003</v>
      </c>
      <c r="L6">
        <f t="shared" ref="L6:L37" si="7">E6*K6/1000</f>
        <v>114.91200000000002</v>
      </c>
      <c r="M6">
        <f t="shared" ref="M6:M37" si="8">$P$3/1000*I6*B6/1000</f>
        <v>12.096000000000002</v>
      </c>
      <c r="N6"/>
      <c r="O6">
        <f t="shared" ref="O6:O37" si="9">$R$3/1000*I6*B6/1000</f>
        <v>12.096000000000002</v>
      </c>
      <c r="P6">
        <f t="shared" ref="P6:P37" si="10">$S$3/1000*I6*B6/1000</f>
        <v>11.817792000000001</v>
      </c>
      <c r="Q6"/>
      <c r="R6">
        <f>O6*(($M$3-$L$3)/($M$3-$O$3))</f>
        <v>9.4729516728624539</v>
      </c>
      <c r="S6">
        <f t="shared" ref="S6:S37" si="11">$H$3/1000*B6*I6/277.8/C6</f>
        <v>3.6285097192224627</v>
      </c>
      <c r="T6">
        <f t="shared" ref="T6:T37" si="12">I6/C6</f>
        <v>50.400000000000006</v>
      </c>
      <c r="U6">
        <f t="shared" ref="U6:U37" si="13">(A6*B6*C6)</f>
        <v>576</v>
      </c>
      <c r="V6">
        <f t="shared" ref="V6:V37" si="14">K6-(G6*E6)</f>
        <v>151.34400000000005</v>
      </c>
      <c r="W6">
        <f t="shared" ref="W6:W37" si="15">G6*E6</f>
        <v>259.05599999999998</v>
      </c>
      <c r="X6">
        <f>I6*E6/'[1]Inverter Analysis'!$L$2</f>
        <v>405.79964493743779</v>
      </c>
      <c r="Y6">
        <f t="shared" ref="Y6:Y37" si="16">80000/K6</f>
        <v>194.93177387914227</v>
      </c>
      <c r="Z6">
        <f t="shared" ref="Z6:Z37" si="17">80000/V6</f>
        <v>528.59710328787378</v>
      </c>
      <c r="AA6">
        <f t="shared" ref="AA6:AA37" si="18">80000/I6</f>
        <v>132.27513227513225</v>
      </c>
      <c r="AB6">
        <f t="shared" ref="AB6:AB37" si="19">(MAX(Y6:AA6)^2)*$U$3/1000</f>
        <v>7.1809628684313092</v>
      </c>
      <c r="AC6">
        <f t="shared" ref="AC6:AC37" si="20">($V$3*F6/(AB6*1000))*10</f>
        <v>0.26068927444669276</v>
      </c>
    </row>
    <row r="7" spans="1:29" s="10" customFormat="1" hidden="1">
      <c r="A7" s="8">
        <v>15</v>
      </c>
      <c r="B7" s="9">
        <v>4</v>
      </c>
      <c r="C7" s="9">
        <v>9</v>
      </c>
      <c r="D7">
        <f t="shared" si="0"/>
        <v>1000</v>
      </c>
      <c r="E7">
        <f t="shared" si="1"/>
        <v>280</v>
      </c>
      <c r="F7">
        <f t="shared" si="2"/>
        <v>35.1</v>
      </c>
      <c r="G7">
        <f t="shared" si="3"/>
        <v>0.86737500000000001</v>
      </c>
      <c r="H7">
        <f t="shared" si="4"/>
        <v>158.76</v>
      </c>
      <c r="I7">
        <f t="shared" si="5"/>
        <v>567</v>
      </c>
      <c r="J7"/>
      <c r="K7">
        <f t="shared" si="6"/>
        <v>384.75</v>
      </c>
      <c r="L7">
        <f t="shared" si="7"/>
        <v>107.73</v>
      </c>
      <c r="M7">
        <f t="shared" si="8"/>
        <v>11.34</v>
      </c>
      <c r="N7"/>
      <c r="O7">
        <f t="shared" si="9"/>
        <v>11.34</v>
      </c>
      <c r="P7">
        <f t="shared" si="10"/>
        <v>11.079180000000001</v>
      </c>
      <c r="Q7"/>
      <c r="R7">
        <f>M7*(($M$3-$L$3)/($M$3-$O$3))</f>
        <v>8.880892193308549</v>
      </c>
      <c r="S7">
        <f t="shared" si="11"/>
        <v>4.5356371490280774</v>
      </c>
      <c r="T7">
        <f t="shared" si="12"/>
        <v>63</v>
      </c>
      <c r="U7">
        <f t="shared" si="13"/>
        <v>540</v>
      </c>
      <c r="V7">
        <f t="shared" si="14"/>
        <v>141.88499999999999</v>
      </c>
      <c r="W7">
        <f t="shared" si="15"/>
        <v>242.86500000000001</v>
      </c>
      <c r="X7">
        <f>I7*E7/'[1]Inverter Analysis'!$L$2</f>
        <v>380.43716712884788</v>
      </c>
      <c r="Y7">
        <f t="shared" si="16"/>
        <v>207.92722547108511</v>
      </c>
      <c r="Z7">
        <f t="shared" si="17"/>
        <v>563.83691017373224</v>
      </c>
      <c r="AA7">
        <f t="shared" si="18"/>
        <v>141.09347442680777</v>
      </c>
      <c r="AB7">
        <f t="shared" si="19"/>
        <v>8.1703399747485186</v>
      </c>
      <c r="AC7">
        <f t="shared" si="20"/>
        <v>0.21480134308046572</v>
      </c>
    </row>
    <row r="8" spans="1:29" hidden="1">
      <c r="A8" s="8">
        <v>16</v>
      </c>
      <c r="B8" s="9">
        <v>4</v>
      </c>
      <c r="C8" s="9">
        <v>9</v>
      </c>
      <c r="D8">
        <f t="shared" si="0"/>
        <v>1000</v>
      </c>
      <c r="E8">
        <f t="shared" si="1"/>
        <v>280</v>
      </c>
      <c r="F8">
        <f t="shared" si="2"/>
        <v>37.44</v>
      </c>
      <c r="G8">
        <f t="shared" si="3"/>
        <v>0.92520000000000002</v>
      </c>
      <c r="H8">
        <f t="shared" si="4"/>
        <v>169.34400000000002</v>
      </c>
      <c r="I8">
        <f t="shared" si="5"/>
        <v>604.80000000000007</v>
      </c>
      <c r="K8">
        <f t="shared" si="6"/>
        <v>410.40000000000003</v>
      </c>
      <c r="L8">
        <f t="shared" si="7"/>
        <v>114.91200000000002</v>
      </c>
      <c r="M8">
        <f t="shared" si="8"/>
        <v>12.096000000000002</v>
      </c>
      <c r="O8">
        <f t="shared" si="9"/>
        <v>12.096000000000002</v>
      </c>
      <c r="P8">
        <f t="shared" si="10"/>
        <v>11.817792000000001</v>
      </c>
      <c r="R8">
        <f>O8*(($M$3-$L$3)/($M$3-$O$3))</f>
        <v>9.4729516728624539</v>
      </c>
      <c r="S8">
        <f t="shared" si="11"/>
        <v>4.8380129589632839</v>
      </c>
      <c r="T8">
        <f t="shared" si="12"/>
        <v>67.2</v>
      </c>
      <c r="U8">
        <f t="shared" si="13"/>
        <v>576</v>
      </c>
      <c r="V8">
        <f t="shared" si="14"/>
        <v>151.34400000000005</v>
      </c>
      <c r="W8">
        <f t="shared" si="15"/>
        <v>259.05599999999998</v>
      </c>
      <c r="X8">
        <f>I8*E8/'[1]Inverter Analysis'!$L$2</f>
        <v>405.79964493743779</v>
      </c>
      <c r="Y8">
        <f t="shared" si="16"/>
        <v>194.93177387914227</v>
      </c>
      <c r="Z8">
        <f t="shared" si="17"/>
        <v>528.59710328787378</v>
      </c>
      <c r="AA8">
        <f t="shared" si="18"/>
        <v>132.27513227513225</v>
      </c>
      <c r="AB8">
        <f t="shared" si="19"/>
        <v>7.1809628684313092</v>
      </c>
      <c r="AC8">
        <f t="shared" si="20"/>
        <v>0.26068927444669276</v>
      </c>
    </row>
    <row r="9" spans="1:29" hidden="1">
      <c r="A9">
        <v>13</v>
      </c>
      <c r="B9">
        <v>4</v>
      </c>
      <c r="C9" s="9">
        <v>11</v>
      </c>
      <c r="D9">
        <f t="shared" si="0"/>
        <v>1000</v>
      </c>
      <c r="E9">
        <f t="shared" si="1"/>
        <v>280</v>
      </c>
      <c r="F9">
        <f t="shared" si="2"/>
        <v>37.18</v>
      </c>
      <c r="G9">
        <f t="shared" si="3"/>
        <v>0.91877500000000001</v>
      </c>
      <c r="H9">
        <f t="shared" si="4"/>
        <v>168.16800000000001</v>
      </c>
      <c r="I9">
        <f t="shared" si="5"/>
        <v>600.6</v>
      </c>
      <c r="K9">
        <f t="shared" si="6"/>
        <v>407.55</v>
      </c>
      <c r="L9">
        <f t="shared" si="7"/>
        <v>114.114</v>
      </c>
      <c r="M9">
        <f t="shared" si="8"/>
        <v>12.012</v>
      </c>
      <c r="O9">
        <f t="shared" si="9"/>
        <v>12.012</v>
      </c>
      <c r="P9">
        <f t="shared" si="10"/>
        <v>11.735723999999999</v>
      </c>
      <c r="R9">
        <f>O9*(($M$3-$L$3)/($M$3-$O$3))</f>
        <v>9.4071672862453521</v>
      </c>
      <c r="S9">
        <f t="shared" si="11"/>
        <v>3.9308855291576674</v>
      </c>
      <c r="T9">
        <f t="shared" si="12"/>
        <v>54.6</v>
      </c>
      <c r="U9">
        <f t="shared" si="13"/>
        <v>572</v>
      </c>
      <c r="V9">
        <f t="shared" si="14"/>
        <v>150.29300000000001</v>
      </c>
      <c r="W9">
        <f t="shared" si="15"/>
        <v>257.25700000000001</v>
      </c>
      <c r="X9">
        <f>I9*E9/'[1]Inverter Analysis'!$L$2</f>
        <v>402.98159184759442</v>
      </c>
      <c r="Y9">
        <f t="shared" si="16"/>
        <v>196.29493313703838</v>
      </c>
      <c r="Z9">
        <f t="shared" si="17"/>
        <v>532.29358652764927</v>
      </c>
      <c r="AA9">
        <f t="shared" si="18"/>
        <v>133.20013320013319</v>
      </c>
      <c r="AB9">
        <f t="shared" si="19"/>
        <v>7.2817470800426287</v>
      </c>
      <c r="AC9">
        <f t="shared" si="20"/>
        <v>0.25529587605356885</v>
      </c>
    </row>
    <row r="10" spans="1:29" hidden="1">
      <c r="A10">
        <v>14</v>
      </c>
      <c r="B10">
        <v>4</v>
      </c>
      <c r="C10" s="9">
        <v>10</v>
      </c>
      <c r="D10">
        <f t="shared" si="0"/>
        <v>1000</v>
      </c>
      <c r="E10">
        <f t="shared" si="1"/>
        <v>280</v>
      </c>
      <c r="F10">
        <f t="shared" si="2"/>
        <v>36.4</v>
      </c>
      <c r="G10">
        <f t="shared" si="3"/>
        <v>0.89949999999999997</v>
      </c>
      <c r="H10">
        <f t="shared" si="4"/>
        <v>164.64</v>
      </c>
      <c r="I10">
        <f t="shared" si="5"/>
        <v>588</v>
      </c>
      <c r="K10">
        <f t="shared" si="6"/>
        <v>399</v>
      </c>
      <c r="L10">
        <f t="shared" si="7"/>
        <v>111.72</v>
      </c>
      <c r="M10">
        <f t="shared" si="8"/>
        <v>11.76</v>
      </c>
      <c r="O10">
        <f t="shared" si="9"/>
        <v>11.76</v>
      </c>
      <c r="P10">
        <f t="shared" si="10"/>
        <v>11.489519999999999</v>
      </c>
      <c r="R10">
        <f>O10*(($M$3-$L$3)/($M$3-$O$3))</f>
        <v>9.2098141263940505</v>
      </c>
      <c r="S10">
        <f t="shared" si="11"/>
        <v>4.2332613390928717</v>
      </c>
      <c r="T10">
        <f t="shared" si="12"/>
        <v>58.8</v>
      </c>
      <c r="U10">
        <f t="shared" si="13"/>
        <v>560</v>
      </c>
      <c r="V10">
        <f t="shared" si="14"/>
        <v>147.14000000000001</v>
      </c>
      <c r="W10">
        <f t="shared" si="15"/>
        <v>251.85999999999999</v>
      </c>
      <c r="X10">
        <f>I10*E10/'[1]Inverter Analysis'!$L$2</f>
        <v>394.52743257806446</v>
      </c>
      <c r="Y10">
        <f t="shared" si="16"/>
        <v>200.50125313283209</v>
      </c>
      <c r="Z10">
        <f t="shared" si="17"/>
        <v>543.69987766752752</v>
      </c>
      <c r="AA10">
        <f t="shared" si="18"/>
        <v>136.05442176870747</v>
      </c>
      <c r="AB10">
        <f t="shared" si="19"/>
        <v>7.5971656142750881</v>
      </c>
      <c r="AC10">
        <f t="shared" si="20"/>
        <v>0.23956302816147862</v>
      </c>
    </row>
    <row r="11" spans="1:29" hidden="1">
      <c r="A11" s="8">
        <v>16</v>
      </c>
      <c r="B11" s="9">
        <v>4</v>
      </c>
      <c r="C11" s="9">
        <v>8</v>
      </c>
      <c r="D11">
        <f t="shared" si="0"/>
        <v>1000</v>
      </c>
      <c r="E11">
        <f t="shared" si="1"/>
        <v>280</v>
      </c>
      <c r="F11">
        <f t="shared" si="2"/>
        <v>33.28</v>
      </c>
      <c r="G11">
        <f t="shared" si="3"/>
        <v>0.82240000000000002</v>
      </c>
      <c r="H11">
        <f t="shared" si="4"/>
        <v>150.52799999999999</v>
      </c>
      <c r="I11">
        <f t="shared" si="5"/>
        <v>537.6</v>
      </c>
      <c r="K11">
        <f t="shared" si="6"/>
        <v>364.8</v>
      </c>
      <c r="L11">
        <f t="shared" si="7"/>
        <v>102.14400000000001</v>
      </c>
      <c r="M11">
        <f t="shared" si="8"/>
        <v>10.752000000000001</v>
      </c>
      <c r="O11">
        <f t="shared" si="9"/>
        <v>10.752000000000001</v>
      </c>
      <c r="P11">
        <f t="shared" si="10"/>
        <v>10.504704</v>
      </c>
      <c r="R11">
        <f>M11*(($M$3-$L$3)/($M$3-$O$3))</f>
        <v>8.4204014869888475</v>
      </c>
      <c r="S11">
        <f t="shared" si="11"/>
        <v>4.838012958963283</v>
      </c>
      <c r="T11">
        <f t="shared" si="12"/>
        <v>67.2</v>
      </c>
      <c r="U11">
        <f t="shared" si="13"/>
        <v>512</v>
      </c>
      <c r="V11">
        <f t="shared" si="14"/>
        <v>134.52800000000002</v>
      </c>
      <c r="W11">
        <f t="shared" si="15"/>
        <v>230.27199999999999</v>
      </c>
      <c r="X11">
        <f>I11*E11/'[1]Inverter Analysis'!$L$2</f>
        <v>360.71079549994465</v>
      </c>
      <c r="Y11">
        <f t="shared" si="16"/>
        <v>219.29824561403507</v>
      </c>
      <c r="Z11">
        <f t="shared" si="17"/>
        <v>594.67174119885817</v>
      </c>
      <c r="AA11">
        <f t="shared" si="18"/>
        <v>148.8095238095238</v>
      </c>
      <c r="AB11">
        <f t="shared" si="19"/>
        <v>9.0884061303583827</v>
      </c>
      <c r="AC11">
        <f t="shared" si="20"/>
        <v>0.18309040948793776</v>
      </c>
    </row>
    <row r="12" spans="1:29" hidden="1">
      <c r="A12">
        <v>11</v>
      </c>
      <c r="B12">
        <v>4</v>
      </c>
      <c r="C12">
        <v>12</v>
      </c>
      <c r="D12">
        <f t="shared" si="0"/>
        <v>1000</v>
      </c>
      <c r="E12">
        <f t="shared" si="1"/>
        <v>280</v>
      </c>
      <c r="F12">
        <f t="shared" si="2"/>
        <v>34.32</v>
      </c>
      <c r="G12">
        <f t="shared" si="3"/>
        <v>0.84810000000000008</v>
      </c>
      <c r="H12">
        <f t="shared" si="4"/>
        <v>155.232</v>
      </c>
      <c r="I12">
        <f t="shared" si="5"/>
        <v>554.4</v>
      </c>
      <c r="K12">
        <f t="shared" si="6"/>
        <v>376.2</v>
      </c>
      <c r="L12">
        <f t="shared" si="7"/>
        <v>105.336</v>
      </c>
      <c r="M12">
        <f t="shared" si="8"/>
        <v>11.087999999999999</v>
      </c>
      <c r="O12">
        <f t="shared" si="9"/>
        <v>11.087999999999999</v>
      </c>
      <c r="P12">
        <f t="shared" si="10"/>
        <v>10.832975999999999</v>
      </c>
      <c r="R12">
        <f>O12*(($M$3-$L$3)/($M$3-$O$3))</f>
        <v>8.6835390334572473</v>
      </c>
      <c r="S12">
        <f t="shared" si="11"/>
        <v>3.3261339092872571</v>
      </c>
      <c r="T12">
        <f t="shared" si="12"/>
        <v>46.199999999999996</v>
      </c>
      <c r="U12">
        <f t="shared" si="13"/>
        <v>528</v>
      </c>
      <c r="V12">
        <f t="shared" si="14"/>
        <v>138.73199999999997</v>
      </c>
      <c r="W12">
        <f t="shared" si="15"/>
        <v>237.46800000000002</v>
      </c>
      <c r="X12">
        <f>I12*E12/'[1]Inverter Analysis'!$L$2</f>
        <v>371.98300785931792</v>
      </c>
      <c r="Y12">
        <f t="shared" si="16"/>
        <v>212.65284423179162</v>
      </c>
      <c r="Z12">
        <f t="shared" si="17"/>
        <v>576.65138540495354</v>
      </c>
      <c r="AA12">
        <f t="shared" si="18"/>
        <v>144.3001443001443</v>
      </c>
      <c r="AB12">
        <f t="shared" si="19"/>
        <v>8.5459392814389226</v>
      </c>
      <c r="AC12">
        <f t="shared" si="20"/>
        <v>0.20079712053735402</v>
      </c>
    </row>
    <row r="13" spans="1:29" hidden="1">
      <c r="A13">
        <v>12</v>
      </c>
      <c r="B13">
        <v>4</v>
      </c>
      <c r="C13" s="9">
        <v>11</v>
      </c>
      <c r="D13">
        <f t="shared" si="0"/>
        <v>1000</v>
      </c>
      <c r="E13">
        <f t="shared" si="1"/>
        <v>280</v>
      </c>
      <c r="F13">
        <f t="shared" si="2"/>
        <v>34.32</v>
      </c>
      <c r="G13">
        <f t="shared" si="3"/>
        <v>0.84810000000000008</v>
      </c>
      <c r="H13">
        <f t="shared" si="4"/>
        <v>155.232</v>
      </c>
      <c r="I13">
        <f t="shared" si="5"/>
        <v>554.4</v>
      </c>
      <c r="K13">
        <f t="shared" si="6"/>
        <v>376.2</v>
      </c>
      <c r="L13">
        <f t="shared" si="7"/>
        <v>105.336</v>
      </c>
      <c r="M13">
        <f t="shared" si="8"/>
        <v>11.087999999999999</v>
      </c>
      <c r="O13">
        <f t="shared" si="9"/>
        <v>11.087999999999999</v>
      </c>
      <c r="P13">
        <f t="shared" si="10"/>
        <v>10.832975999999999</v>
      </c>
      <c r="R13">
        <f>O13*(($M$3-$L$3)/($M$3-$O$3))</f>
        <v>8.6835390334572473</v>
      </c>
      <c r="S13">
        <f t="shared" si="11"/>
        <v>3.6285097192224622</v>
      </c>
      <c r="T13">
        <f t="shared" si="12"/>
        <v>50.4</v>
      </c>
      <c r="U13">
        <f t="shared" si="13"/>
        <v>528</v>
      </c>
      <c r="V13">
        <f t="shared" si="14"/>
        <v>138.73199999999997</v>
      </c>
      <c r="W13">
        <f t="shared" si="15"/>
        <v>237.46800000000002</v>
      </c>
      <c r="X13">
        <f>I13*E13/'[1]Inverter Analysis'!$L$2</f>
        <v>371.98300785931792</v>
      </c>
      <c r="Y13">
        <f t="shared" si="16"/>
        <v>212.65284423179162</v>
      </c>
      <c r="Z13">
        <f t="shared" si="17"/>
        <v>576.65138540495354</v>
      </c>
      <c r="AA13">
        <f t="shared" si="18"/>
        <v>144.3001443001443</v>
      </c>
      <c r="AB13">
        <f t="shared" si="19"/>
        <v>8.5459392814389226</v>
      </c>
      <c r="AC13">
        <f t="shared" si="20"/>
        <v>0.20079712053735402</v>
      </c>
    </row>
    <row r="14" spans="1:29" hidden="1">
      <c r="A14">
        <v>13</v>
      </c>
      <c r="B14">
        <v>4</v>
      </c>
      <c r="C14" s="9">
        <v>10</v>
      </c>
      <c r="D14">
        <f t="shared" si="0"/>
        <v>1000</v>
      </c>
      <c r="E14">
        <f t="shared" si="1"/>
        <v>280</v>
      </c>
      <c r="F14">
        <f t="shared" si="2"/>
        <v>33.799999999999997</v>
      </c>
      <c r="G14">
        <f t="shared" si="3"/>
        <v>0.83525000000000005</v>
      </c>
      <c r="H14">
        <f t="shared" si="4"/>
        <v>152.88</v>
      </c>
      <c r="I14">
        <f t="shared" si="5"/>
        <v>546</v>
      </c>
      <c r="K14">
        <f t="shared" si="6"/>
        <v>370.5</v>
      </c>
      <c r="L14">
        <f t="shared" si="7"/>
        <v>103.74</v>
      </c>
      <c r="M14">
        <f t="shared" si="8"/>
        <v>10.92</v>
      </c>
      <c r="O14">
        <f t="shared" si="9"/>
        <v>10.92</v>
      </c>
      <c r="P14">
        <f t="shared" si="10"/>
        <v>10.668839999999999</v>
      </c>
      <c r="R14">
        <f>O14*(($M$3-$L$3)/($M$3-$O$3))</f>
        <v>8.5519702602230474</v>
      </c>
      <c r="S14">
        <f t="shared" si="11"/>
        <v>3.930885529157667</v>
      </c>
      <c r="T14">
        <f t="shared" si="12"/>
        <v>54.6</v>
      </c>
      <c r="U14">
        <f t="shared" si="13"/>
        <v>520</v>
      </c>
      <c r="V14">
        <f t="shared" si="14"/>
        <v>136.63</v>
      </c>
      <c r="W14">
        <f t="shared" si="15"/>
        <v>233.87</v>
      </c>
      <c r="X14">
        <f>I14*E14/'[1]Inverter Analysis'!$L$2</f>
        <v>366.34690167963129</v>
      </c>
      <c r="Y14">
        <f t="shared" si="16"/>
        <v>215.92442645074223</v>
      </c>
      <c r="Z14">
        <f t="shared" si="17"/>
        <v>585.52294518041424</v>
      </c>
      <c r="AA14">
        <f t="shared" si="18"/>
        <v>146.52014652014651</v>
      </c>
      <c r="AB14">
        <f t="shared" si="19"/>
        <v>8.8109139668515812</v>
      </c>
      <c r="AC14">
        <f t="shared" si="20"/>
        <v>0.19180757028818093</v>
      </c>
    </row>
    <row r="15" spans="1:29" hidden="1">
      <c r="A15">
        <v>14</v>
      </c>
      <c r="B15">
        <v>4</v>
      </c>
      <c r="C15" s="9">
        <v>9</v>
      </c>
      <c r="D15">
        <f t="shared" si="0"/>
        <v>1000</v>
      </c>
      <c r="E15">
        <f t="shared" si="1"/>
        <v>280</v>
      </c>
      <c r="F15">
        <f t="shared" si="2"/>
        <v>32.76</v>
      </c>
      <c r="G15">
        <f t="shared" si="3"/>
        <v>0.80954999999999999</v>
      </c>
      <c r="H15">
        <f t="shared" si="4"/>
        <v>148.17599999999999</v>
      </c>
      <c r="I15">
        <f t="shared" si="5"/>
        <v>529.20000000000005</v>
      </c>
      <c r="K15">
        <f t="shared" si="6"/>
        <v>359.1</v>
      </c>
      <c r="L15">
        <f t="shared" si="7"/>
        <v>100.548</v>
      </c>
      <c r="M15">
        <f t="shared" si="8"/>
        <v>10.584</v>
      </c>
      <c r="O15">
        <f t="shared" si="9"/>
        <v>10.584</v>
      </c>
      <c r="P15">
        <f t="shared" si="10"/>
        <v>10.340568000000001</v>
      </c>
      <c r="R15">
        <f>O15*(($M$3-$L$3)/($M$3-$O$3))</f>
        <v>8.2888327137546458</v>
      </c>
      <c r="S15">
        <f t="shared" si="11"/>
        <v>4.2332613390928726</v>
      </c>
      <c r="T15">
        <f t="shared" si="12"/>
        <v>58.800000000000004</v>
      </c>
      <c r="U15">
        <f t="shared" si="13"/>
        <v>504</v>
      </c>
      <c r="V15">
        <f t="shared" si="14"/>
        <v>132.42600000000002</v>
      </c>
      <c r="W15">
        <f t="shared" si="15"/>
        <v>226.67400000000001</v>
      </c>
      <c r="X15">
        <f>I15*E15/'[1]Inverter Analysis'!$L$2</f>
        <v>355.07468932025802</v>
      </c>
      <c r="Y15">
        <f t="shared" si="16"/>
        <v>222.77917014759117</v>
      </c>
      <c r="Z15">
        <f t="shared" si="17"/>
        <v>604.11097518614167</v>
      </c>
      <c r="AA15">
        <f t="shared" si="18"/>
        <v>151.17157974300829</v>
      </c>
      <c r="AB15">
        <f t="shared" si="19"/>
        <v>9.3792168077470226</v>
      </c>
      <c r="AC15">
        <f t="shared" si="20"/>
        <v>0.17464144752971789</v>
      </c>
    </row>
    <row r="16" spans="1:29" hidden="1">
      <c r="A16" s="8">
        <v>15</v>
      </c>
      <c r="B16" s="9">
        <v>4</v>
      </c>
      <c r="C16" s="9">
        <v>8</v>
      </c>
      <c r="D16">
        <f t="shared" si="0"/>
        <v>1000</v>
      </c>
      <c r="E16">
        <f t="shared" si="1"/>
        <v>280</v>
      </c>
      <c r="F16">
        <f t="shared" si="2"/>
        <v>31.2</v>
      </c>
      <c r="G16">
        <f t="shared" si="3"/>
        <v>0.77100000000000002</v>
      </c>
      <c r="H16">
        <f t="shared" si="4"/>
        <v>141.12</v>
      </c>
      <c r="I16">
        <f t="shared" si="5"/>
        <v>504</v>
      </c>
      <c r="K16">
        <f t="shared" si="6"/>
        <v>342</v>
      </c>
      <c r="L16">
        <f t="shared" si="7"/>
        <v>95.76</v>
      </c>
      <c r="M16">
        <f t="shared" si="8"/>
        <v>10.08</v>
      </c>
      <c r="O16">
        <f t="shared" si="9"/>
        <v>10.08</v>
      </c>
      <c r="P16">
        <f t="shared" si="10"/>
        <v>9.84816</v>
      </c>
      <c r="R16">
        <f>M16*(($M$3-$L$3)/($M$3-$O$3))</f>
        <v>7.8941263940520443</v>
      </c>
      <c r="S16">
        <f t="shared" si="11"/>
        <v>4.5356371490280774</v>
      </c>
      <c r="T16">
        <f t="shared" si="12"/>
        <v>63</v>
      </c>
      <c r="U16">
        <f t="shared" si="13"/>
        <v>480</v>
      </c>
      <c r="V16">
        <f t="shared" si="14"/>
        <v>126.12</v>
      </c>
      <c r="W16">
        <f t="shared" si="15"/>
        <v>215.88</v>
      </c>
      <c r="X16">
        <f>I16*E16/'[1]Inverter Analysis'!$L$2</f>
        <v>338.16637078119811</v>
      </c>
      <c r="Y16">
        <f t="shared" si="16"/>
        <v>233.91812865497076</v>
      </c>
      <c r="Z16">
        <f t="shared" si="17"/>
        <v>634.31652394544881</v>
      </c>
      <c r="AA16">
        <f t="shared" si="18"/>
        <v>158.73015873015873</v>
      </c>
      <c r="AB16">
        <f t="shared" si="19"/>
        <v>10.340586530541096</v>
      </c>
      <c r="AC16">
        <f t="shared" si="20"/>
        <v>0.15086184863813226</v>
      </c>
    </row>
    <row r="17" spans="1:30" hidden="1">
      <c r="A17">
        <v>11</v>
      </c>
      <c r="B17">
        <v>4</v>
      </c>
      <c r="C17" s="9">
        <v>11</v>
      </c>
      <c r="D17">
        <f t="shared" si="0"/>
        <v>1000</v>
      </c>
      <c r="E17">
        <f t="shared" si="1"/>
        <v>280</v>
      </c>
      <c r="F17">
        <f t="shared" si="2"/>
        <v>31.46</v>
      </c>
      <c r="G17">
        <f t="shared" si="3"/>
        <v>0.77742500000000003</v>
      </c>
      <c r="H17">
        <f t="shared" si="4"/>
        <v>142.29599999999999</v>
      </c>
      <c r="I17">
        <f t="shared" si="5"/>
        <v>508.20000000000005</v>
      </c>
      <c r="K17">
        <f t="shared" si="6"/>
        <v>344.85</v>
      </c>
      <c r="L17">
        <f t="shared" si="7"/>
        <v>96.558000000000007</v>
      </c>
      <c r="M17">
        <f t="shared" si="8"/>
        <v>10.164</v>
      </c>
      <c r="O17">
        <f t="shared" si="9"/>
        <v>10.164</v>
      </c>
      <c r="P17">
        <f t="shared" si="10"/>
        <v>9.9302280000000014</v>
      </c>
      <c r="R17">
        <f>O17*(($M$3-$L$3)/($M$3-$O$3))</f>
        <v>7.9599107806691443</v>
      </c>
      <c r="S17">
        <f t="shared" si="11"/>
        <v>3.3261339092872571</v>
      </c>
      <c r="T17">
        <f t="shared" si="12"/>
        <v>46.2</v>
      </c>
      <c r="U17">
        <f t="shared" si="13"/>
        <v>484</v>
      </c>
      <c r="V17">
        <f t="shared" si="14"/>
        <v>127.17100000000002</v>
      </c>
      <c r="W17">
        <f t="shared" si="15"/>
        <v>217.679</v>
      </c>
      <c r="X17">
        <f>I17*E17/'[1]Inverter Analysis'!$L$2</f>
        <v>340.98442387104143</v>
      </c>
      <c r="Y17">
        <f t="shared" si="16"/>
        <v>231.98492098013628</v>
      </c>
      <c r="Z17">
        <f t="shared" si="17"/>
        <v>629.07423862358542</v>
      </c>
      <c r="AA17">
        <f t="shared" si="18"/>
        <v>157.41833923652104</v>
      </c>
      <c r="AB17">
        <f t="shared" si="19"/>
        <v>10.170374020885983</v>
      </c>
      <c r="AC17">
        <f t="shared" si="20"/>
        <v>0.15466491171019583</v>
      </c>
    </row>
    <row r="18" spans="1:30" hidden="1">
      <c r="A18">
        <v>10</v>
      </c>
      <c r="B18">
        <v>4</v>
      </c>
      <c r="C18">
        <v>12</v>
      </c>
      <c r="D18">
        <f t="shared" si="0"/>
        <v>1000</v>
      </c>
      <c r="E18">
        <f t="shared" si="1"/>
        <v>280</v>
      </c>
      <c r="F18">
        <f t="shared" si="2"/>
        <v>31.2</v>
      </c>
      <c r="G18">
        <f t="shared" si="3"/>
        <v>0.77100000000000002</v>
      </c>
      <c r="H18">
        <f t="shared" si="4"/>
        <v>141.12</v>
      </c>
      <c r="I18">
        <f t="shared" si="5"/>
        <v>504</v>
      </c>
      <c r="K18">
        <f t="shared" si="6"/>
        <v>342</v>
      </c>
      <c r="L18">
        <f t="shared" si="7"/>
        <v>95.76</v>
      </c>
      <c r="M18">
        <f t="shared" si="8"/>
        <v>10.08</v>
      </c>
      <c r="O18">
        <f t="shared" si="9"/>
        <v>10.08</v>
      </c>
      <c r="P18">
        <f t="shared" si="10"/>
        <v>9.84816</v>
      </c>
      <c r="R18">
        <f>O18*(($M$3-$L$3)/($M$3-$O$3))</f>
        <v>7.8941263940520443</v>
      </c>
      <c r="S18">
        <f t="shared" si="11"/>
        <v>3.0237580993520514</v>
      </c>
      <c r="T18">
        <f t="shared" si="12"/>
        <v>42</v>
      </c>
      <c r="U18">
        <f t="shared" si="13"/>
        <v>480</v>
      </c>
      <c r="V18">
        <f t="shared" si="14"/>
        <v>126.12</v>
      </c>
      <c r="W18">
        <f t="shared" si="15"/>
        <v>215.88</v>
      </c>
      <c r="X18">
        <f>I18*E18/'[1]Inverter Analysis'!$L$2</f>
        <v>338.16637078119811</v>
      </c>
      <c r="Y18">
        <f t="shared" si="16"/>
        <v>233.91812865497076</v>
      </c>
      <c r="Z18">
        <f t="shared" si="17"/>
        <v>634.31652394544881</v>
      </c>
      <c r="AA18">
        <f t="shared" si="18"/>
        <v>158.73015873015873</v>
      </c>
      <c r="AB18">
        <f t="shared" si="19"/>
        <v>10.340586530541096</v>
      </c>
      <c r="AC18">
        <f t="shared" si="20"/>
        <v>0.15086184863813226</v>
      </c>
    </row>
    <row r="19" spans="1:30" hidden="1">
      <c r="A19" s="8">
        <v>16</v>
      </c>
      <c r="B19" s="9">
        <v>4</v>
      </c>
      <c r="C19" s="9">
        <v>7</v>
      </c>
      <c r="D19">
        <f t="shared" si="0"/>
        <v>1000</v>
      </c>
      <c r="E19">
        <f t="shared" si="1"/>
        <v>280</v>
      </c>
      <c r="F19">
        <f t="shared" si="2"/>
        <v>29.12</v>
      </c>
      <c r="G19">
        <f t="shared" si="3"/>
        <v>0.71960000000000002</v>
      </c>
      <c r="H19">
        <f t="shared" si="4"/>
        <v>131.71199999999999</v>
      </c>
      <c r="I19">
        <f t="shared" si="5"/>
        <v>470.40000000000003</v>
      </c>
      <c r="K19">
        <f t="shared" si="6"/>
        <v>319.2</v>
      </c>
      <c r="L19">
        <f t="shared" si="7"/>
        <v>89.376000000000005</v>
      </c>
      <c r="M19">
        <f t="shared" si="8"/>
        <v>9.4079999999999995</v>
      </c>
      <c r="O19">
        <f t="shared" si="9"/>
        <v>9.4079999999999995</v>
      </c>
      <c r="P19">
        <f t="shared" si="10"/>
        <v>9.1916159999999998</v>
      </c>
      <c r="R19">
        <f>M19*(($M$3-$L$3)/($M$3-$O$3))</f>
        <v>7.3678513011152402</v>
      </c>
      <c r="S19">
        <f t="shared" si="11"/>
        <v>4.838012958963283</v>
      </c>
      <c r="T19">
        <f t="shared" si="12"/>
        <v>67.2</v>
      </c>
      <c r="U19">
        <f t="shared" si="13"/>
        <v>448</v>
      </c>
      <c r="V19">
        <f t="shared" si="14"/>
        <v>117.71199999999999</v>
      </c>
      <c r="W19">
        <f t="shared" si="15"/>
        <v>201.488</v>
      </c>
      <c r="X19">
        <f>I19*E19/'[1]Inverter Analysis'!$L$2</f>
        <v>315.62194606245157</v>
      </c>
      <c r="Y19">
        <f t="shared" si="16"/>
        <v>250.62656641604011</v>
      </c>
      <c r="Z19">
        <f t="shared" si="17"/>
        <v>679.62484708440945</v>
      </c>
      <c r="AA19">
        <f t="shared" si="18"/>
        <v>170.06802721088434</v>
      </c>
      <c r="AB19">
        <f t="shared" si="19"/>
        <v>11.870571272304828</v>
      </c>
      <c r="AC19">
        <f t="shared" si="20"/>
        <v>0.12265627041867704</v>
      </c>
    </row>
    <row r="20" spans="1:30" hidden="1">
      <c r="A20">
        <v>12</v>
      </c>
      <c r="B20">
        <v>4</v>
      </c>
      <c r="C20" s="9">
        <v>10</v>
      </c>
      <c r="D20">
        <f t="shared" si="0"/>
        <v>1000</v>
      </c>
      <c r="E20">
        <f t="shared" si="1"/>
        <v>280</v>
      </c>
      <c r="F20">
        <f t="shared" si="2"/>
        <v>31.2</v>
      </c>
      <c r="G20">
        <f t="shared" si="3"/>
        <v>0.77100000000000002</v>
      </c>
      <c r="H20">
        <f t="shared" si="4"/>
        <v>141.12</v>
      </c>
      <c r="I20">
        <f t="shared" si="5"/>
        <v>504</v>
      </c>
      <c r="K20">
        <f t="shared" si="6"/>
        <v>342</v>
      </c>
      <c r="L20">
        <f t="shared" si="7"/>
        <v>95.76</v>
      </c>
      <c r="M20">
        <f t="shared" si="8"/>
        <v>10.08</v>
      </c>
      <c r="O20">
        <f t="shared" si="9"/>
        <v>10.08</v>
      </c>
      <c r="P20">
        <f t="shared" si="10"/>
        <v>9.84816</v>
      </c>
      <c r="R20">
        <f>O20*(($M$3-$L$3)/($M$3-$O$3))</f>
        <v>7.8941263940520443</v>
      </c>
      <c r="S20">
        <f t="shared" si="11"/>
        <v>3.6285097192224618</v>
      </c>
      <c r="T20">
        <f t="shared" si="12"/>
        <v>50.4</v>
      </c>
      <c r="U20">
        <f t="shared" si="13"/>
        <v>480</v>
      </c>
      <c r="V20">
        <f t="shared" si="14"/>
        <v>126.12</v>
      </c>
      <c r="W20">
        <f t="shared" si="15"/>
        <v>215.88</v>
      </c>
      <c r="X20">
        <f>I20*E20/'[1]Inverter Analysis'!$L$2</f>
        <v>338.16637078119811</v>
      </c>
      <c r="Y20">
        <f t="shared" si="16"/>
        <v>233.91812865497076</v>
      </c>
      <c r="Z20">
        <f t="shared" si="17"/>
        <v>634.31652394544881</v>
      </c>
      <c r="AA20">
        <f t="shared" si="18"/>
        <v>158.73015873015873</v>
      </c>
      <c r="AB20">
        <f t="shared" si="19"/>
        <v>10.340586530541096</v>
      </c>
      <c r="AC20">
        <f t="shared" si="20"/>
        <v>0.15086184863813226</v>
      </c>
    </row>
    <row r="21" spans="1:30" hidden="1">
      <c r="A21">
        <v>13</v>
      </c>
      <c r="B21">
        <v>4</v>
      </c>
      <c r="C21" s="9">
        <v>9</v>
      </c>
      <c r="D21">
        <f t="shared" si="0"/>
        <v>1000</v>
      </c>
      <c r="E21">
        <f t="shared" si="1"/>
        <v>280</v>
      </c>
      <c r="F21">
        <f t="shared" si="2"/>
        <v>30.42</v>
      </c>
      <c r="G21">
        <f t="shared" si="3"/>
        <v>0.75172499999999998</v>
      </c>
      <c r="H21">
        <f t="shared" si="4"/>
        <v>137.59200000000001</v>
      </c>
      <c r="I21">
        <f t="shared" si="5"/>
        <v>491.40000000000003</v>
      </c>
      <c r="K21">
        <f t="shared" si="6"/>
        <v>333.45</v>
      </c>
      <c r="L21">
        <f t="shared" si="7"/>
        <v>93.366</v>
      </c>
      <c r="M21">
        <f t="shared" si="8"/>
        <v>9.8279999999999994</v>
      </c>
      <c r="O21">
        <f t="shared" si="9"/>
        <v>9.8279999999999994</v>
      </c>
      <c r="P21">
        <f t="shared" si="10"/>
        <v>9.6019559999999995</v>
      </c>
      <c r="R21">
        <f>O21*(($M$3-$L$3)/($M$3-$O$3))</f>
        <v>7.6967732342007427</v>
      </c>
      <c r="S21">
        <f t="shared" si="11"/>
        <v>3.9308855291576674</v>
      </c>
      <c r="T21">
        <f t="shared" si="12"/>
        <v>54.6</v>
      </c>
      <c r="U21">
        <f t="shared" si="13"/>
        <v>468</v>
      </c>
      <c r="V21">
        <f t="shared" si="14"/>
        <v>122.96699999999998</v>
      </c>
      <c r="W21">
        <f t="shared" si="15"/>
        <v>210.483</v>
      </c>
      <c r="X21">
        <f>I21*E21/'[1]Inverter Analysis'!$L$2</f>
        <v>329.71221151166816</v>
      </c>
      <c r="Y21">
        <f t="shared" si="16"/>
        <v>239.9160293897136</v>
      </c>
      <c r="Z21">
        <f t="shared" si="17"/>
        <v>650.58105020046037</v>
      </c>
      <c r="AA21">
        <f t="shared" si="18"/>
        <v>162.80016280016278</v>
      </c>
      <c r="AB21">
        <f t="shared" si="19"/>
        <v>10.877671564014303</v>
      </c>
      <c r="AC21">
        <f t="shared" si="20"/>
        <v>0.13982771874008387</v>
      </c>
    </row>
    <row r="22" spans="1:30" hidden="1">
      <c r="A22">
        <v>14</v>
      </c>
      <c r="B22">
        <v>4</v>
      </c>
      <c r="C22" s="9">
        <v>8</v>
      </c>
      <c r="D22">
        <f t="shared" si="0"/>
        <v>1000</v>
      </c>
      <c r="E22">
        <f t="shared" si="1"/>
        <v>280</v>
      </c>
      <c r="F22">
        <f t="shared" si="2"/>
        <v>29.12</v>
      </c>
      <c r="G22">
        <f t="shared" si="3"/>
        <v>0.71960000000000002</v>
      </c>
      <c r="H22">
        <f t="shared" si="4"/>
        <v>131.71199999999999</v>
      </c>
      <c r="I22">
        <f t="shared" si="5"/>
        <v>470.40000000000003</v>
      </c>
      <c r="K22">
        <f t="shared" si="6"/>
        <v>319.2</v>
      </c>
      <c r="L22">
        <f t="shared" si="7"/>
        <v>89.376000000000005</v>
      </c>
      <c r="M22">
        <f t="shared" si="8"/>
        <v>9.4079999999999995</v>
      </c>
      <c r="O22">
        <f t="shared" si="9"/>
        <v>9.4079999999999995</v>
      </c>
      <c r="P22">
        <f t="shared" si="10"/>
        <v>9.1916159999999998</v>
      </c>
      <c r="R22">
        <f>O22*(($M$3-$L$3)/($M$3-$O$3))</f>
        <v>7.3678513011152402</v>
      </c>
      <c r="S22">
        <f t="shared" si="11"/>
        <v>4.2332613390928726</v>
      </c>
      <c r="T22">
        <f t="shared" si="12"/>
        <v>58.800000000000004</v>
      </c>
      <c r="U22">
        <f t="shared" si="13"/>
        <v>448</v>
      </c>
      <c r="V22">
        <f t="shared" si="14"/>
        <v>117.71199999999999</v>
      </c>
      <c r="W22">
        <f t="shared" si="15"/>
        <v>201.488</v>
      </c>
      <c r="X22">
        <f>I22*E22/'[1]Inverter Analysis'!$L$2</f>
        <v>315.62194606245157</v>
      </c>
      <c r="Y22">
        <f t="shared" si="16"/>
        <v>250.62656641604011</v>
      </c>
      <c r="Z22">
        <f t="shared" si="17"/>
        <v>679.62484708440945</v>
      </c>
      <c r="AA22">
        <f t="shared" si="18"/>
        <v>170.06802721088434</v>
      </c>
      <c r="AB22">
        <f t="shared" si="19"/>
        <v>11.870571272304828</v>
      </c>
      <c r="AC22">
        <f t="shared" si="20"/>
        <v>0.12265627041867704</v>
      </c>
    </row>
    <row r="23" spans="1:30" s="7" customFormat="1" hidden="1">
      <c r="A23">
        <v>10</v>
      </c>
      <c r="B23">
        <v>4</v>
      </c>
      <c r="C23" s="9">
        <v>11</v>
      </c>
      <c r="D23">
        <f t="shared" si="0"/>
        <v>1000</v>
      </c>
      <c r="E23">
        <f t="shared" si="1"/>
        <v>280</v>
      </c>
      <c r="F23">
        <f t="shared" si="2"/>
        <v>28.6</v>
      </c>
      <c r="G23">
        <f t="shared" si="3"/>
        <v>0.70674999999999999</v>
      </c>
      <c r="H23">
        <f t="shared" si="4"/>
        <v>129.36000000000001</v>
      </c>
      <c r="I23">
        <f t="shared" si="5"/>
        <v>462</v>
      </c>
      <c r="J23"/>
      <c r="K23">
        <f t="shared" si="6"/>
        <v>313.5</v>
      </c>
      <c r="L23">
        <f t="shared" si="7"/>
        <v>87.78</v>
      </c>
      <c r="M23">
        <f t="shared" si="8"/>
        <v>9.24</v>
      </c>
      <c r="N23"/>
      <c r="O23">
        <f t="shared" si="9"/>
        <v>9.24</v>
      </c>
      <c r="P23">
        <f t="shared" si="10"/>
        <v>9.0274799999999988</v>
      </c>
      <c r="Q23"/>
      <c r="R23">
        <f>O23*(($M$3-$L$3)/($M$3-$O$3))</f>
        <v>7.2362825278810403</v>
      </c>
      <c r="S23">
        <f t="shared" si="11"/>
        <v>3.0237580993520514</v>
      </c>
      <c r="T23">
        <f t="shared" si="12"/>
        <v>42</v>
      </c>
      <c r="U23">
        <f t="shared" si="13"/>
        <v>440</v>
      </c>
      <c r="V23">
        <f t="shared" si="14"/>
        <v>115.61000000000001</v>
      </c>
      <c r="W23">
        <f t="shared" si="15"/>
        <v>197.89</v>
      </c>
      <c r="X23">
        <f>I23*E23/'[1]Inverter Analysis'!$L$2</f>
        <v>309.98583988276494</v>
      </c>
      <c r="Y23">
        <f t="shared" si="16"/>
        <v>255.18341307814993</v>
      </c>
      <c r="Z23">
        <f t="shared" si="17"/>
        <v>691.98166248594407</v>
      </c>
      <c r="AA23">
        <f t="shared" si="18"/>
        <v>173.16017316017317</v>
      </c>
      <c r="AB23">
        <f t="shared" si="19"/>
        <v>12.306152565272043</v>
      </c>
      <c r="AC23">
        <f t="shared" si="20"/>
        <v>0.11620203734800585</v>
      </c>
      <c r="AD23"/>
    </row>
    <row r="24" spans="1:30" hidden="1">
      <c r="A24" s="8">
        <v>15</v>
      </c>
      <c r="B24" s="9">
        <v>4</v>
      </c>
      <c r="C24" s="9">
        <v>7</v>
      </c>
      <c r="D24">
        <f t="shared" si="0"/>
        <v>1000</v>
      </c>
      <c r="E24">
        <f t="shared" si="1"/>
        <v>280</v>
      </c>
      <c r="F24">
        <f t="shared" si="2"/>
        <v>27.3</v>
      </c>
      <c r="G24">
        <f t="shared" si="3"/>
        <v>0.67462500000000003</v>
      </c>
      <c r="H24">
        <f t="shared" si="4"/>
        <v>123.48</v>
      </c>
      <c r="I24">
        <f t="shared" si="5"/>
        <v>441</v>
      </c>
      <c r="K24">
        <f t="shared" si="6"/>
        <v>299.25</v>
      </c>
      <c r="L24">
        <f t="shared" si="7"/>
        <v>83.79</v>
      </c>
      <c r="M24">
        <f t="shared" si="8"/>
        <v>8.82</v>
      </c>
      <c r="O24">
        <f t="shared" si="9"/>
        <v>8.82</v>
      </c>
      <c r="P24">
        <f t="shared" si="10"/>
        <v>8.6171399999999991</v>
      </c>
      <c r="R24">
        <f>M24*(($M$3-$L$3)/($M$3-$O$3))</f>
        <v>6.9073605947955388</v>
      </c>
      <c r="S24">
        <f t="shared" si="11"/>
        <v>4.5356371490280774</v>
      </c>
      <c r="T24">
        <f t="shared" si="12"/>
        <v>63</v>
      </c>
      <c r="U24">
        <f t="shared" si="13"/>
        <v>420</v>
      </c>
      <c r="V24">
        <f t="shared" si="14"/>
        <v>110.35499999999999</v>
      </c>
      <c r="W24">
        <f t="shared" si="15"/>
        <v>188.89500000000001</v>
      </c>
      <c r="X24">
        <f>I24*E24/'[1]Inverter Analysis'!$L$2</f>
        <v>295.89557443354835</v>
      </c>
      <c r="Y24">
        <f t="shared" si="16"/>
        <v>267.33500417710945</v>
      </c>
      <c r="Z24">
        <f t="shared" si="17"/>
        <v>724.9331702233701</v>
      </c>
      <c r="AA24">
        <f t="shared" si="18"/>
        <v>181.40589569160997</v>
      </c>
      <c r="AB24">
        <f t="shared" si="19"/>
        <v>13.506072203155718</v>
      </c>
      <c r="AC24">
        <f t="shared" si="20"/>
        <v>0.10106565250562376</v>
      </c>
    </row>
    <row r="25" spans="1:30" hidden="1">
      <c r="A25">
        <v>11</v>
      </c>
      <c r="B25">
        <v>4</v>
      </c>
      <c r="C25" s="9">
        <v>10</v>
      </c>
      <c r="D25">
        <f t="shared" si="0"/>
        <v>1000</v>
      </c>
      <c r="E25">
        <f t="shared" si="1"/>
        <v>280</v>
      </c>
      <c r="F25">
        <f t="shared" si="2"/>
        <v>28.6</v>
      </c>
      <c r="G25">
        <f t="shared" si="3"/>
        <v>0.70674999999999999</v>
      </c>
      <c r="H25">
        <f t="shared" si="4"/>
        <v>129.36000000000001</v>
      </c>
      <c r="I25">
        <f t="shared" si="5"/>
        <v>462</v>
      </c>
      <c r="K25">
        <f t="shared" si="6"/>
        <v>313.5</v>
      </c>
      <c r="L25">
        <f t="shared" si="7"/>
        <v>87.78</v>
      </c>
      <c r="M25">
        <f t="shared" si="8"/>
        <v>9.24</v>
      </c>
      <c r="O25">
        <f t="shared" si="9"/>
        <v>9.24</v>
      </c>
      <c r="P25">
        <f t="shared" si="10"/>
        <v>9.0274799999999988</v>
      </c>
      <c r="R25">
        <f>O25*(($M$3-$L$3)/($M$3-$O$3))</f>
        <v>7.2362825278810403</v>
      </c>
      <c r="S25">
        <f t="shared" si="11"/>
        <v>3.3261339092872566</v>
      </c>
      <c r="T25">
        <f t="shared" si="12"/>
        <v>46.2</v>
      </c>
      <c r="U25">
        <f t="shared" si="13"/>
        <v>440</v>
      </c>
      <c r="V25">
        <f t="shared" si="14"/>
        <v>115.61000000000001</v>
      </c>
      <c r="W25">
        <f t="shared" si="15"/>
        <v>197.89</v>
      </c>
      <c r="X25">
        <f>I25*E25/'[1]Inverter Analysis'!$L$2</f>
        <v>309.98583988276494</v>
      </c>
      <c r="Y25">
        <f t="shared" si="16"/>
        <v>255.18341307814993</v>
      </c>
      <c r="Z25">
        <f t="shared" si="17"/>
        <v>691.98166248594407</v>
      </c>
      <c r="AA25">
        <f t="shared" si="18"/>
        <v>173.16017316017317</v>
      </c>
      <c r="AB25">
        <f t="shared" si="19"/>
        <v>12.306152565272043</v>
      </c>
      <c r="AC25">
        <f t="shared" si="20"/>
        <v>0.11620203734800585</v>
      </c>
    </row>
    <row r="26" spans="1:30" hidden="1">
      <c r="A26">
        <v>15</v>
      </c>
      <c r="B26">
        <v>3</v>
      </c>
      <c r="C26" s="9">
        <v>9</v>
      </c>
      <c r="D26">
        <f t="shared" si="0"/>
        <v>750</v>
      </c>
      <c r="E26">
        <f t="shared" si="1"/>
        <v>210</v>
      </c>
      <c r="F26">
        <f t="shared" si="2"/>
        <v>26.324999999999999</v>
      </c>
      <c r="G26">
        <f t="shared" si="3"/>
        <v>1.1565000000000003</v>
      </c>
      <c r="H26">
        <f t="shared" si="4"/>
        <v>119.07</v>
      </c>
      <c r="I26">
        <f t="shared" si="5"/>
        <v>567</v>
      </c>
      <c r="K26">
        <f t="shared" si="6"/>
        <v>384.75</v>
      </c>
      <c r="L26">
        <f t="shared" si="7"/>
        <v>80.797499999999999</v>
      </c>
      <c r="M26">
        <f t="shared" si="8"/>
        <v>8.5050000000000008</v>
      </c>
      <c r="O26">
        <f t="shared" si="9"/>
        <v>8.5050000000000008</v>
      </c>
      <c r="P26">
        <f t="shared" si="10"/>
        <v>8.3093850000000007</v>
      </c>
      <c r="R26">
        <f>M26*(($M$3-$L$3)/($M$3-$O$3))</f>
        <v>6.660669144981413</v>
      </c>
      <c r="S26">
        <f t="shared" si="11"/>
        <v>3.4017278617710582</v>
      </c>
      <c r="T26">
        <f t="shared" si="12"/>
        <v>63</v>
      </c>
      <c r="U26">
        <f t="shared" si="13"/>
        <v>405</v>
      </c>
      <c r="V26">
        <f t="shared" si="14"/>
        <v>141.88499999999993</v>
      </c>
      <c r="W26">
        <f t="shared" si="15"/>
        <v>242.86500000000007</v>
      </c>
      <c r="X26">
        <f>I26*E26/'[1]Inverter Analysis'!$L$2</f>
        <v>285.32787534663589</v>
      </c>
      <c r="Y26">
        <f t="shared" si="16"/>
        <v>207.92722547108511</v>
      </c>
      <c r="Z26">
        <f t="shared" si="17"/>
        <v>563.83691017373246</v>
      </c>
      <c r="AA26">
        <f t="shared" si="18"/>
        <v>141.09347442680777</v>
      </c>
      <c r="AB26">
        <f t="shared" si="19"/>
        <v>8.1703399747485239</v>
      </c>
      <c r="AC26">
        <f t="shared" si="20"/>
        <v>0.16110100731034918</v>
      </c>
    </row>
    <row r="27" spans="1:30" hidden="1">
      <c r="A27">
        <v>12</v>
      </c>
      <c r="B27">
        <v>3</v>
      </c>
      <c r="C27">
        <v>12</v>
      </c>
      <c r="D27">
        <f t="shared" si="0"/>
        <v>750</v>
      </c>
      <c r="E27">
        <f t="shared" si="1"/>
        <v>210</v>
      </c>
      <c r="F27">
        <f t="shared" si="2"/>
        <v>28.08</v>
      </c>
      <c r="G27">
        <f t="shared" si="3"/>
        <v>1.2336000000000005</v>
      </c>
      <c r="H27">
        <f t="shared" si="4"/>
        <v>127.00800000000001</v>
      </c>
      <c r="I27">
        <f t="shared" si="5"/>
        <v>604.80000000000007</v>
      </c>
      <c r="K27">
        <f t="shared" si="6"/>
        <v>410.40000000000003</v>
      </c>
      <c r="L27">
        <f t="shared" si="7"/>
        <v>86.183999999999997</v>
      </c>
      <c r="M27">
        <f t="shared" si="8"/>
        <v>9.072000000000001</v>
      </c>
      <c r="O27">
        <f t="shared" si="9"/>
        <v>9.072000000000001</v>
      </c>
      <c r="P27">
        <f t="shared" si="10"/>
        <v>8.8633440000000014</v>
      </c>
      <c r="R27">
        <f t="shared" ref="R27:R33" si="21">O27*(($M$3-$L$3)/($M$3-$O$3))</f>
        <v>7.1047137546468404</v>
      </c>
      <c r="S27">
        <f t="shared" si="11"/>
        <v>2.7213822894168467</v>
      </c>
      <c r="T27">
        <f t="shared" si="12"/>
        <v>50.400000000000006</v>
      </c>
      <c r="U27">
        <f t="shared" si="13"/>
        <v>432</v>
      </c>
      <c r="V27">
        <f t="shared" si="14"/>
        <v>151.34399999999994</v>
      </c>
      <c r="W27">
        <f t="shared" si="15"/>
        <v>259.0560000000001</v>
      </c>
      <c r="X27">
        <f>I27*E27/'[1]Inverter Analysis'!$L$2</f>
        <v>304.3497337030783</v>
      </c>
      <c r="Y27">
        <f t="shared" si="16"/>
        <v>194.93177387914227</v>
      </c>
      <c r="Z27">
        <f t="shared" si="17"/>
        <v>528.59710328787423</v>
      </c>
      <c r="AA27">
        <f t="shared" si="18"/>
        <v>132.27513227513225</v>
      </c>
      <c r="AB27">
        <f t="shared" si="19"/>
        <v>7.1809628684313216</v>
      </c>
      <c r="AC27">
        <f t="shared" si="20"/>
        <v>0.19551695583501921</v>
      </c>
    </row>
    <row r="28" spans="1:30" s="6" customFormat="1" hidden="1">
      <c r="A28">
        <v>12</v>
      </c>
      <c r="B28">
        <v>4</v>
      </c>
      <c r="C28" s="9">
        <v>9</v>
      </c>
      <c r="D28">
        <f t="shared" si="0"/>
        <v>1000</v>
      </c>
      <c r="E28">
        <f t="shared" si="1"/>
        <v>280</v>
      </c>
      <c r="F28">
        <f t="shared" si="2"/>
        <v>28.08</v>
      </c>
      <c r="G28">
        <f t="shared" si="3"/>
        <v>0.69389999999999996</v>
      </c>
      <c r="H28">
        <f t="shared" si="4"/>
        <v>127.008</v>
      </c>
      <c r="I28">
        <f t="shared" si="5"/>
        <v>453.6</v>
      </c>
      <c r="J28"/>
      <c r="K28">
        <f t="shared" si="6"/>
        <v>307.8</v>
      </c>
      <c r="L28">
        <f t="shared" si="7"/>
        <v>86.183999999999997</v>
      </c>
      <c r="M28">
        <f t="shared" si="8"/>
        <v>9.0719999999999992</v>
      </c>
      <c r="N28"/>
      <c r="O28">
        <f t="shared" si="9"/>
        <v>9.0719999999999992</v>
      </c>
      <c r="P28">
        <f t="shared" si="10"/>
        <v>8.8633440000000014</v>
      </c>
      <c r="Q28"/>
      <c r="R28">
        <f t="shared" si="21"/>
        <v>7.1047137546468386</v>
      </c>
      <c r="S28">
        <f t="shared" si="11"/>
        <v>3.6285097192224622</v>
      </c>
      <c r="T28">
        <f t="shared" si="12"/>
        <v>50.400000000000006</v>
      </c>
      <c r="U28">
        <f t="shared" si="13"/>
        <v>432</v>
      </c>
      <c r="V28">
        <f t="shared" si="14"/>
        <v>113.50800000000001</v>
      </c>
      <c r="W28">
        <f t="shared" si="15"/>
        <v>194.292</v>
      </c>
      <c r="X28">
        <f>I28*E28/'[1]Inverter Analysis'!$L$2</f>
        <v>304.3497337030783</v>
      </c>
      <c r="Y28">
        <f t="shared" si="16"/>
        <v>259.90903183885638</v>
      </c>
      <c r="Z28">
        <f t="shared" si="17"/>
        <v>704.79613771716527</v>
      </c>
      <c r="AA28">
        <f t="shared" si="18"/>
        <v>176.3668430335097</v>
      </c>
      <c r="AB28">
        <f t="shared" si="19"/>
        <v>12.766156210544557</v>
      </c>
      <c r="AC28">
        <f t="shared" si="20"/>
        <v>0.10997828765719844</v>
      </c>
      <c r="AD28"/>
    </row>
    <row r="29" spans="1:30" hidden="1">
      <c r="A29" s="7">
        <v>13</v>
      </c>
      <c r="B29" s="7">
        <v>3</v>
      </c>
      <c r="C29" s="11">
        <v>11</v>
      </c>
      <c r="D29" s="7">
        <f t="shared" si="0"/>
        <v>750</v>
      </c>
      <c r="E29" s="7">
        <f t="shared" si="1"/>
        <v>210</v>
      </c>
      <c r="F29" s="7">
        <f t="shared" si="2"/>
        <v>27.885000000000002</v>
      </c>
      <c r="G29" s="7">
        <f t="shared" si="3"/>
        <v>1.2250333333333336</v>
      </c>
      <c r="H29" s="7">
        <f t="shared" si="4"/>
        <v>126.126</v>
      </c>
      <c r="I29" s="7">
        <f t="shared" si="5"/>
        <v>600.6</v>
      </c>
      <c r="J29" s="7"/>
      <c r="K29" s="7">
        <f t="shared" si="6"/>
        <v>407.55</v>
      </c>
      <c r="L29" s="7">
        <f t="shared" si="7"/>
        <v>85.585499999999996</v>
      </c>
      <c r="M29" s="7">
        <f t="shared" si="8"/>
        <v>9.0090000000000003</v>
      </c>
      <c r="N29" s="7"/>
      <c r="O29" s="7">
        <f t="shared" si="9"/>
        <v>9.0090000000000003</v>
      </c>
      <c r="P29" s="7">
        <f t="shared" si="10"/>
        <v>8.801793</v>
      </c>
      <c r="Q29" s="7"/>
      <c r="R29">
        <f t="shared" si="21"/>
        <v>7.0553754646840146</v>
      </c>
      <c r="S29" s="7">
        <f t="shared" si="11"/>
        <v>2.9481641468682507</v>
      </c>
      <c r="T29" s="7">
        <f t="shared" si="12"/>
        <v>54.6</v>
      </c>
      <c r="U29" s="7">
        <f t="shared" si="13"/>
        <v>429</v>
      </c>
      <c r="V29" s="7">
        <f t="shared" si="14"/>
        <v>150.29299999999995</v>
      </c>
      <c r="W29" s="7">
        <f t="shared" si="15"/>
        <v>257.25700000000006</v>
      </c>
      <c r="X29" s="7">
        <f>I29*E29/'[1]Inverter Analysis'!$L$2</f>
        <v>302.2361938856958</v>
      </c>
      <c r="Y29" s="7">
        <f t="shared" si="16"/>
        <v>196.29493313703838</v>
      </c>
      <c r="Z29" s="7">
        <f t="shared" si="17"/>
        <v>532.2935865276495</v>
      </c>
      <c r="AA29" s="7">
        <f t="shared" si="18"/>
        <v>133.20013320013319</v>
      </c>
      <c r="AB29" s="7">
        <f t="shared" si="19"/>
        <v>7.281747080042634</v>
      </c>
      <c r="AC29" s="7">
        <f t="shared" si="20"/>
        <v>0.19147190704017653</v>
      </c>
    </row>
    <row r="30" spans="1:30" s="7" customFormat="1" hidden="1">
      <c r="A30">
        <v>14</v>
      </c>
      <c r="B30">
        <v>3</v>
      </c>
      <c r="C30" s="9">
        <v>10</v>
      </c>
      <c r="D30">
        <f t="shared" si="0"/>
        <v>750</v>
      </c>
      <c r="E30">
        <f t="shared" si="1"/>
        <v>210</v>
      </c>
      <c r="F30">
        <f t="shared" si="2"/>
        <v>27.3</v>
      </c>
      <c r="G30">
        <f t="shared" si="3"/>
        <v>1.1993333333333336</v>
      </c>
      <c r="H30">
        <f t="shared" si="4"/>
        <v>123.48</v>
      </c>
      <c r="I30">
        <f t="shared" si="5"/>
        <v>588</v>
      </c>
      <c r="J30"/>
      <c r="K30">
        <f t="shared" si="6"/>
        <v>399</v>
      </c>
      <c r="L30">
        <f t="shared" si="7"/>
        <v>83.79</v>
      </c>
      <c r="M30">
        <f t="shared" si="8"/>
        <v>8.82</v>
      </c>
      <c r="N30"/>
      <c r="O30">
        <f t="shared" si="9"/>
        <v>8.82</v>
      </c>
      <c r="P30">
        <f t="shared" si="10"/>
        <v>8.6171399999999991</v>
      </c>
      <c r="Q30"/>
      <c r="R30">
        <f t="shared" si="21"/>
        <v>6.9073605947955388</v>
      </c>
      <c r="S30">
        <f t="shared" si="11"/>
        <v>3.1749460043196542</v>
      </c>
      <c r="T30">
        <f t="shared" si="12"/>
        <v>58.8</v>
      </c>
      <c r="U30">
        <f t="shared" si="13"/>
        <v>420</v>
      </c>
      <c r="V30">
        <f t="shared" si="14"/>
        <v>147.13999999999996</v>
      </c>
      <c r="W30">
        <f t="shared" si="15"/>
        <v>251.86000000000004</v>
      </c>
      <c r="X30">
        <f>I30*E30/'[1]Inverter Analysis'!$L$2</f>
        <v>295.89557443354835</v>
      </c>
      <c r="Y30">
        <f t="shared" si="16"/>
        <v>200.50125313283209</v>
      </c>
      <c r="Z30">
        <f t="shared" si="17"/>
        <v>543.69987766752763</v>
      </c>
      <c r="AA30">
        <f t="shared" si="18"/>
        <v>136.05442176870747</v>
      </c>
      <c r="AB30">
        <f t="shared" si="19"/>
        <v>7.5971656142750925</v>
      </c>
      <c r="AC30">
        <f t="shared" si="20"/>
        <v>0.17967227112110884</v>
      </c>
      <c r="AD30"/>
    </row>
    <row r="31" spans="1:30" hidden="1">
      <c r="A31">
        <v>13</v>
      </c>
      <c r="B31">
        <v>4</v>
      </c>
      <c r="C31" s="9">
        <v>8</v>
      </c>
      <c r="D31">
        <f t="shared" si="0"/>
        <v>1000</v>
      </c>
      <c r="E31">
        <f t="shared" si="1"/>
        <v>280</v>
      </c>
      <c r="F31">
        <f t="shared" si="2"/>
        <v>27.04</v>
      </c>
      <c r="G31">
        <f t="shared" si="3"/>
        <v>0.66820000000000002</v>
      </c>
      <c r="H31">
        <f t="shared" si="4"/>
        <v>122.304</v>
      </c>
      <c r="I31">
        <f t="shared" si="5"/>
        <v>436.8</v>
      </c>
      <c r="K31">
        <f t="shared" si="6"/>
        <v>296.40000000000003</v>
      </c>
      <c r="L31">
        <f t="shared" si="7"/>
        <v>82.992000000000019</v>
      </c>
      <c r="M31">
        <f t="shared" si="8"/>
        <v>8.7360000000000007</v>
      </c>
      <c r="O31">
        <f t="shared" si="9"/>
        <v>8.7360000000000007</v>
      </c>
      <c r="P31">
        <f t="shared" si="10"/>
        <v>8.5350719999999995</v>
      </c>
      <c r="R31">
        <f t="shared" si="21"/>
        <v>6.8415762081784388</v>
      </c>
      <c r="S31">
        <f t="shared" si="11"/>
        <v>3.9308855291576674</v>
      </c>
      <c r="T31">
        <f t="shared" si="12"/>
        <v>54.6</v>
      </c>
      <c r="U31">
        <f t="shared" si="13"/>
        <v>416</v>
      </c>
      <c r="V31">
        <f t="shared" si="14"/>
        <v>109.30400000000003</v>
      </c>
      <c r="W31">
        <f t="shared" si="15"/>
        <v>187.096</v>
      </c>
      <c r="X31">
        <f>I31*E31/'[1]Inverter Analysis'!$L$2</f>
        <v>293.07752134370503</v>
      </c>
      <c r="Y31">
        <f t="shared" si="16"/>
        <v>269.90553306342775</v>
      </c>
      <c r="Z31">
        <f t="shared" si="17"/>
        <v>731.9036814755176</v>
      </c>
      <c r="AA31">
        <f t="shared" si="18"/>
        <v>183.15018315018315</v>
      </c>
      <c r="AB31">
        <f t="shared" si="19"/>
        <v>13.76705307320559</v>
      </c>
      <c r="AC31">
        <f t="shared" si="20"/>
        <v>9.8205475987548668E-2</v>
      </c>
    </row>
    <row r="32" spans="1:30">
      <c r="A32">
        <v>10</v>
      </c>
      <c r="B32">
        <v>4</v>
      </c>
      <c r="C32" s="9">
        <v>10</v>
      </c>
      <c r="D32">
        <f t="shared" si="0"/>
        <v>1000</v>
      </c>
      <c r="E32">
        <f t="shared" si="1"/>
        <v>280</v>
      </c>
      <c r="F32">
        <f t="shared" si="2"/>
        <v>26</v>
      </c>
      <c r="G32">
        <f t="shared" si="3"/>
        <v>0.64250000000000007</v>
      </c>
      <c r="H32">
        <f t="shared" si="4"/>
        <v>117.6</v>
      </c>
      <c r="I32">
        <f t="shared" si="5"/>
        <v>420</v>
      </c>
      <c r="K32">
        <f t="shared" si="6"/>
        <v>285</v>
      </c>
      <c r="L32">
        <f t="shared" si="7"/>
        <v>79.8</v>
      </c>
      <c r="M32">
        <f t="shared" si="8"/>
        <v>8.4</v>
      </c>
      <c r="O32">
        <f t="shared" si="9"/>
        <v>8.4</v>
      </c>
      <c r="P32">
        <f t="shared" si="10"/>
        <v>8.2067999999999994</v>
      </c>
      <c r="R32">
        <f t="shared" si="21"/>
        <v>6.5784386617100372</v>
      </c>
      <c r="S32">
        <f t="shared" si="11"/>
        <v>3.0237580993520519</v>
      </c>
      <c r="T32">
        <f t="shared" si="12"/>
        <v>42</v>
      </c>
      <c r="U32">
        <f t="shared" si="13"/>
        <v>400</v>
      </c>
      <c r="V32">
        <f t="shared" si="14"/>
        <v>105.09999999999997</v>
      </c>
      <c r="W32">
        <f t="shared" si="15"/>
        <v>179.90000000000003</v>
      </c>
      <c r="X32">
        <f>I32*E32/'[1]Inverter Analysis'!$L$2</f>
        <v>281.80530898433176</v>
      </c>
      <c r="Y32">
        <f t="shared" si="16"/>
        <v>280.70175438596493</v>
      </c>
      <c r="Z32">
        <f t="shared" si="17"/>
        <v>761.17982873453877</v>
      </c>
      <c r="AA32">
        <f t="shared" si="18"/>
        <v>190.47619047619048</v>
      </c>
      <c r="AB32">
        <f t="shared" si="19"/>
        <v>14.890444603979185</v>
      </c>
      <c r="AC32">
        <f t="shared" si="20"/>
        <v>8.7304310554474643E-2</v>
      </c>
    </row>
    <row r="33" spans="1:30" hidden="1">
      <c r="A33">
        <v>11</v>
      </c>
      <c r="B33">
        <v>3</v>
      </c>
      <c r="C33">
        <v>12</v>
      </c>
      <c r="D33">
        <f t="shared" si="0"/>
        <v>750</v>
      </c>
      <c r="E33">
        <f t="shared" si="1"/>
        <v>210</v>
      </c>
      <c r="F33">
        <f t="shared" si="2"/>
        <v>25.74</v>
      </c>
      <c r="G33">
        <f t="shared" si="3"/>
        <v>1.1308000000000002</v>
      </c>
      <c r="H33">
        <f t="shared" si="4"/>
        <v>116.42400000000001</v>
      </c>
      <c r="I33">
        <f t="shared" si="5"/>
        <v>554.4</v>
      </c>
      <c r="K33">
        <f t="shared" si="6"/>
        <v>376.2</v>
      </c>
      <c r="L33">
        <f t="shared" si="7"/>
        <v>79.001999999999995</v>
      </c>
      <c r="M33">
        <f t="shared" si="8"/>
        <v>8.3160000000000007</v>
      </c>
      <c r="O33">
        <f t="shared" si="9"/>
        <v>8.3160000000000007</v>
      </c>
      <c r="P33">
        <f t="shared" si="10"/>
        <v>8.1247319999999998</v>
      </c>
      <c r="R33">
        <f t="shared" si="21"/>
        <v>6.5126542750929364</v>
      </c>
      <c r="S33">
        <f t="shared" si="11"/>
        <v>2.4946004319654427</v>
      </c>
      <c r="T33">
        <f t="shared" si="12"/>
        <v>46.199999999999996</v>
      </c>
      <c r="U33">
        <f t="shared" si="13"/>
        <v>396</v>
      </c>
      <c r="V33">
        <f t="shared" si="14"/>
        <v>138.73199999999994</v>
      </c>
      <c r="W33">
        <f t="shared" si="15"/>
        <v>237.46800000000005</v>
      </c>
      <c r="X33">
        <f>I33*E33/'[1]Inverter Analysis'!$L$2</f>
        <v>278.98725589448844</v>
      </c>
      <c r="Y33">
        <f t="shared" si="16"/>
        <v>212.65284423179162</v>
      </c>
      <c r="Z33">
        <f t="shared" si="17"/>
        <v>576.65138540495366</v>
      </c>
      <c r="AA33">
        <f t="shared" si="18"/>
        <v>144.3001443001443</v>
      </c>
      <c r="AB33">
        <f t="shared" si="19"/>
        <v>8.5459392814389261</v>
      </c>
      <c r="AC33">
        <f t="shared" si="20"/>
        <v>0.15059784040301544</v>
      </c>
    </row>
    <row r="34" spans="1:30" s="6" customFormat="1" hidden="1">
      <c r="A34">
        <v>16</v>
      </c>
      <c r="B34">
        <v>3</v>
      </c>
      <c r="C34" s="9">
        <v>8</v>
      </c>
      <c r="D34">
        <f t="shared" si="0"/>
        <v>750</v>
      </c>
      <c r="E34">
        <f t="shared" si="1"/>
        <v>210</v>
      </c>
      <c r="F34">
        <f t="shared" si="2"/>
        <v>24.96</v>
      </c>
      <c r="G34">
        <f t="shared" si="3"/>
        <v>1.0965333333333336</v>
      </c>
      <c r="H34">
        <f t="shared" si="4"/>
        <v>112.896</v>
      </c>
      <c r="I34">
        <f t="shared" si="5"/>
        <v>537.6</v>
      </c>
      <c r="J34"/>
      <c r="K34">
        <f t="shared" si="6"/>
        <v>364.8</v>
      </c>
      <c r="L34">
        <f t="shared" si="7"/>
        <v>76.608000000000004</v>
      </c>
      <c r="M34">
        <f t="shared" si="8"/>
        <v>8.0640000000000001</v>
      </c>
      <c r="N34"/>
      <c r="O34">
        <f t="shared" si="9"/>
        <v>8.0640000000000001</v>
      </c>
      <c r="P34">
        <f t="shared" si="10"/>
        <v>7.8785280000000002</v>
      </c>
      <c r="Q34"/>
      <c r="R34">
        <f>M34*(($M$3-$L$3)/($M$3-$O$3))</f>
        <v>6.3153011152416347</v>
      </c>
      <c r="S34">
        <f t="shared" si="11"/>
        <v>3.6285097192224622</v>
      </c>
      <c r="T34">
        <f t="shared" si="12"/>
        <v>67.2</v>
      </c>
      <c r="U34">
        <f t="shared" si="13"/>
        <v>384</v>
      </c>
      <c r="V34">
        <f t="shared" si="14"/>
        <v>134.52799999999996</v>
      </c>
      <c r="W34">
        <f t="shared" si="15"/>
        <v>230.27200000000005</v>
      </c>
      <c r="X34">
        <f>I34*E34/'[1]Inverter Analysis'!$L$2</f>
        <v>270.53309662495849</v>
      </c>
      <c r="Y34">
        <f t="shared" si="16"/>
        <v>219.29824561403507</v>
      </c>
      <c r="Z34">
        <f t="shared" si="17"/>
        <v>594.6717411988584</v>
      </c>
      <c r="AA34">
        <f t="shared" si="18"/>
        <v>148.8095238095238</v>
      </c>
      <c r="AB34">
        <f t="shared" si="19"/>
        <v>9.0884061303583881</v>
      </c>
      <c r="AC34">
        <f t="shared" si="20"/>
        <v>0.13731780711595326</v>
      </c>
    </row>
    <row r="35" spans="1:30" hidden="1">
      <c r="A35" s="8">
        <v>16</v>
      </c>
      <c r="B35" s="9">
        <v>4</v>
      </c>
      <c r="C35" s="9">
        <v>6</v>
      </c>
      <c r="D35">
        <f t="shared" si="0"/>
        <v>1000</v>
      </c>
      <c r="E35">
        <f t="shared" si="1"/>
        <v>280</v>
      </c>
      <c r="F35">
        <f t="shared" si="2"/>
        <v>24.96</v>
      </c>
      <c r="G35">
        <f t="shared" si="3"/>
        <v>0.61680000000000001</v>
      </c>
      <c r="H35">
        <f t="shared" si="4"/>
        <v>112.89600000000002</v>
      </c>
      <c r="I35">
        <f t="shared" si="5"/>
        <v>403.20000000000005</v>
      </c>
      <c r="K35">
        <f t="shared" si="6"/>
        <v>273.60000000000002</v>
      </c>
      <c r="L35">
        <f t="shared" si="7"/>
        <v>76.608000000000004</v>
      </c>
      <c r="M35">
        <f t="shared" si="8"/>
        <v>8.0640000000000001</v>
      </c>
      <c r="O35">
        <f t="shared" si="9"/>
        <v>8.0640000000000001</v>
      </c>
      <c r="P35">
        <f t="shared" si="10"/>
        <v>7.8785280000000002</v>
      </c>
      <c r="R35">
        <f>M35*(($M$3-$L$3)/($M$3-$O$3))</f>
        <v>6.3153011152416347</v>
      </c>
      <c r="S35">
        <f t="shared" si="11"/>
        <v>4.8380129589632839</v>
      </c>
      <c r="T35">
        <f t="shared" si="12"/>
        <v>67.2</v>
      </c>
      <c r="U35">
        <f t="shared" si="13"/>
        <v>384</v>
      </c>
      <c r="V35">
        <f t="shared" si="14"/>
        <v>100.89600000000002</v>
      </c>
      <c r="W35">
        <f t="shared" si="15"/>
        <v>172.70400000000001</v>
      </c>
      <c r="X35">
        <f>I35*E35/'[1]Inverter Analysis'!$L$2</f>
        <v>270.53309662495849</v>
      </c>
      <c r="Y35">
        <f t="shared" si="16"/>
        <v>292.3976608187134</v>
      </c>
      <c r="Z35">
        <f t="shared" si="17"/>
        <v>792.8956549318109</v>
      </c>
      <c r="AA35">
        <f t="shared" si="18"/>
        <v>198.4126984126984</v>
      </c>
      <c r="AB35">
        <f t="shared" si="19"/>
        <v>16.157166453970458</v>
      </c>
      <c r="AC35">
        <f t="shared" si="20"/>
        <v>7.7241266502723741E-2</v>
      </c>
    </row>
    <row r="36" spans="1:30" s="6" customFormat="1" hidden="1">
      <c r="A36">
        <v>12</v>
      </c>
      <c r="B36">
        <v>3</v>
      </c>
      <c r="C36" s="9">
        <v>11</v>
      </c>
      <c r="D36">
        <f t="shared" si="0"/>
        <v>750</v>
      </c>
      <c r="E36">
        <f t="shared" si="1"/>
        <v>210</v>
      </c>
      <c r="F36">
        <f t="shared" si="2"/>
        <v>25.74</v>
      </c>
      <c r="G36">
        <f t="shared" si="3"/>
        <v>1.1308000000000002</v>
      </c>
      <c r="H36">
        <f t="shared" si="4"/>
        <v>116.42400000000001</v>
      </c>
      <c r="I36">
        <f t="shared" si="5"/>
        <v>554.4</v>
      </c>
      <c r="J36"/>
      <c r="K36">
        <f t="shared" si="6"/>
        <v>376.2</v>
      </c>
      <c r="L36">
        <f t="shared" si="7"/>
        <v>79.001999999999995</v>
      </c>
      <c r="M36">
        <f t="shared" si="8"/>
        <v>8.3160000000000007</v>
      </c>
      <c r="N36"/>
      <c r="O36">
        <f t="shared" si="9"/>
        <v>8.3160000000000007</v>
      </c>
      <c r="P36">
        <f t="shared" si="10"/>
        <v>8.1247319999999998</v>
      </c>
      <c r="Q36"/>
      <c r="R36">
        <f t="shared" ref="R36:R46" si="22">O36*(($M$3-$L$3)/($M$3-$O$3))</f>
        <v>6.5126542750929364</v>
      </c>
      <c r="S36">
        <f t="shared" si="11"/>
        <v>2.7213822894168462</v>
      </c>
      <c r="T36">
        <f t="shared" si="12"/>
        <v>50.4</v>
      </c>
      <c r="U36">
        <f t="shared" si="13"/>
        <v>396</v>
      </c>
      <c r="V36">
        <f t="shared" si="14"/>
        <v>138.73199999999994</v>
      </c>
      <c r="W36">
        <f t="shared" si="15"/>
        <v>237.46800000000005</v>
      </c>
      <c r="X36">
        <f>I36*E36/'[1]Inverter Analysis'!$L$2</f>
        <v>278.98725589448844</v>
      </c>
      <c r="Y36">
        <f t="shared" si="16"/>
        <v>212.65284423179162</v>
      </c>
      <c r="Z36">
        <f t="shared" si="17"/>
        <v>576.65138540495366</v>
      </c>
      <c r="AA36">
        <f t="shared" si="18"/>
        <v>144.3001443001443</v>
      </c>
      <c r="AB36">
        <f t="shared" si="19"/>
        <v>8.5459392814389261</v>
      </c>
      <c r="AC36">
        <f t="shared" si="20"/>
        <v>0.15059784040301544</v>
      </c>
      <c r="AD36"/>
    </row>
    <row r="37" spans="1:30">
      <c r="A37">
        <v>11</v>
      </c>
      <c r="B37">
        <v>4</v>
      </c>
      <c r="C37" s="9">
        <v>9</v>
      </c>
      <c r="D37">
        <f t="shared" si="0"/>
        <v>1000</v>
      </c>
      <c r="E37">
        <f t="shared" si="1"/>
        <v>280</v>
      </c>
      <c r="F37">
        <f t="shared" si="2"/>
        <v>25.74</v>
      </c>
      <c r="G37">
        <f t="shared" si="3"/>
        <v>0.63607500000000006</v>
      </c>
      <c r="H37">
        <f t="shared" si="4"/>
        <v>116.42400000000001</v>
      </c>
      <c r="I37">
        <f t="shared" si="5"/>
        <v>415.8</v>
      </c>
      <c r="K37">
        <f t="shared" si="6"/>
        <v>282.15000000000003</v>
      </c>
      <c r="L37">
        <f t="shared" si="7"/>
        <v>79.00200000000001</v>
      </c>
      <c r="M37">
        <f t="shared" si="8"/>
        <v>8.3160000000000007</v>
      </c>
      <c r="O37">
        <f t="shared" si="9"/>
        <v>8.3160000000000007</v>
      </c>
      <c r="P37">
        <f t="shared" si="10"/>
        <v>8.1247319999999998</v>
      </c>
      <c r="R37">
        <f t="shared" si="22"/>
        <v>6.5126542750929364</v>
      </c>
      <c r="S37">
        <f t="shared" si="11"/>
        <v>3.3261339092872566</v>
      </c>
      <c r="T37">
        <f t="shared" si="12"/>
        <v>46.2</v>
      </c>
      <c r="U37">
        <f t="shared" si="13"/>
        <v>396</v>
      </c>
      <c r="V37">
        <f t="shared" si="14"/>
        <v>104.04900000000001</v>
      </c>
      <c r="W37">
        <f t="shared" si="15"/>
        <v>178.10100000000003</v>
      </c>
      <c r="X37">
        <f>I37*E37/'[1]Inverter Analysis'!$L$2</f>
        <v>278.98725589448844</v>
      </c>
      <c r="Y37">
        <f t="shared" si="16"/>
        <v>283.53712564238879</v>
      </c>
      <c r="Z37">
        <f t="shared" si="17"/>
        <v>768.86851387327124</v>
      </c>
      <c r="AA37">
        <f t="shared" si="18"/>
        <v>192.4001924001924</v>
      </c>
      <c r="AB37">
        <f t="shared" si="19"/>
        <v>15.192780944780305</v>
      </c>
      <c r="AC37">
        <f t="shared" si="20"/>
        <v>8.4711285226696242E-2</v>
      </c>
    </row>
    <row r="38" spans="1:30">
      <c r="A38">
        <v>14</v>
      </c>
      <c r="B38">
        <v>4</v>
      </c>
      <c r="C38" s="9">
        <v>7</v>
      </c>
      <c r="D38">
        <f t="shared" ref="D38:D69" si="23">B38*$K$3</f>
        <v>1000</v>
      </c>
      <c r="E38">
        <f t="shared" ref="E38:E69" si="24">B38*$I$3</f>
        <v>280</v>
      </c>
      <c r="F38">
        <f t="shared" ref="F38:F69" si="25">A38*B38*C38*$T$3/1000</f>
        <v>25.48</v>
      </c>
      <c r="G38">
        <f t="shared" ref="G38:G69" si="26">((B38*$U$3^(-1))^(-1))*A38*C38</f>
        <v>0.62965000000000004</v>
      </c>
      <c r="H38">
        <f t="shared" ref="H38:H69" si="27">E38*I38/1000</f>
        <v>115.248</v>
      </c>
      <c r="I38">
        <f t="shared" ref="I38:I69" si="28">A38*C38*4.2</f>
        <v>411.6</v>
      </c>
      <c r="K38">
        <f t="shared" ref="K38:K69" si="29">C38*A38*$L$3</f>
        <v>279.3</v>
      </c>
      <c r="L38">
        <f t="shared" ref="L38:L69" si="30">E38*K38/1000</f>
        <v>78.203999999999994</v>
      </c>
      <c r="M38">
        <f t="shared" ref="M38:M69" si="31">$P$3/1000*I38*B38/1000</f>
        <v>8.2319999999999993</v>
      </c>
      <c r="O38">
        <f t="shared" ref="O38:O69" si="32">$R$3/1000*I38*B38/1000</f>
        <v>8.2319999999999993</v>
      </c>
      <c r="P38">
        <f t="shared" ref="P38:P69" si="33">$S$3/1000*I38*B38/1000</f>
        <v>8.0426640000000003</v>
      </c>
      <c r="R38">
        <f t="shared" si="22"/>
        <v>6.4468698884758355</v>
      </c>
      <c r="S38">
        <f t="shared" ref="S38:S69" si="34">$H$3/1000*B38*I38/277.8/C38</f>
        <v>4.2332613390928726</v>
      </c>
      <c r="T38">
        <f t="shared" ref="T38:T69" si="35">I38/C38</f>
        <v>58.800000000000004</v>
      </c>
      <c r="U38">
        <f t="shared" ref="U38:U69" si="36">(A38*B38*C38)</f>
        <v>392</v>
      </c>
      <c r="V38">
        <f t="shared" ref="V38:V69" si="37">K38-(G38*E38)</f>
        <v>102.99799999999999</v>
      </c>
      <c r="W38">
        <f t="shared" ref="W38:W69" si="38">G38*E38</f>
        <v>176.30200000000002</v>
      </c>
      <c r="X38">
        <f>I38*E38/'[1]Inverter Analysis'!$L$2</f>
        <v>276.16920280464512</v>
      </c>
      <c r="Y38">
        <f t="shared" ref="Y38:Y69" si="39">80000/K38</f>
        <v>286.43036161833152</v>
      </c>
      <c r="Z38">
        <f t="shared" ref="Z38:Z69" si="40">80000/V38</f>
        <v>776.71411095361077</v>
      </c>
      <c r="AA38">
        <f t="shared" ref="AA38:AA69" si="41">80000/I38</f>
        <v>194.36345966958211</v>
      </c>
      <c r="AB38">
        <f t="shared" ref="AB38:AB69" si="42">(MAX(Y38:AA38)^2)*$U$3/1000</f>
        <v>15.504419620969569</v>
      </c>
      <c r="AC38">
        <f t="shared" ref="AC38:AC69" si="43">($V$3*F38/(AB38*1000))*10</f>
        <v>8.217011865938717E-2</v>
      </c>
    </row>
    <row r="39" spans="1:30" s="6" customFormat="1" hidden="1">
      <c r="A39">
        <v>13</v>
      </c>
      <c r="B39">
        <v>3</v>
      </c>
      <c r="C39" s="9">
        <v>10</v>
      </c>
      <c r="D39">
        <f t="shared" si="23"/>
        <v>750</v>
      </c>
      <c r="E39">
        <f t="shared" si="24"/>
        <v>210</v>
      </c>
      <c r="F39">
        <f t="shared" si="25"/>
        <v>25.35</v>
      </c>
      <c r="G39">
        <f t="shared" si="26"/>
        <v>1.113666666666667</v>
      </c>
      <c r="H39">
        <f t="shared" si="27"/>
        <v>114.66</v>
      </c>
      <c r="I39">
        <f t="shared" si="28"/>
        <v>546</v>
      </c>
      <c r="J39"/>
      <c r="K39">
        <f t="shared" si="29"/>
        <v>370.5</v>
      </c>
      <c r="L39">
        <f t="shared" si="30"/>
        <v>77.805000000000007</v>
      </c>
      <c r="M39">
        <f t="shared" si="31"/>
        <v>8.19</v>
      </c>
      <c r="N39"/>
      <c r="O39">
        <f t="shared" si="32"/>
        <v>8.19</v>
      </c>
      <c r="P39">
        <f t="shared" si="33"/>
        <v>8.0016300000000005</v>
      </c>
      <c r="Q39"/>
      <c r="R39">
        <f t="shared" si="22"/>
        <v>6.4139776951672856</v>
      </c>
      <c r="S39">
        <f t="shared" si="34"/>
        <v>2.9481641468682502</v>
      </c>
      <c r="T39">
        <f t="shared" si="35"/>
        <v>54.6</v>
      </c>
      <c r="U39">
        <f t="shared" si="36"/>
        <v>390</v>
      </c>
      <c r="V39">
        <f t="shared" si="37"/>
        <v>136.62999999999994</v>
      </c>
      <c r="W39">
        <f t="shared" si="38"/>
        <v>233.87000000000006</v>
      </c>
      <c r="X39">
        <f>I39*E39/'[1]Inverter Analysis'!$L$2</f>
        <v>274.76017625972344</v>
      </c>
      <c r="Y39">
        <f t="shared" si="39"/>
        <v>215.92442645074223</v>
      </c>
      <c r="Z39">
        <f t="shared" si="40"/>
        <v>585.52294518041447</v>
      </c>
      <c r="AA39">
        <f t="shared" si="41"/>
        <v>146.52014652014651</v>
      </c>
      <c r="AB39">
        <f t="shared" si="42"/>
        <v>8.8109139668515883</v>
      </c>
      <c r="AC39">
        <f t="shared" si="43"/>
        <v>0.14385567771613561</v>
      </c>
      <c r="AD39"/>
    </row>
    <row r="40" spans="1:30" s="6" customFormat="1">
      <c r="A40">
        <v>12</v>
      </c>
      <c r="B40">
        <v>4</v>
      </c>
      <c r="C40" s="9">
        <v>8</v>
      </c>
      <c r="D40">
        <f t="shared" si="23"/>
        <v>1000</v>
      </c>
      <c r="E40">
        <f t="shared" si="24"/>
        <v>280</v>
      </c>
      <c r="F40">
        <f t="shared" si="25"/>
        <v>24.96</v>
      </c>
      <c r="G40">
        <f t="shared" si="26"/>
        <v>0.61680000000000001</v>
      </c>
      <c r="H40">
        <f t="shared" si="27"/>
        <v>112.89600000000002</v>
      </c>
      <c r="I40">
        <f t="shared" si="28"/>
        <v>403.20000000000005</v>
      </c>
      <c r="J40"/>
      <c r="K40">
        <f t="shared" si="29"/>
        <v>273.60000000000002</v>
      </c>
      <c r="L40">
        <f t="shared" si="30"/>
        <v>76.608000000000004</v>
      </c>
      <c r="M40">
        <f t="shared" si="31"/>
        <v>8.0640000000000001</v>
      </c>
      <c r="N40"/>
      <c r="O40">
        <f t="shared" si="32"/>
        <v>8.0640000000000001</v>
      </c>
      <c r="P40">
        <f t="shared" si="33"/>
        <v>7.8785280000000002</v>
      </c>
      <c r="Q40"/>
      <c r="R40">
        <f t="shared" si="22"/>
        <v>6.3153011152416347</v>
      </c>
      <c r="S40">
        <f t="shared" si="34"/>
        <v>3.6285097192224627</v>
      </c>
      <c r="T40">
        <f t="shared" si="35"/>
        <v>50.400000000000006</v>
      </c>
      <c r="U40">
        <f t="shared" si="36"/>
        <v>384</v>
      </c>
      <c r="V40">
        <f t="shared" si="37"/>
        <v>100.89600000000002</v>
      </c>
      <c r="W40">
        <f t="shared" si="38"/>
        <v>172.70400000000001</v>
      </c>
      <c r="X40">
        <f>I40*E40/'[1]Inverter Analysis'!$L$2</f>
        <v>270.53309662495849</v>
      </c>
      <c r="Y40">
        <f t="shared" si="39"/>
        <v>292.3976608187134</v>
      </c>
      <c r="Z40">
        <f t="shared" si="40"/>
        <v>792.8956549318109</v>
      </c>
      <c r="AA40">
        <f t="shared" si="41"/>
        <v>198.4126984126984</v>
      </c>
      <c r="AB40">
        <f t="shared" si="42"/>
        <v>16.157166453970458</v>
      </c>
      <c r="AC40">
        <f t="shared" si="43"/>
        <v>7.7241266502723741E-2</v>
      </c>
    </row>
    <row r="41" spans="1:30" hidden="1">
      <c r="A41">
        <v>14</v>
      </c>
      <c r="B41">
        <v>3</v>
      </c>
      <c r="C41" s="9">
        <v>9</v>
      </c>
      <c r="D41">
        <f t="shared" si="23"/>
        <v>750</v>
      </c>
      <c r="E41">
        <f t="shared" si="24"/>
        <v>210</v>
      </c>
      <c r="F41">
        <f t="shared" si="25"/>
        <v>24.57</v>
      </c>
      <c r="G41">
        <f t="shared" si="26"/>
        <v>1.0794000000000004</v>
      </c>
      <c r="H41">
        <f t="shared" si="27"/>
        <v>111.13200000000002</v>
      </c>
      <c r="I41">
        <f t="shared" si="28"/>
        <v>529.20000000000005</v>
      </c>
      <c r="K41">
        <f t="shared" si="29"/>
        <v>359.1</v>
      </c>
      <c r="L41">
        <f t="shared" si="30"/>
        <v>75.411000000000001</v>
      </c>
      <c r="M41">
        <f t="shared" si="31"/>
        <v>7.9379999999999997</v>
      </c>
      <c r="O41">
        <f t="shared" si="32"/>
        <v>7.9379999999999997</v>
      </c>
      <c r="P41">
        <f t="shared" si="33"/>
        <v>7.7554260000000017</v>
      </c>
      <c r="R41">
        <f t="shared" si="22"/>
        <v>6.2166245353159848</v>
      </c>
      <c r="S41">
        <f t="shared" si="34"/>
        <v>3.1749460043196547</v>
      </c>
      <c r="T41">
        <f t="shared" si="35"/>
        <v>58.800000000000004</v>
      </c>
      <c r="U41">
        <f t="shared" si="36"/>
        <v>378</v>
      </c>
      <c r="V41">
        <f t="shared" si="37"/>
        <v>132.42599999999996</v>
      </c>
      <c r="W41">
        <f t="shared" si="38"/>
        <v>226.67400000000006</v>
      </c>
      <c r="X41">
        <f>I41*E41/'[1]Inverter Analysis'!$L$2</f>
        <v>266.30601699019354</v>
      </c>
      <c r="Y41">
        <f t="shared" si="39"/>
        <v>222.77917014759117</v>
      </c>
      <c r="Z41">
        <f t="shared" si="40"/>
        <v>604.1109751861419</v>
      </c>
      <c r="AA41">
        <f t="shared" si="41"/>
        <v>151.17157974300829</v>
      </c>
      <c r="AB41">
        <f t="shared" si="42"/>
        <v>9.3792168077470297</v>
      </c>
      <c r="AC41">
        <f t="shared" si="43"/>
        <v>0.13098108564728833</v>
      </c>
    </row>
    <row r="42" spans="1:30" hidden="1">
      <c r="A42">
        <v>11</v>
      </c>
      <c r="B42">
        <v>3</v>
      </c>
      <c r="C42" s="9">
        <v>11</v>
      </c>
      <c r="D42">
        <f t="shared" si="23"/>
        <v>750</v>
      </c>
      <c r="E42">
        <f t="shared" si="24"/>
        <v>210</v>
      </c>
      <c r="F42">
        <f t="shared" si="25"/>
        <v>23.594999999999999</v>
      </c>
      <c r="G42">
        <f t="shared" si="26"/>
        <v>1.0365666666666669</v>
      </c>
      <c r="H42">
        <f t="shared" si="27"/>
        <v>106.72200000000001</v>
      </c>
      <c r="I42">
        <f t="shared" si="28"/>
        <v>508.20000000000005</v>
      </c>
      <c r="K42">
        <f t="shared" si="29"/>
        <v>344.85</v>
      </c>
      <c r="L42">
        <f t="shared" si="30"/>
        <v>72.418499999999995</v>
      </c>
      <c r="M42">
        <f t="shared" si="31"/>
        <v>7.6230000000000002</v>
      </c>
      <c r="O42">
        <f t="shared" si="32"/>
        <v>7.6230000000000002</v>
      </c>
      <c r="P42">
        <f t="shared" si="33"/>
        <v>7.4476710000000006</v>
      </c>
      <c r="R42">
        <f t="shared" si="22"/>
        <v>5.9699330855018582</v>
      </c>
      <c r="S42">
        <f t="shared" si="34"/>
        <v>2.4946004319654431</v>
      </c>
      <c r="T42">
        <f t="shared" si="35"/>
        <v>46.2</v>
      </c>
      <c r="U42">
        <f t="shared" si="36"/>
        <v>363</v>
      </c>
      <c r="V42">
        <f t="shared" si="37"/>
        <v>127.17099999999999</v>
      </c>
      <c r="W42">
        <f t="shared" si="38"/>
        <v>217.67900000000003</v>
      </c>
      <c r="X42">
        <f>I42*E42/'[1]Inverter Analysis'!$L$2</f>
        <v>255.73831790328109</v>
      </c>
      <c r="Y42">
        <f t="shared" si="39"/>
        <v>231.98492098013628</v>
      </c>
      <c r="Z42">
        <f t="shared" si="40"/>
        <v>629.07423862358564</v>
      </c>
      <c r="AA42">
        <f t="shared" si="41"/>
        <v>157.41833923652104</v>
      </c>
      <c r="AB42">
        <f t="shared" si="42"/>
        <v>10.170374020885991</v>
      </c>
      <c r="AC42">
        <f t="shared" si="43"/>
        <v>0.11599868378264677</v>
      </c>
    </row>
    <row r="43" spans="1:30" hidden="1">
      <c r="A43">
        <v>15</v>
      </c>
      <c r="B43">
        <v>3</v>
      </c>
      <c r="C43" s="9">
        <v>8</v>
      </c>
      <c r="D43">
        <f t="shared" si="23"/>
        <v>750</v>
      </c>
      <c r="E43">
        <f t="shared" si="24"/>
        <v>210</v>
      </c>
      <c r="F43">
        <f t="shared" si="25"/>
        <v>23.4</v>
      </c>
      <c r="G43">
        <f t="shared" si="26"/>
        <v>1.0280000000000002</v>
      </c>
      <c r="H43">
        <f t="shared" si="27"/>
        <v>105.84</v>
      </c>
      <c r="I43">
        <f t="shared" si="28"/>
        <v>504</v>
      </c>
      <c r="K43">
        <f t="shared" si="29"/>
        <v>342</v>
      </c>
      <c r="L43">
        <f t="shared" si="30"/>
        <v>71.819999999999993</v>
      </c>
      <c r="M43">
        <f t="shared" si="31"/>
        <v>7.56</v>
      </c>
      <c r="O43">
        <f t="shared" si="32"/>
        <v>7.56</v>
      </c>
      <c r="P43">
        <f t="shared" si="33"/>
        <v>7.38612</v>
      </c>
      <c r="R43">
        <f t="shared" si="22"/>
        <v>5.9205947955390323</v>
      </c>
      <c r="S43">
        <f t="shared" si="34"/>
        <v>3.4017278617710582</v>
      </c>
      <c r="T43">
        <f t="shared" si="35"/>
        <v>63</v>
      </c>
      <c r="U43">
        <f t="shared" si="36"/>
        <v>360</v>
      </c>
      <c r="V43">
        <f t="shared" si="37"/>
        <v>126.11999999999995</v>
      </c>
      <c r="W43">
        <f t="shared" si="38"/>
        <v>215.88000000000005</v>
      </c>
      <c r="X43">
        <f>I43*E43/'[1]Inverter Analysis'!$L$2</f>
        <v>253.62477808589858</v>
      </c>
      <c r="Y43">
        <f t="shared" si="39"/>
        <v>233.91812865497076</v>
      </c>
      <c r="Z43">
        <f t="shared" si="40"/>
        <v>634.31652394544903</v>
      </c>
      <c r="AA43">
        <f t="shared" si="41"/>
        <v>158.73015873015873</v>
      </c>
      <c r="AB43">
        <f t="shared" si="42"/>
        <v>10.340586530541103</v>
      </c>
      <c r="AC43">
        <f t="shared" si="43"/>
        <v>0.11314638647859912</v>
      </c>
    </row>
    <row r="44" spans="1:30" s="6" customFormat="1" hidden="1">
      <c r="A44">
        <v>10</v>
      </c>
      <c r="B44">
        <v>3</v>
      </c>
      <c r="C44">
        <v>12</v>
      </c>
      <c r="D44">
        <f t="shared" si="23"/>
        <v>750</v>
      </c>
      <c r="E44">
        <f t="shared" si="24"/>
        <v>210</v>
      </c>
      <c r="F44">
        <f t="shared" si="25"/>
        <v>23.4</v>
      </c>
      <c r="G44">
        <f t="shared" si="26"/>
        <v>1.0280000000000002</v>
      </c>
      <c r="H44">
        <f t="shared" si="27"/>
        <v>105.84</v>
      </c>
      <c r="I44">
        <f t="shared" si="28"/>
        <v>504</v>
      </c>
      <c r="J44"/>
      <c r="K44">
        <f t="shared" si="29"/>
        <v>342</v>
      </c>
      <c r="L44">
        <f t="shared" si="30"/>
        <v>71.819999999999993</v>
      </c>
      <c r="M44">
        <f t="shared" si="31"/>
        <v>7.56</v>
      </c>
      <c r="N44"/>
      <c r="O44">
        <f t="shared" si="32"/>
        <v>7.56</v>
      </c>
      <c r="P44">
        <f t="shared" si="33"/>
        <v>7.38612</v>
      </c>
      <c r="Q44"/>
      <c r="R44">
        <f t="shared" si="22"/>
        <v>5.9205947955390323</v>
      </c>
      <c r="S44">
        <f t="shared" si="34"/>
        <v>2.2678185745140387</v>
      </c>
      <c r="T44">
        <f t="shared" si="35"/>
        <v>42</v>
      </c>
      <c r="U44">
        <f t="shared" si="36"/>
        <v>360</v>
      </c>
      <c r="V44">
        <f t="shared" si="37"/>
        <v>126.11999999999995</v>
      </c>
      <c r="W44">
        <f t="shared" si="38"/>
        <v>215.88000000000005</v>
      </c>
      <c r="X44">
        <f>I44*E44/'[1]Inverter Analysis'!$L$2</f>
        <v>253.62477808589858</v>
      </c>
      <c r="Y44">
        <f t="shared" si="39"/>
        <v>233.91812865497076</v>
      </c>
      <c r="Z44">
        <f t="shared" si="40"/>
        <v>634.31652394544903</v>
      </c>
      <c r="AA44">
        <f t="shared" si="41"/>
        <v>158.73015873015873</v>
      </c>
      <c r="AB44">
        <f t="shared" si="42"/>
        <v>10.340586530541103</v>
      </c>
      <c r="AC44">
        <f t="shared" si="43"/>
        <v>0.11314638647859912</v>
      </c>
      <c r="AD44"/>
    </row>
    <row r="45" spans="1:30" hidden="1">
      <c r="A45">
        <v>12</v>
      </c>
      <c r="B45">
        <v>3</v>
      </c>
      <c r="C45" s="9">
        <v>10</v>
      </c>
      <c r="D45">
        <f t="shared" si="23"/>
        <v>750</v>
      </c>
      <c r="E45">
        <f t="shared" si="24"/>
        <v>210</v>
      </c>
      <c r="F45">
        <f t="shared" si="25"/>
        <v>23.4</v>
      </c>
      <c r="G45">
        <f t="shared" si="26"/>
        <v>1.0280000000000002</v>
      </c>
      <c r="H45">
        <f t="shared" si="27"/>
        <v>105.84</v>
      </c>
      <c r="I45">
        <f t="shared" si="28"/>
        <v>504</v>
      </c>
      <c r="K45">
        <f t="shared" si="29"/>
        <v>342</v>
      </c>
      <c r="L45">
        <f t="shared" si="30"/>
        <v>71.819999999999993</v>
      </c>
      <c r="M45">
        <f t="shared" si="31"/>
        <v>7.56</v>
      </c>
      <c r="O45">
        <f t="shared" si="32"/>
        <v>7.56</v>
      </c>
      <c r="P45">
        <f t="shared" si="33"/>
        <v>7.38612</v>
      </c>
      <c r="R45">
        <f t="shared" si="22"/>
        <v>5.9205947955390323</v>
      </c>
      <c r="S45">
        <f t="shared" si="34"/>
        <v>2.7213822894168467</v>
      </c>
      <c r="T45">
        <f t="shared" si="35"/>
        <v>50.4</v>
      </c>
      <c r="U45">
        <f t="shared" si="36"/>
        <v>360</v>
      </c>
      <c r="V45">
        <f t="shared" si="37"/>
        <v>126.11999999999995</v>
      </c>
      <c r="W45">
        <f t="shared" si="38"/>
        <v>215.88000000000005</v>
      </c>
      <c r="X45">
        <f>I45*E45/'[1]Inverter Analysis'!$L$2</f>
        <v>253.62477808589858</v>
      </c>
      <c r="Y45">
        <f t="shared" si="39"/>
        <v>233.91812865497076</v>
      </c>
      <c r="Z45">
        <f t="shared" si="40"/>
        <v>634.31652394544903</v>
      </c>
      <c r="AA45">
        <f t="shared" si="41"/>
        <v>158.73015873015873</v>
      </c>
      <c r="AB45">
        <f t="shared" si="42"/>
        <v>10.340586530541103</v>
      </c>
      <c r="AC45">
        <f t="shared" si="43"/>
        <v>0.11314638647859912</v>
      </c>
    </row>
    <row r="46" spans="1:30" s="7" customFormat="1" hidden="1">
      <c r="A46">
        <v>13</v>
      </c>
      <c r="B46">
        <v>3</v>
      </c>
      <c r="C46" s="9">
        <v>9</v>
      </c>
      <c r="D46">
        <f t="shared" si="23"/>
        <v>750</v>
      </c>
      <c r="E46">
        <f t="shared" si="24"/>
        <v>210</v>
      </c>
      <c r="F46">
        <f t="shared" si="25"/>
        <v>22.815000000000001</v>
      </c>
      <c r="G46">
        <f t="shared" si="26"/>
        <v>1.0023000000000002</v>
      </c>
      <c r="H46">
        <f t="shared" si="27"/>
        <v>103.194</v>
      </c>
      <c r="I46">
        <f t="shared" si="28"/>
        <v>491.40000000000003</v>
      </c>
      <c r="J46"/>
      <c r="K46">
        <f t="shared" si="29"/>
        <v>333.45</v>
      </c>
      <c r="L46">
        <f t="shared" si="30"/>
        <v>70.024500000000003</v>
      </c>
      <c r="M46">
        <f t="shared" si="31"/>
        <v>7.3710000000000004</v>
      </c>
      <c r="N46"/>
      <c r="O46">
        <f t="shared" si="32"/>
        <v>7.3710000000000004</v>
      </c>
      <c r="P46">
        <f t="shared" si="33"/>
        <v>7.201467000000001</v>
      </c>
      <c r="Q46"/>
      <c r="R46">
        <f t="shared" si="22"/>
        <v>5.7725799256505574</v>
      </c>
      <c r="S46">
        <f t="shared" si="34"/>
        <v>2.9481641468682507</v>
      </c>
      <c r="T46">
        <f t="shared" si="35"/>
        <v>54.6</v>
      </c>
      <c r="U46">
        <f t="shared" si="36"/>
        <v>351</v>
      </c>
      <c r="V46">
        <f t="shared" si="37"/>
        <v>122.96699999999996</v>
      </c>
      <c r="W46">
        <f t="shared" si="38"/>
        <v>210.48300000000003</v>
      </c>
      <c r="X46">
        <f>I46*E46/'[1]Inverter Analysis'!$L$2</f>
        <v>247.2841586337511</v>
      </c>
      <c r="Y46">
        <f t="shared" si="39"/>
        <v>239.9160293897136</v>
      </c>
      <c r="Z46">
        <f t="shared" si="40"/>
        <v>650.58105020046048</v>
      </c>
      <c r="AA46">
        <f t="shared" si="41"/>
        <v>162.80016280016278</v>
      </c>
      <c r="AB46">
        <f t="shared" si="42"/>
        <v>10.877671564014307</v>
      </c>
      <c r="AC46">
        <f t="shared" si="43"/>
        <v>0.10487078905506286</v>
      </c>
      <c r="AD46"/>
    </row>
    <row r="47" spans="1:30" hidden="1">
      <c r="A47">
        <v>15</v>
      </c>
      <c r="B47">
        <v>3</v>
      </c>
      <c r="C47" s="9">
        <v>7</v>
      </c>
      <c r="D47">
        <f t="shared" si="23"/>
        <v>750</v>
      </c>
      <c r="E47">
        <f t="shared" si="24"/>
        <v>210</v>
      </c>
      <c r="F47">
        <f t="shared" si="25"/>
        <v>20.475000000000001</v>
      </c>
      <c r="G47">
        <f t="shared" si="26"/>
        <v>0.89950000000000019</v>
      </c>
      <c r="H47">
        <f t="shared" si="27"/>
        <v>92.61</v>
      </c>
      <c r="I47">
        <f t="shared" si="28"/>
        <v>441</v>
      </c>
      <c r="K47">
        <f t="shared" si="29"/>
        <v>299.25</v>
      </c>
      <c r="L47">
        <f t="shared" si="30"/>
        <v>62.842500000000001</v>
      </c>
      <c r="M47">
        <f t="shared" si="31"/>
        <v>6.6150000000000002</v>
      </c>
      <c r="O47">
        <f t="shared" si="32"/>
        <v>6.6150000000000002</v>
      </c>
      <c r="P47">
        <f t="shared" si="33"/>
        <v>6.4628549999999994</v>
      </c>
      <c r="R47">
        <f>M47*(($M$3-$L$3)/($M$3-$O$3))</f>
        <v>5.1805204460966543</v>
      </c>
      <c r="S47">
        <f t="shared" si="34"/>
        <v>3.4017278617710582</v>
      </c>
      <c r="T47">
        <f t="shared" si="35"/>
        <v>63</v>
      </c>
      <c r="U47">
        <f t="shared" si="36"/>
        <v>315</v>
      </c>
      <c r="V47">
        <f t="shared" si="37"/>
        <v>110.35499999999996</v>
      </c>
      <c r="W47">
        <f t="shared" si="38"/>
        <v>188.89500000000004</v>
      </c>
      <c r="X47">
        <f>I47*E47/'[1]Inverter Analysis'!$L$2</f>
        <v>221.92168082516125</v>
      </c>
      <c r="Y47">
        <f t="shared" si="39"/>
        <v>267.33500417710945</v>
      </c>
      <c r="Z47">
        <f t="shared" si="40"/>
        <v>724.93317022337033</v>
      </c>
      <c r="AA47">
        <f t="shared" si="41"/>
        <v>181.40589569160997</v>
      </c>
      <c r="AB47">
        <f t="shared" si="42"/>
        <v>13.506072203155723</v>
      </c>
      <c r="AC47">
        <f t="shared" si="43"/>
        <v>7.5799239379217787E-2</v>
      </c>
    </row>
    <row r="48" spans="1:30" hidden="1">
      <c r="A48">
        <v>16</v>
      </c>
      <c r="B48">
        <v>3</v>
      </c>
      <c r="C48" s="9">
        <v>7</v>
      </c>
      <c r="D48">
        <f t="shared" si="23"/>
        <v>750</v>
      </c>
      <c r="E48">
        <f t="shared" si="24"/>
        <v>210</v>
      </c>
      <c r="F48">
        <f t="shared" si="25"/>
        <v>21.84</v>
      </c>
      <c r="G48">
        <f t="shared" si="26"/>
        <v>0.95946666666666691</v>
      </c>
      <c r="H48">
        <f t="shared" si="27"/>
        <v>98.784000000000006</v>
      </c>
      <c r="I48">
        <f t="shared" si="28"/>
        <v>470.40000000000003</v>
      </c>
      <c r="K48">
        <f t="shared" si="29"/>
        <v>319.2</v>
      </c>
      <c r="L48">
        <f t="shared" si="30"/>
        <v>67.031999999999996</v>
      </c>
      <c r="M48">
        <f t="shared" si="31"/>
        <v>7.056</v>
      </c>
      <c r="O48">
        <f t="shared" si="32"/>
        <v>7.056</v>
      </c>
      <c r="P48">
        <f t="shared" si="33"/>
        <v>6.8937119999999998</v>
      </c>
      <c r="R48">
        <f t="shared" ref="R48:R70" si="44">O48*(($M$3-$L$3)/($M$3-$O$3))</f>
        <v>5.5258884758364308</v>
      </c>
      <c r="S48">
        <f t="shared" si="34"/>
        <v>3.6285097192224627</v>
      </c>
      <c r="T48">
        <f t="shared" si="35"/>
        <v>67.2</v>
      </c>
      <c r="U48">
        <f t="shared" si="36"/>
        <v>336</v>
      </c>
      <c r="V48">
        <f t="shared" si="37"/>
        <v>117.71199999999993</v>
      </c>
      <c r="W48">
        <f t="shared" si="38"/>
        <v>201.48800000000006</v>
      </c>
      <c r="X48">
        <f>I48*E48/'[1]Inverter Analysis'!$L$2</f>
        <v>236.71645954683868</v>
      </c>
      <c r="Y48">
        <f t="shared" si="39"/>
        <v>250.62656641604011</v>
      </c>
      <c r="Z48">
        <f t="shared" si="40"/>
        <v>679.62484708440979</v>
      </c>
      <c r="AA48">
        <f t="shared" si="41"/>
        <v>170.06802721088434</v>
      </c>
      <c r="AB48">
        <f t="shared" si="42"/>
        <v>11.87057127230484</v>
      </c>
      <c r="AC48">
        <f t="shared" si="43"/>
        <v>9.199220281400769E-2</v>
      </c>
    </row>
    <row r="49" spans="1:29" s="15" customFormat="1" hidden="1">
      <c r="A49" s="15">
        <v>14</v>
      </c>
      <c r="B49" s="15">
        <v>3</v>
      </c>
      <c r="C49" s="17">
        <v>8</v>
      </c>
      <c r="D49" s="15">
        <f t="shared" si="23"/>
        <v>750</v>
      </c>
      <c r="E49" s="15">
        <f t="shared" si="24"/>
        <v>210</v>
      </c>
      <c r="F49" s="15">
        <f t="shared" si="25"/>
        <v>21.84</v>
      </c>
      <c r="G49" s="15">
        <f t="shared" si="26"/>
        <v>0.95946666666666691</v>
      </c>
      <c r="H49" s="15">
        <f t="shared" si="27"/>
        <v>98.784000000000006</v>
      </c>
      <c r="I49" s="15">
        <f t="shared" si="28"/>
        <v>470.40000000000003</v>
      </c>
      <c r="K49" s="15">
        <f t="shared" si="29"/>
        <v>319.2</v>
      </c>
      <c r="L49" s="15">
        <f t="shared" si="30"/>
        <v>67.031999999999996</v>
      </c>
      <c r="M49" s="15">
        <f t="shared" si="31"/>
        <v>7.056</v>
      </c>
      <c r="O49" s="15">
        <f t="shared" si="32"/>
        <v>7.056</v>
      </c>
      <c r="P49" s="15">
        <f t="shared" si="33"/>
        <v>6.8937119999999998</v>
      </c>
      <c r="R49" s="15">
        <f t="shared" si="44"/>
        <v>5.5258884758364308</v>
      </c>
      <c r="S49" s="15">
        <f t="shared" si="34"/>
        <v>3.1749460043196547</v>
      </c>
      <c r="T49" s="15">
        <f t="shared" si="35"/>
        <v>58.800000000000004</v>
      </c>
      <c r="U49" s="15">
        <f t="shared" si="36"/>
        <v>336</v>
      </c>
      <c r="V49" s="15">
        <f t="shared" si="37"/>
        <v>117.71199999999993</v>
      </c>
      <c r="W49" s="15">
        <f t="shared" si="38"/>
        <v>201.48800000000006</v>
      </c>
      <c r="X49" s="15">
        <f>I49*E49/'[1]Inverter Analysis'!$L$2</f>
        <v>236.71645954683868</v>
      </c>
      <c r="Y49" s="15">
        <f t="shared" si="39"/>
        <v>250.62656641604011</v>
      </c>
      <c r="Z49" s="15">
        <f t="shared" si="40"/>
        <v>679.62484708440979</v>
      </c>
      <c r="AA49" s="15">
        <f t="shared" si="41"/>
        <v>170.06802721088434</v>
      </c>
      <c r="AB49" s="15">
        <f t="shared" si="42"/>
        <v>11.87057127230484</v>
      </c>
      <c r="AC49" s="15">
        <f t="shared" si="43"/>
        <v>9.199220281400769E-2</v>
      </c>
    </row>
    <row r="50" spans="1:29" hidden="1">
      <c r="A50">
        <v>10</v>
      </c>
      <c r="B50">
        <v>3</v>
      </c>
      <c r="C50" s="9">
        <v>11</v>
      </c>
      <c r="D50">
        <f t="shared" si="23"/>
        <v>750</v>
      </c>
      <c r="E50">
        <f t="shared" si="24"/>
        <v>210</v>
      </c>
      <c r="F50">
        <f t="shared" si="25"/>
        <v>21.45</v>
      </c>
      <c r="G50">
        <f t="shared" si="26"/>
        <v>0.94233333333333347</v>
      </c>
      <c r="H50">
        <f t="shared" si="27"/>
        <v>97.02</v>
      </c>
      <c r="I50">
        <f t="shared" si="28"/>
        <v>462</v>
      </c>
      <c r="K50">
        <f t="shared" si="29"/>
        <v>313.5</v>
      </c>
      <c r="L50">
        <f t="shared" si="30"/>
        <v>65.834999999999994</v>
      </c>
      <c r="M50">
        <f t="shared" si="31"/>
        <v>6.93</v>
      </c>
      <c r="O50">
        <f t="shared" si="32"/>
        <v>6.93</v>
      </c>
      <c r="P50">
        <f t="shared" si="33"/>
        <v>6.7706099999999996</v>
      </c>
      <c r="R50">
        <f t="shared" si="44"/>
        <v>5.42721189591078</v>
      </c>
      <c r="S50">
        <f t="shared" si="34"/>
        <v>2.2678185745140387</v>
      </c>
      <c r="T50">
        <f t="shared" si="35"/>
        <v>42</v>
      </c>
      <c r="U50">
        <f t="shared" si="36"/>
        <v>330</v>
      </c>
      <c r="V50">
        <f t="shared" si="37"/>
        <v>115.60999999999999</v>
      </c>
      <c r="W50">
        <f t="shared" si="38"/>
        <v>197.89000000000001</v>
      </c>
      <c r="X50">
        <f>I50*E50/'[1]Inverter Analysis'!$L$2</f>
        <v>232.4893799120737</v>
      </c>
      <c r="Y50">
        <f t="shared" si="39"/>
        <v>255.18341307814993</v>
      </c>
      <c r="Z50">
        <f t="shared" si="40"/>
        <v>691.98166248594418</v>
      </c>
      <c r="AA50">
        <f t="shared" si="41"/>
        <v>173.16017316017317</v>
      </c>
      <c r="AB50">
        <f t="shared" si="42"/>
        <v>12.306152565272049</v>
      </c>
      <c r="AC50">
        <f t="shared" si="43"/>
        <v>8.7151528011004342E-2</v>
      </c>
    </row>
    <row r="51" spans="1:29" hidden="1">
      <c r="A51">
        <v>11</v>
      </c>
      <c r="B51">
        <v>3</v>
      </c>
      <c r="C51" s="9">
        <v>10</v>
      </c>
      <c r="D51">
        <f t="shared" si="23"/>
        <v>750</v>
      </c>
      <c r="E51">
        <f t="shared" si="24"/>
        <v>210</v>
      </c>
      <c r="F51">
        <f t="shared" si="25"/>
        <v>21.45</v>
      </c>
      <c r="G51">
        <f t="shared" si="26"/>
        <v>0.94233333333333347</v>
      </c>
      <c r="H51">
        <f t="shared" si="27"/>
        <v>97.02</v>
      </c>
      <c r="I51">
        <f t="shared" si="28"/>
        <v>462</v>
      </c>
      <c r="K51">
        <f t="shared" si="29"/>
        <v>313.5</v>
      </c>
      <c r="L51">
        <f t="shared" si="30"/>
        <v>65.834999999999994</v>
      </c>
      <c r="M51">
        <f t="shared" si="31"/>
        <v>6.93</v>
      </c>
      <c r="O51">
        <f t="shared" si="32"/>
        <v>6.93</v>
      </c>
      <c r="P51">
        <f t="shared" si="33"/>
        <v>6.7706099999999996</v>
      </c>
      <c r="R51">
        <f t="shared" si="44"/>
        <v>5.42721189591078</v>
      </c>
      <c r="S51">
        <f t="shared" si="34"/>
        <v>2.4946004319654427</v>
      </c>
      <c r="T51">
        <f t="shared" si="35"/>
        <v>46.2</v>
      </c>
      <c r="U51">
        <f t="shared" si="36"/>
        <v>330</v>
      </c>
      <c r="V51">
        <f t="shared" si="37"/>
        <v>115.60999999999999</v>
      </c>
      <c r="W51">
        <f t="shared" si="38"/>
        <v>197.89000000000001</v>
      </c>
      <c r="X51">
        <f>I51*E51/'[1]Inverter Analysis'!$L$2</f>
        <v>232.4893799120737</v>
      </c>
      <c r="Y51">
        <f t="shared" si="39"/>
        <v>255.18341307814993</v>
      </c>
      <c r="Z51">
        <f t="shared" si="40"/>
        <v>691.98166248594418</v>
      </c>
      <c r="AA51">
        <f t="shared" si="41"/>
        <v>173.16017316017317</v>
      </c>
      <c r="AB51">
        <f t="shared" si="42"/>
        <v>12.306152565272049</v>
      </c>
      <c r="AC51">
        <f t="shared" si="43"/>
        <v>8.7151528011004342E-2</v>
      </c>
    </row>
    <row r="52" spans="1:29" s="6" customFormat="1" hidden="1">
      <c r="A52">
        <v>12</v>
      </c>
      <c r="B52">
        <v>3</v>
      </c>
      <c r="C52" s="9">
        <v>9</v>
      </c>
      <c r="D52">
        <f t="shared" si="23"/>
        <v>750</v>
      </c>
      <c r="E52">
        <f t="shared" si="24"/>
        <v>210</v>
      </c>
      <c r="F52">
        <f t="shared" si="25"/>
        <v>21.06</v>
      </c>
      <c r="G52">
        <f t="shared" si="26"/>
        <v>0.92520000000000024</v>
      </c>
      <c r="H52">
        <f t="shared" si="27"/>
        <v>95.256</v>
      </c>
      <c r="I52">
        <f t="shared" si="28"/>
        <v>453.6</v>
      </c>
      <c r="J52"/>
      <c r="K52">
        <f t="shared" si="29"/>
        <v>307.8</v>
      </c>
      <c r="L52">
        <f t="shared" si="30"/>
        <v>64.638000000000005</v>
      </c>
      <c r="M52">
        <f t="shared" si="31"/>
        <v>6.8040000000000003</v>
      </c>
      <c r="N52"/>
      <c r="O52">
        <f t="shared" si="32"/>
        <v>6.8040000000000003</v>
      </c>
      <c r="P52">
        <f t="shared" si="33"/>
        <v>6.6475080000000011</v>
      </c>
      <c r="Q52"/>
      <c r="R52">
        <f t="shared" si="44"/>
        <v>5.3285353159851301</v>
      </c>
      <c r="S52">
        <f t="shared" si="34"/>
        <v>2.7213822894168462</v>
      </c>
      <c r="T52">
        <f t="shared" si="35"/>
        <v>50.400000000000006</v>
      </c>
      <c r="U52">
        <f t="shared" si="36"/>
        <v>324</v>
      </c>
      <c r="V52">
        <f t="shared" si="37"/>
        <v>113.50799999999995</v>
      </c>
      <c r="W52">
        <f t="shared" si="38"/>
        <v>194.29200000000006</v>
      </c>
      <c r="X52">
        <f>I52*E52/'[1]Inverter Analysis'!$L$2</f>
        <v>228.26230027730873</v>
      </c>
      <c r="Y52">
        <f t="shared" si="39"/>
        <v>259.90903183885638</v>
      </c>
      <c r="Z52">
        <f t="shared" si="40"/>
        <v>704.79613771716561</v>
      </c>
      <c r="AA52">
        <f t="shared" si="41"/>
        <v>176.3668430335097</v>
      </c>
      <c r="AB52">
        <f t="shared" si="42"/>
        <v>12.766156210544571</v>
      </c>
      <c r="AC52">
        <f t="shared" si="43"/>
        <v>8.2483715742898769E-2</v>
      </c>
    </row>
    <row r="53" spans="1:29" s="15" customFormat="1" hidden="1">
      <c r="A53" s="15">
        <v>13</v>
      </c>
      <c r="B53" s="15">
        <v>3</v>
      </c>
      <c r="C53" s="17">
        <v>8</v>
      </c>
      <c r="D53" s="15">
        <f t="shared" si="23"/>
        <v>750</v>
      </c>
      <c r="E53" s="15">
        <f t="shared" si="24"/>
        <v>210</v>
      </c>
      <c r="F53" s="15">
        <f t="shared" si="25"/>
        <v>20.28</v>
      </c>
      <c r="G53" s="15">
        <f t="shared" si="26"/>
        <v>0.89093333333333358</v>
      </c>
      <c r="H53" s="15">
        <f t="shared" si="27"/>
        <v>91.727999999999994</v>
      </c>
      <c r="I53" s="15">
        <f t="shared" si="28"/>
        <v>436.8</v>
      </c>
      <c r="K53" s="15">
        <f t="shared" si="29"/>
        <v>296.40000000000003</v>
      </c>
      <c r="L53" s="15">
        <f t="shared" si="30"/>
        <v>62.244000000000007</v>
      </c>
      <c r="M53" s="15">
        <f t="shared" si="31"/>
        <v>6.5519999999999996</v>
      </c>
      <c r="O53" s="15">
        <f t="shared" si="32"/>
        <v>6.5519999999999996</v>
      </c>
      <c r="P53" s="15">
        <f t="shared" si="33"/>
        <v>6.4013039999999997</v>
      </c>
      <c r="R53" s="15">
        <f t="shared" si="44"/>
        <v>5.1311821561338284</v>
      </c>
      <c r="S53" s="15">
        <f t="shared" si="34"/>
        <v>2.9481641468682502</v>
      </c>
      <c r="T53" s="15">
        <f t="shared" si="35"/>
        <v>54.6</v>
      </c>
      <c r="U53" s="15">
        <f t="shared" si="36"/>
        <v>312</v>
      </c>
      <c r="V53" s="15">
        <f t="shared" si="37"/>
        <v>109.30399999999997</v>
      </c>
      <c r="W53" s="15">
        <f t="shared" si="38"/>
        <v>187.09600000000006</v>
      </c>
      <c r="X53" s="15">
        <f>I53*E53/'[1]Inverter Analysis'!$L$2</f>
        <v>219.80814100777877</v>
      </c>
      <c r="Y53" s="15">
        <f t="shared" si="39"/>
        <v>269.90553306342775</v>
      </c>
      <c r="Z53" s="15">
        <f t="shared" si="40"/>
        <v>731.90368147551794</v>
      </c>
      <c r="AA53" s="15">
        <f t="shared" si="41"/>
        <v>183.15018315018315</v>
      </c>
      <c r="AB53" s="15">
        <f t="shared" si="42"/>
        <v>13.7670530732056</v>
      </c>
      <c r="AC53" s="15">
        <f t="shared" si="43"/>
        <v>7.3654106990661466E-2</v>
      </c>
    </row>
    <row r="54" spans="1:29" s="15" customFormat="1">
      <c r="A54" s="15">
        <v>10</v>
      </c>
      <c r="B54" s="15">
        <v>3</v>
      </c>
      <c r="C54" s="17">
        <v>10</v>
      </c>
      <c r="D54" s="15">
        <f t="shared" si="23"/>
        <v>750</v>
      </c>
      <c r="E54" s="15">
        <f t="shared" si="24"/>
        <v>210</v>
      </c>
      <c r="F54" s="15">
        <f t="shared" si="25"/>
        <v>19.5</v>
      </c>
      <c r="G54" s="15">
        <f t="shared" si="26"/>
        <v>0.8566666666666668</v>
      </c>
      <c r="H54" s="15">
        <f t="shared" si="27"/>
        <v>88.2</v>
      </c>
      <c r="I54" s="15">
        <f>A54*C54*4.2</f>
        <v>420</v>
      </c>
      <c r="K54" s="15">
        <f t="shared" si="29"/>
        <v>285</v>
      </c>
      <c r="L54" s="15">
        <f t="shared" si="30"/>
        <v>59.85</v>
      </c>
      <c r="M54" s="15">
        <f t="shared" si="31"/>
        <v>6.3</v>
      </c>
      <c r="O54" s="15">
        <f t="shared" si="32"/>
        <v>6.3</v>
      </c>
      <c r="P54" s="15">
        <f t="shared" si="33"/>
        <v>6.1550999999999991</v>
      </c>
      <c r="R54" s="15">
        <f t="shared" si="44"/>
        <v>4.9338289962825277</v>
      </c>
      <c r="S54" s="15">
        <f t="shared" si="34"/>
        <v>2.2678185745140391</v>
      </c>
      <c r="T54" s="15">
        <f t="shared" si="35"/>
        <v>42</v>
      </c>
      <c r="U54" s="15">
        <f t="shared" si="36"/>
        <v>300</v>
      </c>
      <c r="V54" s="15">
        <f t="shared" si="37"/>
        <v>105.09999999999997</v>
      </c>
      <c r="W54" s="15">
        <f t="shared" si="38"/>
        <v>179.90000000000003</v>
      </c>
      <c r="X54" s="15">
        <f>I54*E54/'[1]Inverter Analysis'!$L$2</f>
        <v>211.35398173824882</v>
      </c>
      <c r="Y54" s="15">
        <f t="shared" si="39"/>
        <v>280.70175438596493</v>
      </c>
      <c r="Z54" s="15">
        <f t="shared" si="40"/>
        <v>761.17982873453877</v>
      </c>
      <c r="AA54" s="15">
        <f t="shared" si="41"/>
        <v>190.47619047619048</v>
      </c>
      <c r="AB54" s="15">
        <f t="shared" si="42"/>
        <v>14.890444603979185</v>
      </c>
      <c r="AC54" s="15">
        <f t="shared" si="43"/>
        <v>6.5478232915855986E-2</v>
      </c>
    </row>
    <row r="55" spans="1:29">
      <c r="A55">
        <v>11</v>
      </c>
      <c r="B55">
        <v>3</v>
      </c>
      <c r="C55" s="9">
        <v>9</v>
      </c>
      <c r="D55">
        <f t="shared" si="23"/>
        <v>750</v>
      </c>
      <c r="E55">
        <f t="shared" si="24"/>
        <v>210</v>
      </c>
      <c r="F55">
        <f t="shared" si="25"/>
        <v>19.305</v>
      </c>
      <c r="G55">
        <f t="shared" si="26"/>
        <v>0.84810000000000019</v>
      </c>
      <c r="H55">
        <f t="shared" si="27"/>
        <v>87.317999999999998</v>
      </c>
      <c r="I55">
        <f t="shared" si="28"/>
        <v>415.8</v>
      </c>
      <c r="K55">
        <f t="shared" si="29"/>
        <v>282.15000000000003</v>
      </c>
      <c r="L55">
        <f t="shared" si="30"/>
        <v>59.251500000000007</v>
      </c>
      <c r="M55">
        <f t="shared" si="31"/>
        <v>6.2370000000000001</v>
      </c>
      <c r="O55">
        <f t="shared" si="32"/>
        <v>6.2370000000000001</v>
      </c>
      <c r="P55">
        <f t="shared" si="33"/>
        <v>6.0935490000000003</v>
      </c>
      <c r="R55">
        <f t="shared" si="44"/>
        <v>4.8844907063197018</v>
      </c>
      <c r="S55">
        <f t="shared" si="34"/>
        <v>2.4946004319654427</v>
      </c>
      <c r="T55">
        <f t="shared" si="35"/>
        <v>46.2</v>
      </c>
      <c r="U55">
        <f t="shared" si="36"/>
        <v>297</v>
      </c>
      <c r="V55">
        <f t="shared" si="37"/>
        <v>104.04900000000001</v>
      </c>
      <c r="W55">
        <f t="shared" si="38"/>
        <v>178.10100000000003</v>
      </c>
      <c r="X55">
        <f>I55*E55/'[1]Inverter Analysis'!$L$2</f>
        <v>209.24044192086632</v>
      </c>
      <c r="Y55">
        <f t="shared" si="39"/>
        <v>283.53712564238879</v>
      </c>
      <c r="Z55">
        <f t="shared" si="40"/>
        <v>768.86851387327124</v>
      </c>
      <c r="AA55">
        <f t="shared" si="41"/>
        <v>192.4001924001924</v>
      </c>
      <c r="AB55">
        <f t="shared" si="42"/>
        <v>15.192780944780305</v>
      </c>
      <c r="AC55">
        <f t="shared" si="43"/>
        <v>6.3533463920022182E-2</v>
      </c>
    </row>
    <row r="56" spans="1:29">
      <c r="A56">
        <v>14</v>
      </c>
      <c r="B56">
        <v>3</v>
      </c>
      <c r="C56" s="9">
        <v>7</v>
      </c>
      <c r="D56">
        <f t="shared" si="23"/>
        <v>750</v>
      </c>
      <c r="E56">
        <f t="shared" si="24"/>
        <v>210</v>
      </c>
      <c r="F56">
        <f t="shared" si="25"/>
        <v>19.11</v>
      </c>
      <c r="G56">
        <f t="shared" si="26"/>
        <v>0.83953333333333358</v>
      </c>
      <c r="H56">
        <f t="shared" si="27"/>
        <v>86.436000000000007</v>
      </c>
      <c r="I56">
        <f t="shared" si="28"/>
        <v>411.6</v>
      </c>
      <c r="K56">
        <f t="shared" si="29"/>
        <v>279.3</v>
      </c>
      <c r="L56">
        <f t="shared" si="30"/>
        <v>58.652999999999999</v>
      </c>
      <c r="M56">
        <f t="shared" si="31"/>
        <v>6.1740000000000004</v>
      </c>
      <c r="O56">
        <f t="shared" si="32"/>
        <v>6.1740000000000004</v>
      </c>
      <c r="P56">
        <f t="shared" si="33"/>
        <v>6.0319979999999997</v>
      </c>
      <c r="R56">
        <f t="shared" si="44"/>
        <v>4.8351524163568769</v>
      </c>
      <c r="S56">
        <f t="shared" si="34"/>
        <v>3.1749460043196542</v>
      </c>
      <c r="T56">
        <f t="shared" si="35"/>
        <v>58.800000000000004</v>
      </c>
      <c r="U56">
        <f t="shared" si="36"/>
        <v>294</v>
      </c>
      <c r="V56">
        <f t="shared" si="37"/>
        <v>102.99799999999996</v>
      </c>
      <c r="W56">
        <f t="shared" si="38"/>
        <v>176.30200000000005</v>
      </c>
      <c r="X56">
        <f>I56*E56/'[1]Inverter Analysis'!$L$2</f>
        <v>207.12690210348384</v>
      </c>
      <c r="Y56">
        <f t="shared" si="39"/>
        <v>286.43036161833152</v>
      </c>
      <c r="Z56">
        <f t="shared" si="40"/>
        <v>776.714110953611</v>
      </c>
      <c r="AA56">
        <f t="shared" si="41"/>
        <v>194.36345966958211</v>
      </c>
      <c r="AB56">
        <f t="shared" si="42"/>
        <v>15.50441962096958</v>
      </c>
      <c r="AC56">
        <f t="shared" si="43"/>
        <v>6.1627588994540329E-2</v>
      </c>
    </row>
    <row r="57" spans="1:29" s="15" customFormat="1" hidden="1">
      <c r="A57" s="15">
        <v>12</v>
      </c>
      <c r="B57" s="15">
        <v>2</v>
      </c>
      <c r="C57" s="15">
        <v>12</v>
      </c>
      <c r="D57" s="15">
        <f t="shared" si="23"/>
        <v>500</v>
      </c>
      <c r="E57" s="15">
        <f t="shared" si="24"/>
        <v>140</v>
      </c>
      <c r="F57" s="15">
        <f t="shared" si="25"/>
        <v>18.72</v>
      </c>
      <c r="G57" s="15">
        <f t="shared" si="26"/>
        <v>1.8504</v>
      </c>
      <c r="H57" s="15">
        <f t="shared" si="27"/>
        <v>84.672000000000011</v>
      </c>
      <c r="I57" s="15">
        <f t="shared" si="28"/>
        <v>604.80000000000007</v>
      </c>
      <c r="K57" s="15">
        <f t="shared" si="29"/>
        <v>410.40000000000003</v>
      </c>
      <c r="L57" s="15">
        <f t="shared" si="30"/>
        <v>57.45600000000001</v>
      </c>
      <c r="M57" s="15">
        <f t="shared" si="31"/>
        <v>6.0480000000000009</v>
      </c>
      <c r="O57" s="15">
        <f t="shared" si="32"/>
        <v>6.0480000000000009</v>
      </c>
      <c r="P57" s="15">
        <f t="shared" si="33"/>
        <v>5.9088960000000004</v>
      </c>
      <c r="R57" s="15">
        <f t="shared" si="44"/>
        <v>4.7364758364312269</v>
      </c>
      <c r="S57" s="15">
        <f t="shared" si="34"/>
        <v>1.8142548596112313</v>
      </c>
      <c r="T57" s="15">
        <f t="shared" si="35"/>
        <v>50.400000000000006</v>
      </c>
      <c r="U57" s="15">
        <f t="shared" si="36"/>
        <v>288</v>
      </c>
      <c r="V57" s="15">
        <f t="shared" si="37"/>
        <v>151.34400000000005</v>
      </c>
      <c r="W57" s="15">
        <f t="shared" si="38"/>
        <v>259.05599999999998</v>
      </c>
      <c r="X57" s="15">
        <f>I57*E57/'[1]Inverter Analysis'!$L$2</f>
        <v>202.8998224687189</v>
      </c>
      <c r="Y57" s="15">
        <f t="shared" si="39"/>
        <v>194.93177387914227</v>
      </c>
      <c r="Z57" s="15">
        <f t="shared" si="40"/>
        <v>528.59710328787378</v>
      </c>
      <c r="AA57" s="15">
        <f t="shared" si="41"/>
        <v>132.27513227513225</v>
      </c>
      <c r="AB57" s="15">
        <f t="shared" si="42"/>
        <v>7.1809628684313092</v>
      </c>
      <c r="AC57" s="15">
        <f t="shared" si="43"/>
        <v>0.13034463722334638</v>
      </c>
    </row>
    <row r="58" spans="1:29" hidden="1">
      <c r="A58">
        <v>16</v>
      </c>
      <c r="B58">
        <v>3</v>
      </c>
      <c r="C58" s="9">
        <v>6</v>
      </c>
      <c r="D58">
        <f t="shared" si="23"/>
        <v>750</v>
      </c>
      <c r="E58">
        <f t="shared" si="24"/>
        <v>210</v>
      </c>
      <c r="F58">
        <f t="shared" si="25"/>
        <v>18.72</v>
      </c>
      <c r="G58">
        <f t="shared" si="26"/>
        <v>0.82240000000000024</v>
      </c>
      <c r="H58">
        <f t="shared" si="27"/>
        <v>84.672000000000011</v>
      </c>
      <c r="I58">
        <f t="shared" si="28"/>
        <v>403.20000000000005</v>
      </c>
      <c r="K58">
        <f t="shared" si="29"/>
        <v>273.60000000000002</v>
      </c>
      <c r="L58">
        <f t="shared" si="30"/>
        <v>57.45600000000001</v>
      </c>
      <c r="M58">
        <f t="shared" si="31"/>
        <v>6.0480000000000009</v>
      </c>
      <c r="O58">
        <f t="shared" si="32"/>
        <v>6.0480000000000009</v>
      </c>
      <c r="P58">
        <f t="shared" si="33"/>
        <v>5.9088960000000004</v>
      </c>
      <c r="R58">
        <f t="shared" si="44"/>
        <v>4.7364758364312269</v>
      </c>
      <c r="S58">
        <f t="shared" si="34"/>
        <v>3.6285097192224627</v>
      </c>
      <c r="T58">
        <f t="shared" si="35"/>
        <v>67.2</v>
      </c>
      <c r="U58">
        <f t="shared" si="36"/>
        <v>288</v>
      </c>
      <c r="V58">
        <f t="shared" si="37"/>
        <v>100.89599999999996</v>
      </c>
      <c r="W58">
        <f t="shared" si="38"/>
        <v>172.70400000000006</v>
      </c>
      <c r="X58">
        <f>I58*E58/'[1]Inverter Analysis'!$L$2</f>
        <v>202.8998224687189</v>
      </c>
      <c r="Y58">
        <f t="shared" si="39"/>
        <v>292.3976608187134</v>
      </c>
      <c r="Z58">
        <f t="shared" si="40"/>
        <v>792.89565493181135</v>
      </c>
      <c r="AA58">
        <f t="shared" si="41"/>
        <v>198.4126984126984</v>
      </c>
      <c r="AB58">
        <f t="shared" si="42"/>
        <v>16.157166453970476</v>
      </c>
      <c r="AC58">
        <f t="shared" si="43"/>
        <v>5.7930949877042739E-2</v>
      </c>
    </row>
    <row r="59" spans="1:29" s="15" customFormat="1">
      <c r="A59" s="15">
        <v>12</v>
      </c>
      <c r="B59" s="15">
        <v>3</v>
      </c>
      <c r="C59" s="17">
        <v>8</v>
      </c>
      <c r="D59" s="15">
        <f t="shared" si="23"/>
        <v>750</v>
      </c>
      <c r="E59" s="15">
        <f t="shared" si="24"/>
        <v>210</v>
      </c>
      <c r="F59" s="15">
        <f t="shared" si="25"/>
        <v>18.72</v>
      </c>
      <c r="G59" s="15">
        <f t="shared" si="26"/>
        <v>0.82240000000000024</v>
      </c>
      <c r="H59" s="15">
        <f>E59*I59/1000</f>
        <v>83.58</v>
      </c>
      <c r="I59">
        <v>398</v>
      </c>
      <c r="K59">
        <f>C59*A59*$L$3</f>
        <v>273.60000000000002</v>
      </c>
      <c r="L59" s="15">
        <f>E59*K59/1000</f>
        <v>57.45600000000001</v>
      </c>
      <c r="M59" s="15">
        <f t="shared" si="31"/>
        <v>5.97</v>
      </c>
      <c r="O59" s="15">
        <f>$R$3/1000*I59*B59/1000</f>
        <v>5.97</v>
      </c>
      <c r="P59" s="15">
        <f t="shared" si="33"/>
        <v>5.8326900000000004</v>
      </c>
      <c r="R59" s="15">
        <f>O59*(($M$3-$L$3)/($M$3-$O$3))</f>
        <v>4.6753903345724899</v>
      </c>
      <c r="S59" s="15">
        <f t="shared" si="34"/>
        <v>2.6862850971922243</v>
      </c>
      <c r="T59" s="15">
        <f t="shared" si="35"/>
        <v>49.75</v>
      </c>
      <c r="U59" s="15">
        <f t="shared" si="36"/>
        <v>288</v>
      </c>
      <c r="V59" s="15">
        <f>K59-(G59*E59)</f>
        <v>100.89599999999996</v>
      </c>
      <c r="W59" s="15">
        <f t="shared" si="38"/>
        <v>172.70400000000006</v>
      </c>
      <c r="X59" s="15">
        <f>I59*E59/'[1]Inverter Analysis'!$L$2</f>
        <v>200.28305888529292</v>
      </c>
      <c r="Y59" s="15">
        <f t="shared" si="39"/>
        <v>292.3976608187134</v>
      </c>
      <c r="Z59" s="15">
        <f t="shared" si="40"/>
        <v>792.89565493181135</v>
      </c>
      <c r="AA59" s="15">
        <f t="shared" si="41"/>
        <v>201.00502512562815</v>
      </c>
      <c r="AB59" s="15">
        <f t="shared" si="42"/>
        <v>16.157166453970476</v>
      </c>
      <c r="AC59" s="15">
        <f t="shared" si="43"/>
        <v>5.7930949877042739E-2</v>
      </c>
    </row>
    <row r="60" spans="1:29" s="6" customFormat="1" hidden="1">
      <c r="A60">
        <v>13</v>
      </c>
      <c r="B60">
        <v>2</v>
      </c>
      <c r="C60" s="9">
        <v>11</v>
      </c>
      <c r="D60">
        <f t="shared" si="23"/>
        <v>500</v>
      </c>
      <c r="E60">
        <f t="shared" si="24"/>
        <v>140</v>
      </c>
      <c r="F60">
        <f t="shared" si="25"/>
        <v>18.59</v>
      </c>
      <c r="G60">
        <f t="shared" si="26"/>
        <v>1.83755</v>
      </c>
      <c r="H60">
        <f t="shared" si="27"/>
        <v>84.084000000000003</v>
      </c>
      <c r="I60">
        <f t="shared" si="28"/>
        <v>600.6</v>
      </c>
      <c r="J60"/>
      <c r="K60">
        <f t="shared" si="29"/>
        <v>407.55</v>
      </c>
      <c r="L60">
        <f t="shared" si="30"/>
        <v>57.057000000000002</v>
      </c>
      <c r="M60">
        <f t="shared" si="31"/>
        <v>6.0060000000000002</v>
      </c>
      <c r="N60"/>
      <c r="O60">
        <f t="shared" si="32"/>
        <v>6.0060000000000002</v>
      </c>
      <c r="P60">
        <f t="shared" si="33"/>
        <v>5.8678619999999997</v>
      </c>
      <c r="Q60"/>
      <c r="R60">
        <f t="shared" si="44"/>
        <v>4.7035836431226761</v>
      </c>
      <c r="S60">
        <f t="shared" si="34"/>
        <v>1.9654427645788337</v>
      </c>
      <c r="T60">
        <f t="shared" si="35"/>
        <v>54.6</v>
      </c>
      <c r="U60">
        <f t="shared" si="36"/>
        <v>286</v>
      </c>
      <c r="V60">
        <f t="shared" si="37"/>
        <v>150.29300000000001</v>
      </c>
      <c r="W60">
        <f t="shared" si="38"/>
        <v>257.25700000000001</v>
      </c>
      <c r="X60">
        <f>I60*E60/'[1]Inverter Analysis'!$L$2</f>
        <v>201.49079592379721</v>
      </c>
      <c r="Y60">
        <f t="shared" si="39"/>
        <v>196.29493313703838</v>
      </c>
      <c r="Z60">
        <f t="shared" si="40"/>
        <v>532.29358652764927</v>
      </c>
      <c r="AA60">
        <f t="shared" si="41"/>
        <v>133.20013320013319</v>
      </c>
      <c r="AB60">
        <f t="shared" si="42"/>
        <v>7.2817470800426287</v>
      </c>
      <c r="AC60">
        <f t="shared" si="43"/>
        <v>0.12764793802678442</v>
      </c>
    </row>
    <row r="61" spans="1:29" s="15" customFormat="1" hidden="1">
      <c r="A61" s="15">
        <v>14</v>
      </c>
      <c r="B61" s="15">
        <v>2</v>
      </c>
      <c r="C61" s="17">
        <v>10</v>
      </c>
      <c r="D61" s="15">
        <f t="shared" si="23"/>
        <v>500</v>
      </c>
      <c r="E61" s="15">
        <f t="shared" si="24"/>
        <v>140</v>
      </c>
      <c r="F61" s="15">
        <f t="shared" si="25"/>
        <v>18.2</v>
      </c>
      <c r="G61" s="15">
        <f t="shared" si="26"/>
        <v>1.7989999999999999</v>
      </c>
      <c r="H61" s="15">
        <f t="shared" si="27"/>
        <v>82.32</v>
      </c>
      <c r="I61" s="15">
        <f t="shared" si="28"/>
        <v>588</v>
      </c>
      <c r="K61" s="15">
        <f t="shared" si="29"/>
        <v>399</v>
      </c>
      <c r="L61" s="15">
        <f t="shared" si="30"/>
        <v>55.86</v>
      </c>
      <c r="M61" s="15">
        <f t="shared" si="31"/>
        <v>5.88</v>
      </c>
      <c r="O61" s="15">
        <f t="shared" si="32"/>
        <v>5.88</v>
      </c>
      <c r="P61" s="15">
        <f t="shared" si="33"/>
        <v>5.7447599999999994</v>
      </c>
      <c r="R61" s="15">
        <f t="shared" si="44"/>
        <v>4.6049070631970253</v>
      </c>
      <c r="S61" s="15">
        <f t="shared" si="34"/>
        <v>2.1166306695464359</v>
      </c>
      <c r="T61" s="15">
        <f t="shared" si="35"/>
        <v>58.8</v>
      </c>
      <c r="U61" s="15">
        <f t="shared" si="36"/>
        <v>280</v>
      </c>
      <c r="V61" s="15">
        <f t="shared" si="37"/>
        <v>147.14000000000001</v>
      </c>
      <c r="W61" s="15">
        <f t="shared" si="38"/>
        <v>251.85999999999999</v>
      </c>
      <c r="X61" s="15">
        <f>I61*E61/'[1]Inverter Analysis'!$L$2</f>
        <v>197.26371628903223</v>
      </c>
      <c r="Y61" s="15">
        <f t="shared" si="39"/>
        <v>200.50125313283209</v>
      </c>
      <c r="Z61" s="15">
        <f t="shared" si="40"/>
        <v>543.69987766752752</v>
      </c>
      <c r="AA61" s="15">
        <f t="shared" si="41"/>
        <v>136.05442176870747</v>
      </c>
      <c r="AB61" s="15">
        <f t="shared" si="42"/>
        <v>7.5971656142750881</v>
      </c>
      <c r="AC61" s="15">
        <f t="shared" si="43"/>
        <v>0.11978151408073931</v>
      </c>
    </row>
    <row r="62" spans="1:29" hidden="1">
      <c r="A62">
        <v>15</v>
      </c>
      <c r="B62">
        <v>2</v>
      </c>
      <c r="C62" s="9">
        <v>9</v>
      </c>
      <c r="D62">
        <f t="shared" si="23"/>
        <v>500</v>
      </c>
      <c r="E62">
        <f t="shared" si="24"/>
        <v>140</v>
      </c>
      <c r="F62">
        <f t="shared" si="25"/>
        <v>17.55</v>
      </c>
      <c r="G62">
        <f t="shared" si="26"/>
        <v>1.73475</v>
      </c>
      <c r="H62">
        <f t="shared" si="27"/>
        <v>79.38</v>
      </c>
      <c r="I62">
        <f t="shared" si="28"/>
        <v>567</v>
      </c>
      <c r="K62">
        <f t="shared" si="29"/>
        <v>384.75</v>
      </c>
      <c r="L62">
        <f t="shared" si="30"/>
        <v>53.865000000000002</v>
      </c>
      <c r="M62">
        <f t="shared" si="31"/>
        <v>5.67</v>
      </c>
      <c r="O62">
        <f t="shared" si="32"/>
        <v>5.67</v>
      </c>
      <c r="P62">
        <f t="shared" si="33"/>
        <v>5.5395900000000005</v>
      </c>
      <c r="R62">
        <f t="shared" si="44"/>
        <v>4.4404460966542745</v>
      </c>
      <c r="S62">
        <f t="shared" si="34"/>
        <v>2.2678185745140387</v>
      </c>
      <c r="T62">
        <f t="shared" si="35"/>
        <v>63</v>
      </c>
      <c r="U62">
        <f t="shared" si="36"/>
        <v>270</v>
      </c>
      <c r="V62">
        <f t="shared" si="37"/>
        <v>141.88499999999999</v>
      </c>
      <c r="W62">
        <f t="shared" si="38"/>
        <v>242.86500000000001</v>
      </c>
      <c r="X62">
        <f>I62*E62/'[1]Inverter Analysis'!$L$2</f>
        <v>190.21858356442394</v>
      </c>
      <c r="Y62">
        <f t="shared" si="39"/>
        <v>207.92722547108511</v>
      </c>
      <c r="Z62">
        <f t="shared" si="40"/>
        <v>563.83691017373224</v>
      </c>
      <c r="AA62">
        <f t="shared" si="41"/>
        <v>141.09347442680777</v>
      </c>
      <c r="AB62">
        <f t="shared" si="42"/>
        <v>8.1703399747485186</v>
      </c>
      <c r="AC62">
        <f t="shared" si="43"/>
        <v>0.10740067154023286</v>
      </c>
    </row>
    <row r="63" spans="1:29" s="6" customFormat="1" hidden="1">
      <c r="A63" s="6">
        <v>11</v>
      </c>
      <c r="B63" s="6">
        <v>2</v>
      </c>
      <c r="C63" s="6">
        <v>12</v>
      </c>
      <c r="D63" s="6">
        <f t="shared" si="23"/>
        <v>500</v>
      </c>
      <c r="E63" s="6">
        <f t="shared" si="24"/>
        <v>140</v>
      </c>
      <c r="F63" s="6">
        <f t="shared" si="25"/>
        <v>17.16</v>
      </c>
      <c r="G63" s="6">
        <f t="shared" si="26"/>
        <v>1.6962000000000002</v>
      </c>
      <c r="H63" s="6">
        <f t="shared" si="27"/>
        <v>77.616</v>
      </c>
      <c r="I63" s="6">
        <f t="shared" si="28"/>
        <v>554.4</v>
      </c>
      <c r="K63" s="6">
        <f t="shared" si="29"/>
        <v>376.2</v>
      </c>
      <c r="L63" s="6">
        <f t="shared" si="30"/>
        <v>52.667999999999999</v>
      </c>
      <c r="M63" s="6">
        <f t="shared" si="31"/>
        <v>5.5439999999999996</v>
      </c>
      <c r="O63" s="6">
        <f t="shared" si="32"/>
        <v>5.5439999999999996</v>
      </c>
      <c r="P63" s="6">
        <f t="shared" si="33"/>
        <v>5.4164879999999993</v>
      </c>
      <c r="R63">
        <f t="shared" si="44"/>
        <v>4.3417695167286237</v>
      </c>
      <c r="S63" s="6">
        <f t="shared" si="34"/>
        <v>1.6630669546436285</v>
      </c>
      <c r="T63" s="6">
        <f t="shared" si="35"/>
        <v>46.199999999999996</v>
      </c>
      <c r="U63" s="6">
        <f t="shared" si="36"/>
        <v>264</v>
      </c>
      <c r="V63" s="6">
        <f t="shared" si="37"/>
        <v>138.73199999999997</v>
      </c>
      <c r="W63" s="6">
        <f t="shared" si="38"/>
        <v>237.46800000000002</v>
      </c>
      <c r="X63" s="6">
        <f>I63*E63/'[1]Inverter Analysis'!$L$2</f>
        <v>185.99150392965896</v>
      </c>
      <c r="Y63" s="6">
        <f t="shared" si="39"/>
        <v>212.65284423179162</v>
      </c>
      <c r="Z63" s="6">
        <f t="shared" si="40"/>
        <v>576.65138540495354</v>
      </c>
      <c r="AA63" s="6">
        <f t="shared" si="41"/>
        <v>144.3001443001443</v>
      </c>
      <c r="AB63" s="6">
        <f t="shared" si="42"/>
        <v>8.5459392814389226</v>
      </c>
      <c r="AC63" s="6">
        <f t="shared" si="43"/>
        <v>0.10039856026867701</v>
      </c>
    </row>
    <row r="64" spans="1:29" hidden="1">
      <c r="A64">
        <v>12</v>
      </c>
      <c r="B64">
        <v>2</v>
      </c>
      <c r="C64" s="9">
        <v>11</v>
      </c>
      <c r="D64">
        <f t="shared" si="23"/>
        <v>500</v>
      </c>
      <c r="E64">
        <f t="shared" si="24"/>
        <v>140</v>
      </c>
      <c r="F64">
        <f t="shared" si="25"/>
        <v>17.16</v>
      </c>
      <c r="G64">
        <f t="shared" si="26"/>
        <v>1.6962000000000002</v>
      </c>
      <c r="H64">
        <f t="shared" si="27"/>
        <v>77.616</v>
      </c>
      <c r="I64">
        <f t="shared" si="28"/>
        <v>554.4</v>
      </c>
      <c r="K64">
        <f t="shared" si="29"/>
        <v>376.2</v>
      </c>
      <c r="L64">
        <f t="shared" si="30"/>
        <v>52.667999999999999</v>
      </c>
      <c r="M64">
        <f t="shared" si="31"/>
        <v>5.5439999999999996</v>
      </c>
      <c r="O64">
        <f t="shared" si="32"/>
        <v>5.5439999999999996</v>
      </c>
      <c r="P64">
        <f t="shared" si="33"/>
        <v>5.4164879999999993</v>
      </c>
      <c r="R64">
        <f t="shared" si="44"/>
        <v>4.3417695167286237</v>
      </c>
      <c r="S64">
        <f t="shared" si="34"/>
        <v>1.8142548596112311</v>
      </c>
      <c r="T64">
        <f t="shared" si="35"/>
        <v>50.4</v>
      </c>
      <c r="U64">
        <f t="shared" si="36"/>
        <v>264</v>
      </c>
      <c r="V64">
        <f t="shared" si="37"/>
        <v>138.73199999999997</v>
      </c>
      <c r="W64">
        <f t="shared" si="38"/>
        <v>237.46800000000002</v>
      </c>
      <c r="X64">
        <f>I64*E64/'[1]Inverter Analysis'!$L$2</f>
        <v>185.99150392965896</v>
      </c>
      <c r="Y64">
        <f t="shared" si="39"/>
        <v>212.65284423179162</v>
      </c>
      <c r="Z64">
        <f t="shared" si="40"/>
        <v>576.65138540495354</v>
      </c>
      <c r="AA64">
        <f t="shared" si="41"/>
        <v>144.3001443001443</v>
      </c>
      <c r="AB64">
        <f t="shared" si="42"/>
        <v>8.5459392814389226</v>
      </c>
      <c r="AC64">
        <f t="shared" si="43"/>
        <v>0.10039856026867701</v>
      </c>
    </row>
    <row r="65" spans="1:29" hidden="1">
      <c r="A65">
        <v>13</v>
      </c>
      <c r="B65">
        <v>2</v>
      </c>
      <c r="C65" s="9">
        <v>10</v>
      </c>
      <c r="D65">
        <f t="shared" si="23"/>
        <v>500</v>
      </c>
      <c r="E65">
        <f t="shared" si="24"/>
        <v>140</v>
      </c>
      <c r="F65">
        <f t="shared" si="25"/>
        <v>16.899999999999999</v>
      </c>
      <c r="G65">
        <f t="shared" si="26"/>
        <v>1.6705000000000001</v>
      </c>
      <c r="H65">
        <f t="shared" si="27"/>
        <v>76.44</v>
      </c>
      <c r="I65">
        <f t="shared" si="28"/>
        <v>546</v>
      </c>
      <c r="K65">
        <f t="shared" si="29"/>
        <v>370.5</v>
      </c>
      <c r="L65">
        <f t="shared" si="30"/>
        <v>51.87</v>
      </c>
      <c r="M65">
        <f t="shared" si="31"/>
        <v>5.46</v>
      </c>
      <c r="O65">
        <f t="shared" si="32"/>
        <v>5.46</v>
      </c>
      <c r="P65">
        <f t="shared" si="33"/>
        <v>5.3344199999999997</v>
      </c>
      <c r="R65">
        <f t="shared" si="44"/>
        <v>4.2759851301115237</v>
      </c>
      <c r="S65">
        <f t="shared" si="34"/>
        <v>1.9654427645788335</v>
      </c>
      <c r="T65">
        <f t="shared" si="35"/>
        <v>54.6</v>
      </c>
      <c r="U65">
        <f t="shared" si="36"/>
        <v>260</v>
      </c>
      <c r="V65">
        <f t="shared" si="37"/>
        <v>136.63</v>
      </c>
      <c r="W65">
        <f t="shared" si="38"/>
        <v>233.87</v>
      </c>
      <c r="X65">
        <f>I65*E65/'[1]Inverter Analysis'!$L$2</f>
        <v>183.17345083981564</v>
      </c>
      <c r="Y65">
        <f t="shared" si="39"/>
        <v>215.92442645074223</v>
      </c>
      <c r="Z65">
        <f t="shared" si="40"/>
        <v>585.52294518041424</v>
      </c>
      <c r="AA65">
        <f t="shared" si="41"/>
        <v>146.52014652014651</v>
      </c>
      <c r="AB65">
        <f t="shared" si="42"/>
        <v>8.8109139668515812</v>
      </c>
      <c r="AC65">
        <f t="shared" si="43"/>
        <v>9.5903785144090467E-2</v>
      </c>
    </row>
    <row r="66" spans="1:29" s="7" customFormat="1" hidden="1">
      <c r="A66" s="7">
        <v>16</v>
      </c>
      <c r="B66" s="7">
        <v>2</v>
      </c>
      <c r="C66" s="11">
        <v>8</v>
      </c>
      <c r="D66" s="7">
        <f t="shared" si="23"/>
        <v>500</v>
      </c>
      <c r="E66" s="7">
        <f t="shared" si="24"/>
        <v>140</v>
      </c>
      <c r="F66" s="7">
        <f t="shared" si="25"/>
        <v>16.64</v>
      </c>
      <c r="G66" s="7">
        <f t="shared" si="26"/>
        <v>1.6448</v>
      </c>
      <c r="H66" s="7">
        <f t="shared" si="27"/>
        <v>75.263999999999996</v>
      </c>
      <c r="I66" s="7">
        <f t="shared" si="28"/>
        <v>537.6</v>
      </c>
      <c r="K66" s="7">
        <f t="shared" si="29"/>
        <v>364.8</v>
      </c>
      <c r="L66" s="7">
        <f t="shared" si="30"/>
        <v>51.072000000000003</v>
      </c>
      <c r="M66" s="7">
        <f t="shared" si="31"/>
        <v>5.3760000000000003</v>
      </c>
      <c r="O66" s="7">
        <f t="shared" si="32"/>
        <v>5.3760000000000003</v>
      </c>
      <c r="P66" s="7">
        <f t="shared" si="33"/>
        <v>5.2523520000000001</v>
      </c>
      <c r="R66">
        <f t="shared" si="44"/>
        <v>4.2102007434944237</v>
      </c>
      <c r="S66" s="7">
        <f t="shared" si="34"/>
        <v>2.4190064794816415</v>
      </c>
      <c r="T66" s="7">
        <f t="shared" si="35"/>
        <v>67.2</v>
      </c>
      <c r="U66" s="7">
        <f t="shared" si="36"/>
        <v>256</v>
      </c>
      <c r="V66" s="7">
        <f t="shared" si="37"/>
        <v>134.52800000000002</v>
      </c>
      <c r="W66" s="7">
        <f t="shared" si="38"/>
        <v>230.27199999999999</v>
      </c>
      <c r="X66" s="7">
        <f>I66*E66/'[1]Inverter Analysis'!$L$2</f>
        <v>180.35539774997233</v>
      </c>
      <c r="Y66" s="7">
        <f t="shared" si="39"/>
        <v>219.29824561403507</v>
      </c>
      <c r="Z66" s="7">
        <f t="shared" si="40"/>
        <v>594.67174119885817</v>
      </c>
      <c r="AA66" s="7">
        <f t="shared" si="41"/>
        <v>148.8095238095238</v>
      </c>
      <c r="AB66" s="7">
        <f t="shared" si="42"/>
        <v>9.0884061303583827</v>
      </c>
      <c r="AC66" s="7">
        <f t="shared" si="43"/>
        <v>9.1545204743968878E-2</v>
      </c>
    </row>
    <row r="67" spans="1:29" hidden="1">
      <c r="A67">
        <v>14</v>
      </c>
      <c r="B67">
        <v>2</v>
      </c>
      <c r="C67" s="9">
        <v>9</v>
      </c>
      <c r="D67">
        <f t="shared" si="23"/>
        <v>500</v>
      </c>
      <c r="E67">
        <f t="shared" si="24"/>
        <v>140</v>
      </c>
      <c r="F67">
        <f t="shared" si="25"/>
        <v>16.38</v>
      </c>
      <c r="G67">
        <f t="shared" si="26"/>
        <v>1.6191</v>
      </c>
      <c r="H67">
        <f t="shared" si="27"/>
        <v>74.087999999999994</v>
      </c>
      <c r="I67">
        <f t="shared" si="28"/>
        <v>529.20000000000005</v>
      </c>
      <c r="K67">
        <f t="shared" si="29"/>
        <v>359.1</v>
      </c>
      <c r="L67">
        <f t="shared" si="30"/>
        <v>50.274000000000001</v>
      </c>
      <c r="M67">
        <f t="shared" si="31"/>
        <v>5.2919999999999998</v>
      </c>
      <c r="O67">
        <f t="shared" si="32"/>
        <v>5.2919999999999998</v>
      </c>
      <c r="P67">
        <f t="shared" si="33"/>
        <v>5.1702840000000005</v>
      </c>
      <c r="R67">
        <f t="shared" si="44"/>
        <v>4.1444163568773229</v>
      </c>
      <c r="S67">
        <f t="shared" si="34"/>
        <v>2.1166306695464363</v>
      </c>
      <c r="T67">
        <f t="shared" si="35"/>
        <v>58.800000000000004</v>
      </c>
      <c r="U67">
        <f t="shared" si="36"/>
        <v>252</v>
      </c>
      <c r="V67">
        <f t="shared" si="37"/>
        <v>132.42600000000002</v>
      </c>
      <c r="W67">
        <f t="shared" si="38"/>
        <v>226.67400000000001</v>
      </c>
      <c r="X67">
        <f>I67*E67/'[1]Inverter Analysis'!$L$2</f>
        <v>177.53734466012901</v>
      </c>
      <c r="Y67">
        <f t="shared" si="39"/>
        <v>222.77917014759117</v>
      </c>
      <c r="Z67">
        <f t="shared" si="40"/>
        <v>604.11097518614167</v>
      </c>
      <c r="AA67">
        <f t="shared" si="41"/>
        <v>151.17157974300829</v>
      </c>
      <c r="AB67">
        <f t="shared" si="42"/>
        <v>9.3792168077470226</v>
      </c>
      <c r="AC67">
        <f t="shared" si="43"/>
        <v>8.7320723764858943E-2</v>
      </c>
    </row>
    <row r="68" spans="1:29" hidden="1">
      <c r="A68">
        <v>11</v>
      </c>
      <c r="B68">
        <v>2</v>
      </c>
      <c r="C68" s="9">
        <v>11</v>
      </c>
      <c r="D68">
        <f t="shared" si="23"/>
        <v>500</v>
      </c>
      <c r="E68">
        <f t="shared" si="24"/>
        <v>140</v>
      </c>
      <c r="F68">
        <f t="shared" si="25"/>
        <v>15.73</v>
      </c>
      <c r="G68">
        <f t="shared" si="26"/>
        <v>1.5548500000000001</v>
      </c>
      <c r="H68">
        <f t="shared" si="27"/>
        <v>71.147999999999996</v>
      </c>
      <c r="I68">
        <f t="shared" si="28"/>
        <v>508.20000000000005</v>
      </c>
      <c r="K68">
        <f t="shared" si="29"/>
        <v>344.85</v>
      </c>
      <c r="L68">
        <f t="shared" si="30"/>
        <v>48.279000000000003</v>
      </c>
      <c r="M68">
        <f t="shared" si="31"/>
        <v>5.0819999999999999</v>
      </c>
      <c r="O68">
        <f t="shared" si="32"/>
        <v>5.0819999999999999</v>
      </c>
      <c r="P68">
        <f t="shared" si="33"/>
        <v>4.9651140000000007</v>
      </c>
      <c r="R68">
        <f t="shared" si="44"/>
        <v>3.9799553903345721</v>
      </c>
      <c r="S68">
        <f t="shared" si="34"/>
        <v>1.6630669546436285</v>
      </c>
      <c r="T68">
        <f t="shared" si="35"/>
        <v>46.2</v>
      </c>
      <c r="U68">
        <f t="shared" si="36"/>
        <v>242</v>
      </c>
      <c r="V68">
        <f t="shared" si="37"/>
        <v>127.17100000000002</v>
      </c>
      <c r="W68">
        <f t="shared" si="38"/>
        <v>217.679</v>
      </c>
      <c r="X68">
        <f>I68*E68/'[1]Inverter Analysis'!$L$2</f>
        <v>170.49221193552071</v>
      </c>
      <c r="Y68">
        <f t="shared" si="39"/>
        <v>231.98492098013628</v>
      </c>
      <c r="Z68">
        <f t="shared" si="40"/>
        <v>629.07423862358542</v>
      </c>
      <c r="AA68">
        <f t="shared" si="41"/>
        <v>157.41833923652104</v>
      </c>
      <c r="AB68">
        <f t="shared" si="42"/>
        <v>10.170374020885983</v>
      </c>
      <c r="AC68">
        <f t="shared" si="43"/>
        <v>7.7332455855097917E-2</v>
      </c>
    </row>
    <row r="69" spans="1:29" hidden="1">
      <c r="A69">
        <v>15</v>
      </c>
      <c r="B69">
        <v>2</v>
      </c>
      <c r="C69" s="9">
        <v>8</v>
      </c>
      <c r="D69">
        <f t="shared" si="23"/>
        <v>500</v>
      </c>
      <c r="E69">
        <f t="shared" si="24"/>
        <v>140</v>
      </c>
      <c r="F69">
        <f t="shared" si="25"/>
        <v>15.6</v>
      </c>
      <c r="G69">
        <f t="shared" si="26"/>
        <v>1.542</v>
      </c>
      <c r="H69">
        <f t="shared" si="27"/>
        <v>70.56</v>
      </c>
      <c r="I69">
        <f t="shared" si="28"/>
        <v>504</v>
      </c>
      <c r="K69">
        <f t="shared" si="29"/>
        <v>342</v>
      </c>
      <c r="L69">
        <f t="shared" si="30"/>
        <v>47.88</v>
      </c>
      <c r="M69">
        <f t="shared" si="31"/>
        <v>5.04</v>
      </c>
      <c r="O69">
        <f t="shared" si="32"/>
        <v>5.04</v>
      </c>
      <c r="P69">
        <f t="shared" si="33"/>
        <v>4.92408</v>
      </c>
      <c r="R69">
        <f t="shared" si="44"/>
        <v>3.9470631970260222</v>
      </c>
      <c r="S69">
        <f t="shared" si="34"/>
        <v>2.2678185745140387</v>
      </c>
      <c r="T69">
        <f t="shared" si="35"/>
        <v>63</v>
      </c>
      <c r="U69">
        <f t="shared" si="36"/>
        <v>240</v>
      </c>
      <c r="V69">
        <f t="shared" si="37"/>
        <v>126.12</v>
      </c>
      <c r="W69">
        <f t="shared" si="38"/>
        <v>215.88</v>
      </c>
      <c r="X69">
        <f>I69*E69/'[1]Inverter Analysis'!$L$2</f>
        <v>169.08318539059906</v>
      </c>
      <c r="Y69">
        <f t="shared" si="39"/>
        <v>233.91812865497076</v>
      </c>
      <c r="Z69">
        <f t="shared" si="40"/>
        <v>634.31652394544881</v>
      </c>
      <c r="AA69">
        <f t="shared" si="41"/>
        <v>158.73015873015873</v>
      </c>
      <c r="AB69">
        <f t="shared" si="42"/>
        <v>10.340586530541096</v>
      </c>
      <c r="AC69">
        <f t="shared" si="43"/>
        <v>7.5430924319066131E-2</v>
      </c>
    </row>
    <row r="70" spans="1:29" hidden="1">
      <c r="A70">
        <v>10</v>
      </c>
      <c r="B70">
        <v>2</v>
      </c>
      <c r="C70">
        <v>12</v>
      </c>
      <c r="D70">
        <f t="shared" ref="D70:D101" si="45">B70*$K$3</f>
        <v>500</v>
      </c>
      <c r="E70">
        <f t="shared" ref="E70:E101" si="46">B70*$I$3</f>
        <v>140</v>
      </c>
      <c r="F70">
        <f t="shared" ref="F70:F101" si="47">A70*B70*C70*$T$3/1000</f>
        <v>15.6</v>
      </c>
      <c r="G70">
        <f t="shared" ref="G70:G101" si="48">((B70*$U$3^(-1))^(-1))*A70*C70</f>
        <v>1.542</v>
      </c>
      <c r="H70">
        <f t="shared" ref="H70:H101" si="49">E70*I70/1000</f>
        <v>70.56</v>
      </c>
      <c r="I70">
        <f t="shared" ref="I70:I101" si="50">A70*C70*4.2</f>
        <v>504</v>
      </c>
      <c r="K70">
        <f t="shared" ref="K70:K101" si="51">C70*A70*$L$3</f>
        <v>342</v>
      </c>
      <c r="L70">
        <f t="shared" ref="L70:L101" si="52">E70*K70/1000</f>
        <v>47.88</v>
      </c>
      <c r="M70">
        <f t="shared" ref="M70:M101" si="53">$P$3/1000*I70*B70/1000</f>
        <v>5.04</v>
      </c>
      <c r="O70">
        <f t="shared" ref="O70:O101" si="54">$R$3/1000*I70*B70/1000</f>
        <v>5.04</v>
      </c>
      <c r="P70">
        <f t="shared" ref="P70:P101" si="55">$S$3/1000*I70*B70/1000</f>
        <v>4.92408</v>
      </c>
      <c r="R70">
        <f t="shared" si="44"/>
        <v>3.9470631970260222</v>
      </c>
      <c r="S70">
        <f t="shared" ref="S70:S101" si="56">$H$3/1000*B70*I70/277.8/C70</f>
        <v>1.5118790496760257</v>
      </c>
      <c r="T70">
        <f t="shared" ref="T70:T101" si="57">I70/C70</f>
        <v>42</v>
      </c>
      <c r="U70">
        <f t="shared" ref="U70:U101" si="58">(A70*B70*C70)</f>
        <v>240</v>
      </c>
      <c r="V70">
        <f t="shared" ref="V70:V101" si="59">K70-(G70*E70)</f>
        <v>126.12</v>
      </c>
      <c r="W70">
        <f t="shared" ref="W70:W101" si="60">G70*E70</f>
        <v>215.88</v>
      </c>
      <c r="X70">
        <f>I70*E70/'[1]Inverter Analysis'!$L$2</f>
        <v>169.08318539059906</v>
      </c>
      <c r="Y70">
        <f t="shared" ref="Y70:Y101" si="61">80000/K70</f>
        <v>233.91812865497076</v>
      </c>
      <c r="Z70">
        <f t="shared" ref="Z70:Z101" si="62">80000/V70</f>
        <v>634.31652394544881</v>
      </c>
      <c r="AA70">
        <f t="shared" ref="AA70:AA101" si="63">80000/I70</f>
        <v>158.73015873015873</v>
      </c>
      <c r="AB70">
        <f t="shared" ref="AB70:AB101" si="64">(MAX(Y70:AA70)^2)*$U$3/1000</f>
        <v>10.340586530541096</v>
      </c>
      <c r="AC70">
        <f t="shared" ref="AC70:AC101" si="65">($V$3*F70/(AB70*1000))*10</f>
        <v>7.5430924319066131E-2</v>
      </c>
    </row>
    <row r="71" spans="1:29" hidden="1">
      <c r="A71">
        <v>15</v>
      </c>
      <c r="B71">
        <v>2</v>
      </c>
      <c r="C71" s="9">
        <v>7</v>
      </c>
      <c r="D71">
        <f t="shared" si="45"/>
        <v>500</v>
      </c>
      <c r="E71">
        <f t="shared" si="46"/>
        <v>140</v>
      </c>
      <c r="F71">
        <f t="shared" si="47"/>
        <v>13.65</v>
      </c>
      <c r="G71">
        <f t="shared" si="48"/>
        <v>1.3492500000000001</v>
      </c>
      <c r="H71">
        <f t="shared" si="49"/>
        <v>61.74</v>
      </c>
      <c r="I71">
        <f t="shared" si="50"/>
        <v>441</v>
      </c>
      <c r="K71">
        <f t="shared" si="51"/>
        <v>299.25</v>
      </c>
      <c r="L71">
        <f t="shared" si="52"/>
        <v>41.895000000000003</v>
      </c>
      <c r="M71">
        <f t="shared" si="53"/>
        <v>4.41</v>
      </c>
      <c r="O71">
        <f t="shared" si="54"/>
        <v>4.41</v>
      </c>
      <c r="P71">
        <f t="shared" si="55"/>
        <v>4.3085699999999996</v>
      </c>
      <c r="R71">
        <f>M71*(($M$3-$L$3)/($M$3-$O$3))</f>
        <v>3.4536802973977694</v>
      </c>
      <c r="S71">
        <f t="shared" si="56"/>
        <v>2.2678185745140387</v>
      </c>
      <c r="T71">
        <f t="shared" si="57"/>
        <v>63</v>
      </c>
      <c r="U71">
        <f t="shared" si="58"/>
        <v>210</v>
      </c>
      <c r="V71">
        <f t="shared" si="59"/>
        <v>110.35499999999999</v>
      </c>
      <c r="W71">
        <f t="shared" si="60"/>
        <v>188.89500000000001</v>
      </c>
      <c r="X71">
        <f>I71*E71/'[1]Inverter Analysis'!$L$2</f>
        <v>147.94778721677417</v>
      </c>
      <c r="Y71">
        <f t="shared" si="61"/>
        <v>267.33500417710945</v>
      </c>
      <c r="Z71">
        <f t="shared" si="62"/>
        <v>724.9331702233701</v>
      </c>
      <c r="AA71">
        <f t="shared" si="63"/>
        <v>181.40589569160997</v>
      </c>
      <c r="AB71">
        <f t="shared" si="64"/>
        <v>13.506072203155718</v>
      </c>
      <c r="AC71">
        <f t="shared" si="65"/>
        <v>5.0532826252811879E-2</v>
      </c>
    </row>
    <row r="72" spans="1:29" hidden="1">
      <c r="A72">
        <v>12</v>
      </c>
      <c r="B72">
        <v>2</v>
      </c>
      <c r="C72" s="9">
        <v>10</v>
      </c>
      <c r="D72">
        <f t="shared" si="45"/>
        <v>500</v>
      </c>
      <c r="E72">
        <f t="shared" si="46"/>
        <v>140</v>
      </c>
      <c r="F72">
        <f t="shared" si="47"/>
        <v>15.6</v>
      </c>
      <c r="G72">
        <f t="shared" si="48"/>
        <v>1.542</v>
      </c>
      <c r="H72">
        <f t="shared" si="49"/>
        <v>70.56</v>
      </c>
      <c r="I72">
        <f t="shared" si="50"/>
        <v>504</v>
      </c>
      <c r="K72">
        <f t="shared" si="51"/>
        <v>342</v>
      </c>
      <c r="L72">
        <f t="shared" si="52"/>
        <v>47.88</v>
      </c>
      <c r="M72">
        <f t="shared" si="53"/>
        <v>5.04</v>
      </c>
      <c r="O72">
        <f t="shared" si="54"/>
        <v>5.04</v>
      </c>
      <c r="P72">
        <f t="shared" si="55"/>
        <v>4.92408</v>
      </c>
      <c r="R72">
        <f t="shared" ref="R72:R99" si="66">O72*(($M$3-$L$3)/($M$3-$O$3))</f>
        <v>3.9470631970260222</v>
      </c>
      <c r="S72">
        <f t="shared" si="56"/>
        <v>1.8142548596112309</v>
      </c>
      <c r="T72">
        <f t="shared" si="57"/>
        <v>50.4</v>
      </c>
      <c r="U72">
        <f t="shared" si="58"/>
        <v>240</v>
      </c>
      <c r="V72">
        <f t="shared" si="59"/>
        <v>126.12</v>
      </c>
      <c r="W72">
        <f t="shared" si="60"/>
        <v>215.88</v>
      </c>
      <c r="X72">
        <f>I72*E72/'[1]Inverter Analysis'!$L$2</f>
        <v>169.08318539059906</v>
      </c>
      <c r="Y72">
        <f t="shared" si="61"/>
        <v>233.91812865497076</v>
      </c>
      <c r="Z72">
        <f t="shared" si="62"/>
        <v>634.31652394544881</v>
      </c>
      <c r="AA72">
        <f t="shared" si="63"/>
        <v>158.73015873015873</v>
      </c>
      <c r="AB72">
        <f t="shared" si="64"/>
        <v>10.340586530541096</v>
      </c>
      <c r="AC72">
        <f t="shared" si="65"/>
        <v>7.5430924319066131E-2</v>
      </c>
    </row>
    <row r="73" spans="1:29" hidden="1">
      <c r="A73">
        <v>13</v>
      </c>
      <c r="B73">
        <v>2</v>
      </c>
      <c r="C73" s="9">
        <v>9</v>
      </c>
      <c r="D73">
        <f t="shared" si="45"/>
        <v>500</v>
      </c>
      <c r="E73">
        <f t="shared" si="46"/>
        <v>140</v>
      </c>
      <c r="F73">
        <f t="shared" si="47"/>
        <v>15.21</v>
      </c>
      <c r="G73">
        <f t="shared" si="48"/>
        <v>1.50345</v>
      </c>
      <c r="H73">
        <f t="shared" si="49"/>
        <v>68.796000000000006</v>
      </c>
      <c r="I73">
        <f t="shared" si="50"/>
        <v>491.40000000000003</v>
      </c>
      <c r="K73">
        <f t="shared" si="51"/>
        <v>333.45</v>
      </c>
      <c r="L73">
        <f t="shared" si="52"/>
        <v>46.683</v>
      </c>
      <c r="M73">
        <f t="shared" si="53"/>
        <v>4.9139999999999997</v>
      </c>
      <c r="O73">
        <f t="shared" si="54"/>
        <v>4.9139999999999997</v>
      </c>
      <c r="P73">
        <f t="shared" si="55"/>
        <v>4.8009779999999997</v>
      </c>
      <c r="R73">
        <f t="shared" si="66"/>
        <v>3.8483866171003713</v>
      </c>
      <c r="S73">
        <f t="shared" si="56"/>
        <v>1.9654427645788337</v>
      </c>
      <c r="T73">
        <f t="shared" si="57"/>
        <v>54.6</v>
      </c>
      <c r="U73">
        <f t="shared" si="58"/>
        <v>234</v>
      </c>
      <c r="V73">
        <f t="shared" si="59"/>
        <v>122.96699999999998</v>
      </c>
      <c r="W73">
        <f t="shared" si="60"/>
        <v>210.483</v>
      </c>
      <c r="X73">
        <f>I73*E73/'[1]Inverter Analysis'!$L$2</f>
        <v>164.85610575583408</v>
      </c>
      <c r="Y73">
        <f t="shared" si="61"/>
        <v>239.9160293897136</v>
      </c>
      <c r="Z73">
        <f t="shared" si="62"/>
        <v>650.58105020046037</v>
      </c>
      <c r="AA73">
        <f t="shared" si="63"/>
        <v>162.80016280016278</v>
      </c>
      <c r="AB73">
        <f t="shared" si="64"/>
        <v>10.877671564014303</v>
      </c>
      <c r="AC73">
        <f t="shared" si="65"/>
        <v>6.9913859370041936E-2</v>
      </c>
    </row>
    <row r="74" spans="1:29" hidden="1">
      <c r="A74">
        <v>16</v>
      </c>
      <c r="B74">
        <v>2</v>
      </c>
      <c r="C74" s="9">
        <v>7</v>
      </c>
      <c r="D74">
        <f t="shared" si="45"/>
        <v>500</v>
      </c>
      <c r="E74">
        <f t="shared" si="46"/>
        <v>140</v>
      </c>
      <c r="F74">
        <f t="shared" si="47"/>
        <v>14.56</v>
      </c>
      <c r="G74">
        <f t="shared" si="48"/>
        <v>1.4392</v>
      </c>
      <c r="H74">
        <f t="shared" si="49"/>
        <v>65.855999999999995</v>
      </c>
      <c r="I74">
        <f t="shared" si="50"/>
        <v>470.40000000000003</v>
      </c>
      <c r="K74">
        <f t="shared" si="51"/>
        <v>319.2</v>
      </c>
      <c r="L74">
        <f t="shared" si="52"/>
        <v>44.688000000000002</v>
      </c>
      <c r="M74">
        <f t="shared" si="53"/>
        <v>4.7039999999999997</v>
      </c>
      <c r="O74">
        <f t="shared" si="54"/>
        <v>4.7039999999999997</v>
      </c>
      <c r="P74">
        <f t="shared" si="55"/>
        <v>4.5958079999999999</v>
      </c>
      <c r="R74">
        <f t="shared" si="66"/>
        <v>3.6839256505576201</v>
      </c>
      <c r="S74">
        <f t="shared" si="56"/>
        <v>2.4190064794816415</v>
      </c>
      <c r="T74">
        <f t="shared" si="57"/>
        <v>67.2</v>
      </c>
      <c r="U74">
        <f t="shared" si="58"/>
        <v>224</v>
      </c>
      <c r="V74">
        <f t="shared" si="59"/>
        <v>117.71199999999999</v>
      </c>
      <c r="W74">
        <f t="shared" si="60"/>
        <v>201.488</v>
      </c>
      <c r="X74">
        <f>I74*E74/'[1]Inverter Analysis'!$L$2</f>
        <v>157.81097303122579</v>
      </c>
      <c r="Y74">
        <f t="shared" si="61"/>
        <v>250.62656641604011</v>
      </c>
      <c r="Z74">
        <f t="shared" si="62"/>
        <v>679.62484708440945</v>
      </c>
      <c r="AA74">
        <f t="shared" si="63"/>
        <v>170.06802721088434</v>
      </c>
      <c r="AB74">
        <f t="shared" si="64"/>
        <v>11.870571272304828</v>
      </c>
      <c r="AC74">
        <f t="shared" si="65"/>
        <v>6.1328135209338518E-2</v>
      </c>
    </row>
    <row r="75" spans="1:29" hidden="1">
      <c r="A75">
        <v>14</v>
      </c>
      <c r="B75">
        <v>2</v>
      </c>
      <c r="C75" s="9">
        <v>8</v>
      </c>
      <c r="D75">
        <f t="shared" si="45"/>
        <v>500</v>
      </c>
      <c r="E75">
        <f t="shared" si="46"/>
        <v>140</v>
      </c>
      <c r="F75">
        <f t="shared" si="47"/>
        <v>14.56</v>
      </c>
      <c r="G75">
        <f t="shared" si="48"/>
        <v>1.4392</v>
      </c>
      <c r="H75">
        <f t="shared" si="49"/>
        <v>65.855999999999995</v>
      </c>
      <c r="I75">
        <f t="shared" si="50"/>
        <v>470.40000000000003</v>
      </c>
      <c r="K75">
        <f t="shared" si="51"/>
        <v>319.2</v>
      </c>
      <c r="L75">
        <f t="shared" si="52"/>
        <v>44.688000000000002</v>
      </c>
      <c r="M75">
        <f t="shared" si="53"/>
        <v>4.7039999999999997</v>
      </c>
      <c r="O75">
        <f t="shared" si="54"/>
        <v>4.7039999999999997</v>
      </c>
      <c r="P75">
        <f t="shared" si="55"/>
        <v>4.5958079999999999</v>
      </c>
      <c r="R75">
        <f t="shared" si="66"/>
        <v>3.6839256505576201</v>
      </c>
      <c r="S75">
        <f t="shared" si="56"/>
        <v>2.1166306695464363</v>
      </c>
      <c r="T75">
        <f t="shared" si="57"/>
        <v>58.800000000000004</v>
      </c>
      <c r="U75">
        <f t="shared" si="58"/>
        <v>224</v>
      </c>
      <c r="V75">
        <f t="shared" si="59"/>
        <v>117.71199999999999</v>
      </c>
      <c r="W75">
        <f t="shared" si="60"/>
        <v>201.488</v>
      </c>
      <c r="X75">
        <f>I75*E75/'[1]Inverter Analysis'!$L$2</f>
        <v>157.81097303122579</v>
      </c>
      <c r="Y75">
        <f t="shared" si="61"/>
        <v>250.62656641604011</v>
      </c>
      <c r="Z75">
        <f t="shared" si="62"/>
        <v>679.62484708440945</v>
      </c>
      <c r="AA75">
        <f t="shared" si="63"/>
        <v>170.06802721088434</v>
      </c>
      <c r="AB75">
        <f t="shared" si="64"/>
        <v>11.870571272304828</v>
      </c>
      <c r="AC75">
        <f t="shared" si="65"/>
        <v>6.1328135209338518E-2</v>
      </c>
    </row>
    <row r="76" spans="1:29" hidden="1">
      <c r="A76">
        <v>10</v>
      </c>
      <c r="B76">
        <v>2</v>
      </c>
      <c r="C76" s="9">
        <v>11</v>
      </c>
      <c r="D76">
        <f t="shared" si="45"/>
        <v>500</v>
      </c>
      <c r="E76">
        <f t="shared" si="46"/>
        <v>140</v>
      </c>
      <c r="F76">
        <f t="shared" si="47"/>
        <v>14.3</v>
      </c>
      <c r="G76">
        <f t="shared" si="48"/>
        <v>1.4135</v>
      </c>
      <c r="H76">
        <f t="shared" si="49"/>
        <v>64.680000000000007</v>
      </c>
      <c r="I76">
        <f t="shared" si="50"/>
        <v>462</v>
      </c>
      <c r="K76">
        <f t="shared" si="51"/>
        <v>313.5</v>
      </c>
      <c r="L76">
        <f t="shared" si="52"/>
        <v>43.89</v>
      </c>
      <c r="M76">
        <f t="shared" si="53"/>
        <v>4.62</v>
      </c>
      <c r="O76">
        <f t="shared" si="54"/>
        <v>4.62</v>
      </c>
      <c r="P76">
        <f t="shared" si="55"/>
        <v>4.5137399999999994</v>
      </c>
      <c r="R76">
        <f t="shared" si="66"/>
        <v>3.6181412639405202</v>
      </c>
      <c r="S76">
        <f t="shared" si="56"/>
        <v>1.5118790496760257</v>
      </c>
      <c r="T76">
        <f t="shared" si="57"/>
        <v>42</v>
      </c>
      <c r="U76">
        <f t="shared" si="58"/>
        <v>220</v>
      </c>
      <c r="V76">
        <f t="shared" si="59"/>
        <v>115.61000000000001</v>
      </c>
      <c r="W76">
        <f t="shared" si="60"/>
        <v>197.89</v>
      </c>
      <c r="X76">
        <f>I76*E76/'[1]Inverter Analysis'!$L$2</f>
        <v>154.99291994138247</v>
      </c>
      <c r="Y76">
        <f t="shared" si="61"/>
        <v>255.18341307814993</v>
      </c>
      <c r="Z76">
        <f t="shared" si="62"/>
        <v>691.98166248594407</v>
      </c>
      <c r="AA76">
        <f t="shared" si="63"/>
        <v>173.16017316017317</v>
      </c>
      <c r="AB76">
        <f t="shared" si="64"/>
        <v>12.306152565272043</v>
      </c>
      <c r="AC76">
        <f t="shared" si="65"/>
        <v>5.8101018674002927E-2</v>
      </c>
    </row>
    <row r="77" spans="1:29" hidden="1">
      <c r="A77">
        <v>11</v>
      </c>
      <c r="B77">
        <v>2</v>
      </c>
      <c r="C77" s="9">
        <v>10</v>
      </c>
      <c r="D77">
        <f t="shared" si="45"/>
        <v>500</v>
      </c>
      <c r="E77">
        <f t="shared" si="46"/>
        <v>140</v>
      </c>
      <c r="F77">
        <f t="shared" si="47"/>
        <v>14.3</v>
      </c>
      <c r="G77">
        <f t="shared" si="48"/>
        <v>1.4135</v>
      </c>
      <c r="H77">
        <f t="shared" si="49"/>
        <v>64.680000000000007</v>
      </c>
      <c r="I77">
        <f t="shared" si="50"/>
        <v>462</v>
      </c>
      <c r="K77">
        <f t="shared" si="51"/>
        <v>313.5</v>
      </c>
      <c r="L77">
        <f t="shared" si="52"/>
        <v>43.89</v>
      </c>
      <c r="M77">
        <f t="shared" si="53"/>
        <v>4.62</v>
      </c>
      <c r="O77">
        <f t="shared" si="54"/>
        <v>4.62</v>
      </c>
      <c r="P77">
        <f t="shared" si="55"/>
        <v>4.5137399999999994</v>
      </c>
      <c r="R77">
        <f t="shared" si="66"/>
        <v>3.6181412639405202</v>
      </c>
      <c r="S77">
        <f t="shared" si="56"/>
        <v>1.6630669546436283</v>
      </c>
      <c r="T77">
        <f t="shared" si="57"/>
        <v>46.2</v>
      </c>
      <c r="U77">
        <f t="shared" si="58"/>
        <v>220</v>
      </c>
      <c r="V77">
        <f t="shared" si="59"/>
        <v>115.61000000000001</v>
      </c>
      <c r="W77">
        <f t="shared" si="60"/>
        <v>197.89</v>
      </c>
      <c r="X77">
        <f>I77*E77/'[1]Inverter Analysis'!$L$2</f>
        <v>154.99291994138247</v>
      </c>
      <c r="Y77">
        <f t="shared" si="61"/>
        <v>255.18341307814993</v>
      </c>
      <c r="Z77">
        <f t="shared" si="62"/>
        <v>691.98166248594407</v>
      </c>
      <c r="AA77">
        <f t="shared" si="63"/>
        <v>173.16017316017317</v>
      </c>
      <c r="AB77">
        <f t="shared" si="64"/>
        <v>12.306152565272043</v>
      </c>
      <c r="AC77">
        <f t="shared" si="65"/>
        <v>5.8101018674002927E-2</v>
      </c>
    </row>
    <row r="78" spans="1:29" hidden="1">
      <c r="A78">
        <v>12</v>
      </c>
      <c r="B78">
        <v>2</v>
      </c>
      <c r="C78" s="9">
        <v>9</v>
      </c>
      <c r="D78">
        <f t="shared" si="45"/>
        <v>500</v>
      </c>
      <c r="E78">
        <f t="shared" si="46"/>
        <v>140</v>
      </c>
      <c r="F78">
        <f t="shared" si="47"/>
        <v>14.04</v>
      </c>
      <c r="G78">
        <f t="shared" si="48"/>
        <v>1.3877999999999999</v>
      </c>
      <c r="H78">
        <f t="shared" si="49"/>
        <v>63.503999999999998</v>
      </c>
      <c r="I78">
        <f t="shared" si="50"/>
        <v>453.6</v>
      </c>
      <c r="K78">
        <f t="shared" si="51"/>
        <v>307.8</v>
      </c>
      <c r="L78">
        <f t="shared" si="52"/>
        <v>43.091999999999999</v>
      </c>
      <c r="M78">
        <f t="shared" si="53"/>
        <v>4.5359999999999996</v>
      </c>
      <c r="O78">
        <f t="shared" si="54"/>
        <v>4.5359999999999996</v>
      </c>
      <c r="P78">
        <f t="shared" si="55"/>
        <v>4.4316720000000007</v>
      </c>
      <c r="R78">
        <f t="shared" si="66"/>
        <v>3.5523568773234193</v>
      </c>
      <c r="S78">
        <f t="shared" si="56"/>
        <v>1.8142548596112311</v>
      </c>
      <c r="T78">
        <f t="shared" si="57"/>
        <v>50.400000000000006</v>
      </c>
      <c r="U78">
        <f t="shared" si="58"/>
        <v>216</v>
      </c>
      <c r="V78">
        <f t="shared" si="59"/>
        <v>113.50800000000001</v>
      </c>
      <c r="W78">
        <f t="shared" si="60"/>
        <v>194.292</v>
      </c>
      <c r="X78">
        <f>I78*E78/'[1]Inverter Analysis'!$L$2</f>
        <v>152.17486685153915</v>
      </c>
      <c r="Y78">
        <f t="shared" si="61"/>
        <v>259.90903183885638</v>
      </c>
      <c r="Z78">
        <f t="shared" si="62"/>
        <v>704.79613771716527</v>
      </c>
      <c r="AA78">
        <f t="shared" si="63"/>
        <v>176.3668430335097</v>
      </c>
      <c r="AB78">
        <f t="shared" si="64"/>
        <v>12.766156210544557</v>
      </c>
      <c r="AC78">
        <f t="shared" si="65"/>
        <v>5.4989143828599221E-2</v>
      </c>
    </row>
    <row r="79" spans="1:29" hidden="1">
      <c r="A79">
        <v>13</v>
      </c>
      <c r="B79">
        <v>2</v>
      </c>
      <c r="C79" s="9">
        <v>8</v>
      </c>
      <c r="D79">
        <f t="shared" si="45"/>
        <v>500</v>
      </c>
      <c r="E79">
        <f t="shared" si="46"/>
        <v>140</v>
      </c>
      <c r="F79">
        <f t="shared" si="47"/>
        <v>13.52</v>
      </c>
      <c r="G79">
        <f t="shared" si="48"/>
        <v>1.3364</v>
      </c>
      <c r="H79">
        <f t="shared" si="49"/>
        <v>61.152000000000001</v>
      </c>
      <c r="I79">
        <f t="shared" si="50"/>
        <v>436.8</v>
      </c>
      <c r="K79">
        <f t="shared" si="51"/>
        <v>296.40000000000003</v>
      </c>
      <c r="L79">
        <f t="shared" si="52"/>
        <v>41.496000000000009</v>
      </c>
      <c r="M79">
        <f t="shared" si="53"/>
        <v>4.3680000000000003</v>
      </c>
      <c r="O79">
        <f t="shared" si="54"/>
        <v>4.3680000000000003</v>
      </c>
      <c r="P79">
        <f t="shared" si="55"/>
        <v>4.2675359999999998</v>
      </c>
      <c r="R79">
        <f t="shared" si="66"/>
        <v>3.4207881040892194</v>
      </c>
      <c r="S79">
        <f t="shared" si="56"/>
        <v>1.9654427645788337</v>
      </c>
      <c r="T79">
        <f t="shared" si="57"/>
        <v>54.6</v>
      </c>
      <c r="U79">
        <f t="shared" si="58"/>
        <v>208</v>
      </c>
      <c r="V79">
        <f t="shared" si="59"/>
        <v>109.30400000000003</v>
      </c>
      <c r="W79">
        <f t="shared" si="60"/>
        <v>187.096</v>
      </c>
      <c r="X79">
        <f>I79*E79/'[1]Inverter Analysis'!$L$2</f>
        <v>146.53876067185251</v>
      </c>
      <c r="Y79">
        <f t="shared" si="61"/>
        <v>269.90553306342775</v>
      </c>
      <c r="Z79">
        <f t="shared" si="62"/>
        <v>731.9036814755176</v>
      </c>
      <c r="AA79">
        <f t="shared" si="63"/>
        <v>183.15018315018315</v>
      </c>
      <c r="AB79">
        <f t="shared" si="64"/>
        <v>13.76705307320559</v>
      </c>
      <c r="AC79">
        <f t="shared" si="65"/>
        <v>4.9102737993774334E-2</v>
      </c>
    </row>
    <row r="80" spans="1:29">
      <c r="A80">
        <v>10</v>
      </c>
      <c r="B80">
        <v>2</v>
      </c>
      <c r="C80" s="9">
        <v>10</v>
      </c>
      <c r="D80">
        <f t="shared" si="45"/>
        <v>500</v>
      </c>
      <c r="E80">
        <f t="shared" si="46"/>
        <v>140</v>
      </c>
      <c r="F80">
        <f t="shared" si="47"/>
        <v>13</v>
      </c>
      <c r="G80">
        <f t="shared" si="48"/>
        <v>1.2850000000000001</v>
      </c>
      <c r="H80">
        <f t="shared" si="49"/>
        <v>58.8</v>
      </c>
      <c r="I80">
        <f t="shared" si="50"/>
        <v>420</v>
      </c>
      <c r="K80">
        <f t="shared" si="51"/>
        <v>285</v>
      </c>
      <c r="L80">
        <f t="shared" si="52"/>
        <v>39.9</v>
      </c>
      <c r="M80">
        <f t="shared" si="53"/>
        <v>4.2</v>
      </c>
      <c r="O80">
        <f t="shared" si="54"/>
        <v>4.2</v>
      </c>
      <c r="P80">
        <f t="shared" si="55"/>
        <v>4.1033999999999997</v>
      </c>
      <c r="R80">
        <f t="shared" si="66"/>
        <v>3.2892193308550186</v>
      </c>
      <c r="S80">
        <f t="shared" si="56"/>
        <v>1.5118790496760259</v>
      </c>
      <c r="T80">
        <f t="shared" si="57"/>
        <v>42</v>
      </c>
      <c r="U80">
        <f t="shared" si="58"/>
        <v>200</v>
      </c>
      <c r="V80">
        <f t="shared" si="59"/>
        <v>105.09999999999997</v>
      </c>
      <c r="W80">
        <f t="shared" si="60"/>
        <v>179.90000000000003</v>
      </c>
      <c r="X80">
        <f>I80*E80/'[1]Inverter Analysis'!$L$2</f>
        <v>140.90265449216588</v>
      </c>
      <c r="Y80">
        <f t="shared" si="61"/>
        <v>280.70175438596493</v>
      </c>
      <c r="Z80">
        <f t="shared" si="62"/>
        <v>761.17982873453877</v>
      </c>
      <c r="AA80">
        <f t="shared" si="63"/>
        <v>190.47619047619048</v>
      </c>
      <c r="AB80">
        <f t="shared" si="64"/>
        <v>14.890444603979185</v>
      </c>
      <c r="AC80">
        <f t="shared" si="65"/>
        <v>4.3652155277237321E-2</v>
      </c>
    </row>
    <row r="81" spans="1:29">
      <c r="A81">
        <v>11</v>
      </c>
      <c r="B81">
        <v>2</v>
      </c>
      <c r="C81" s="9">
        <v>9</v>
      </c>
      <c r="D81">
        <f t="shared" si="45"/>
        <v>500</v>
      </c>
      <c r="E81">
        <f t="shared" si="46"/>
        <v>140</v>
      </c>
      <c r="F81">
        <f t="shared" si="47"/>
        <v>12.87</v>
      </c>
      <c r="G81">
        <f t="shared" si="48"/>
        <v>1.2721500000000001</v>
      </c>
      <c r="H81">
        <f t="shared" si="49"/>
        <v>58.212000000000003</v>
      </c>
      <c r="I81">
        <f t="shared" si="50"/>
        <v>415.8</v>
      </c>
      <c r="K81">
        <f t="shared" si="51"/>
        <v>282.15000000000003</v>
      </c>
      <c r="L81">
        <f t="shared" si="52"/>
        <v>39.501000000000005</v>
      </c>
      <c r="M81">
        <f t="shared" si="53"/>
        <v>4.1580000000000004</v>
      </c>
      <c r="O81">
        <f t="shared" si="54"/>
        <v>4.1580000000000004</v>
      </c>
      <c r="P81">
        <f t="shared" si="55"/>
        <v>4.0623659999999999</v>
      </c>
      <c r="R81">
        <f t="shared" si="66"/>
        <v>3.2563271375464682</v>
      </c>
      <c r="S81">
        <f t="shared" si="56"/>
        <v>1.6630669546436283</v>
      </c>
      <c r="T81">
        <f t="shared" si="57"/>
        <v>46.2</v>
      </c>
      <c r="U81">
        <f t="shared" si="58"/>
        <v>198</v>
      </c>
      <c r="V81">
        <f t="shared" si="59"/>
        <v>104.04900000000001</v>
      </c>
      <c r="W81">
        <f t="shared" si="60"/>
        <v>178.10100000000003</v>
      </c>
      <c r="X81">
        <f>I81*E81/'[1]Inverter Analysis'!$L$2</f>
        <v>139.49362794724422</v>
      </c>
      <c r="Y81">
        <f t="shared" si="61"/>
        <v>283.53712564238879</v>
      </c>
      <c r="Z81">
        <f t="shared" si="62"/>
        <v>768.86851387327124</v>
      </c>
      <c r="AA81">
        <f t="shared" si="63"/>
        <v>192.4001924001924</v>
      </c>
      <c r="AB81">
        <f t="shared" si="64"/>
        <v>15.192780944780305</v>
      </c>
      <c r="AC81">
        <f t="shared" si="65"/>
        <v>4.2355642613348121E-2</v>
      </c>
    </row>
    <row r="82" spans="1:29">
      <c r="A82">
        <v>14</v>
      </c>
      <c r="B82">
        <v>2</v>
      </c>
      <c r="C82" s="9">
        <v>7</v>
      </c>
      <c r="D82">
        <f t="shared" si="45"/>
        <v>500</v>
      </c>
      <c r="E82">
        <f t="shared" si="46"/>
        <v>140</v>
      </c>
      <c r="F82">
        <f t="shared" si="47"/>
        <v>12.74</v>
      </c>
      <c r="G82">
        <f t="shared" si="48"/>
        <v>1.2593000000000001</v>
      </c>
      <c r="H82">
        <f t="shared" si="49"/>
        <v>57.624000000000002</v>
      </c>
      <c r="I82">
        <f t="shared" si="50"/>
        <v>411.6</v>
      </c>
      <c r="K82">
        <f t="shared" si="51"/>
        <v>279.3</v>
      </c>
      <c r="L82">
        <f t="shared" si="52"/>
        <v>39.101999999999997</v>
      </c>
      <c r="M82">
        <f t="shared" si="53"/>
        <v>4.1159999999999997</v>
      </c>
      <c r="O82">
        <f t="shared" si="54"/>
        <v>4.1159999999999997</v>
      </c>
      <c r="P82">
        <f t="shared" si="55"/>
        <v>4.0213320000000001</v>
      </c>
      <c r="R82">
        <f t="shared" si="66"/>
        <v>3.2234349442379178</v>
      </c>
      <c r="S82">
        <f t="shared" si="56"/>
        <v>2.1166306695464363</v>
      </c>
      <c r="T82">
        <f t="shared" si="57"/>
        <v>58.800000000000004</v>
      </c>
      <c r="U82">
        <f t="shared" si="58"/>
        <v>196</v>
      </c>
      <c r="V82">
        <f t="shared" si="59"/>
        <v>102.99799999999999</v>
      </c>
      <c r="W82">
        <f t="shared" si="60"/>
        <v>176.30200000000002</v>
      </c>
      <c r="X82">
        <f>I82*E82/'[1]Inverter Analysis'!$L$2</f>
        <v>138.08460140232256</v>
      </c>
      <c r="Y82">
        <f t="shared" si="61"/>
        <v>286.43036161833152</v>
      </c>
      <c r="Z82">
        <f t="shared" si="62"/>
        <v>776.71411095361077</v>
      </c>
      <c r="AA82">
        <f t="shared" si="63"/>
        <v>194.36345966958211</v>
      </c>
      <c r="AB82">
        <f t="shared" si="64"/>
        <v>15.504419620969569</v>
      </c>
      <c r="AC82">
        <f t="shared" si="65"/>
        <v>4.1085059329693585E-2</v>
      </c>
    </row>
    <row r="83" spans="1:29" hidden="1">
      <c r="A83">
        <v>16</v>
      </c>
      <c r="B83">
        <v>2</v>
      </c>
      <c r="C83" s="9">
        <v>6</v>
      </c>
      <c r="D83">
        <f t="shared" si="45"/>
        <v>500</v>
      </c>
      <c r="E83">
        <f t="shared" si="46"/>
        <v>140</v>
      </c>
      <c r="F83">
        <f t="shared" si="47"/>
        <v>12.48</v>
      </c>
      <c r="G83">
        <f t="shared" si="48"/>
        <v>1.2336</v>
      </c>
      <c r="H83">
        <f t="shared" si="49"/>
        <v>56.448000000000008</v>
      </c>
      <c r="I83">
        <f t="shared" si="50"/>
        <v>403.20000000000005</v>
      </c>
      <c r="K83">
        <f t="shared" si="51"/>
        <v>273.60000000000002</v>
      </c>
      <c r="L83">
        <f t="shared" si="52"/>
        <v>38.304000000000002</v>
      </c>
      <c r="M83">
        <f t="shared" si="53"/>
        <v>4.032</v>
      </c>
      <c r="O83">
        <f t="shared" si="54"/>
        <v>4.032</v>
      </c>
      <c r="P83">
        <f t="shared" si="55"/>
        <v>3.9392640000000001</v>
      </c>
      <c r="R83">
        <f t="shared" si="66"/>
        <v>3.1576505576208174</v>
      </c>
      <c r="S83">
        <f t="shared" si="56"/>
        <v>2.4190064794816419</v>
      </c>
      <c r="T83">
        <f t="shared" si="57"/>
        <v>67.2</v>
      </c>
      <c r="U83">
        <f t="shared" si="58"/>
        <v>192</v>
      </c>
      <c r="V83">
        <f t="shared" si="59"/>
        <v>100.89600000000002</v>
      </c>
      <c r="W83">
        <f t="shared" si="60"/>
        <v>172.70400000000001</v>
      </c>
      <c r="X83">
        <f>I83*E83/'[1]Inverter Analysis'!$L$2</f>
        <v>135.26654831247924</v>
      </c>
      <c r="Y83">
        <f t="shared" si="61"/>
        <v>292.3976608187134</v>
      </c>
      <c r="Z83">
        <f t="shared" si="62"/>
        <v>792.8956549318109</v>
      </c>
      <c r="AA83">
        <f t="shared" si="63"/>
        <v>198.4126984126984</v>
      </c>
      <c r="AB83">
        <f t="shared" si="64"/>
        <v>16.157166453970458</v>
      </c>
      <c r="AC83">
        <f t="shared" si="65"/>
        <v>3.862063325136187E-2</v>
      </c>
    </row>
    <row r="84" spans="1:29" s="15" customFormat="1">
      <c r="A84">
        <v>12</v>
      </c>
      <c r="B84">
        <v>2</v>
      </c>
      <c r="C84" s="9">
        <v>8</v>
      </c>
      <c r="D84">
        <f t="shared" si="45"/>
        <v>500</v>
      </c>
      <c r="E84">
        <f t="shared" si="46"/>
        <v>140</v>
      </c>
      <c r="F84">
        <f t="shared" si="47"/>
        <v>12.48</v>
      </c>
      <c r="G84">
        <f t="shared" si="48"/>
        <v>1.2336</v>
      </c>
      <c r="H84">
        <f t="shared" si="49"/>
        <v>56.448000000000008</v>
      </c>
      <c r="I84">
        <f t="shared" si="50"/>
        <v>403.20000000000005</v>
      </c>
      <c r="J84"/>
      <c r="K84">
        <f t="shared" si="51"/>
        <v>273.60000000000002</v>
      </c>
      <c r="L84">
        <f t="shared" si="52"/>
        <v>38.304000000000002</v>
      </c>
      <c r="M84">
        <f t="shared" si="53"/>
        <v>4.032</v>
      </c>
      <c r="N84"/>
      <c r="O84">
        <f t="shared" si="54"/>
        <v>4.032</v>
      </c>
      <c r="P84">
        <f t="shared" si="55"/>
        <v>3.9392640000000001</v>
      </c>
      <c r="Q84"/>
      <c r="R84">
        <f t="shared" si="66"/>
        <v>3.1576505576208174</v>
      </c>
      <c r="S84">
        <f t="shared" si="56"/>
        <v>1.8142548596112313</v>
      </c>
      <c r="T84">
        <f t="shared" si="57"/>
        <v>50.400000000000006</v>
      </c>
      <c r="U84">
        <f t="shared" si="58"/>
        <v>192</v>
      </c>
      <c r="V84">
        <f t="shared" si="59"/>
        <v>100.89600000000002</v>
      </c>
      <c r="W84">
        <f t="shared" si="60"/>
        <v>172.70400000000001</v>
      </c>
      <c r="X84">
        <f>I84*E84/'[1]Inverter Analysis'!$L$2</f>
        <v>135.26654831247924</v>
      </c>
      <c r="Y84">
        <f t="shared" si="61"/>
        <v>292.3976608187134</v>
      </c>
      <c r="Z84">
        <f t="shared" si="62"/>
        <v>792.8956549318109</v>
      </c>
      <c r="AA84">
        <f t="shared" si="63"/>
        <v>198.4126984126984</v>
      </c>
      <c r="AB84">
        <f t="shared" si="64"/>
        <v>16.157166453970458</v>
      </c>
      <c r="AC84">
        <f t="shared" si="65"/>
        <v>3.862063325136187E-2</v>
      </c>
    </row>
    <row r="85" spans="1:29" hidden="1">
      <c r="A85" s="8">
        <v>16</v>
      </c>
      <c r="B85" s="9">
        <v>4</v>
      </c>
      <c r="C85" s="9">
        <v>12</v>
      </c>
      <c r="D85">
        <f t="shared" si="45"/>
        <v>1000</v>
      </c>
      <c r="E85">
        <f t="shared" si="46"/>
        <v>280</v>
      </c>
      <c r="F85">
        <f t="shared" si="47"/>
        <v>49.92</v>
      </c>
      <c r="G85">
        <f t="shared" si="48"/>
        <v>1.2336</v>
      </c>
      <c r="H85">
        <f t="shared" si="49"/>
        <v>225.79200000000003</v>
      </c>
      <c r="I85">
        <f t="shared" si="50"/>
        <v>806.40000000000009</v>
      </c>
      <c r="K85">
        <f t="shared" si="51"/>
        <v>547.20000000000005</v>
      </c>
      <c r="L85">
        <f t="shared" si="52"/>
        <v>153.21600000000001</v>
      </c>
      <c r="M85">
        <f t="shared" si="53"/>
        <v>16.128</v>
      </c>
      <c r="O85">
        <f t="shared" si="54"/>
        <v>16.128</v>
      </c>
      <c r="P85">
        <f t="shared" si="55"/>
        <v>15.757056</v>
      </c>
      <c r="R85">
        <f t="shared" si="66"/>
        <v>12.630602230483269</v>
      </c>
      <c r="S85">
        <f t="shared" si="56"/>
        <v>4.8380129589632839</v>
      </c>
      <c r="T85">
        <f t="shared" si="57"/>
        <v>67.2</v>
      </c>
      <c r="U85">
        <f t="shared" si="58"/>
        <v>768</v>
      </c>
      <c r="V85">
        <f t="shared" si="59"/>
        <v>201.79200000000003</v>
      </c>
      <c r="W85">
        <f t="shared" si="60"/>
        <v>345.40800000000002</v>
      </c>
      <c r="X85">
        <f>I85*E85/'[1]Inverter Analysis'!$L$2</f>
        <v>541.06619324991698</v>
      </c>
      <c r="Y85">
        <f t="shared" si="61"/>
        <v>146.1988304093567</v>
      </c>
      <c r="Z85">
        <f t="shared" si="62"/>
        <v>396.44782746590545</v>
      </c>
      <c r="AA85">
        <f t="shared" si="63"/>
        <v>99.206349206349202</v>
      </c>
      <c r="AB85">
        <f t="shared" si="64"/>
        <v>4.0392916134926145</v>
      </c>
      <c r="AC85">
        <f t="shared" si="65"/>
        <v>0.61793013202178992</v>
      </c>
    </row>
    <row r="86" spans="1:29" hidden="1">
      <c r="A86" s="8">
        <v>15</v>
      </c>
      <c r="B86" s="9">
        <v>4</v>
      </c>
      <c r="C86" s="9">
        <v>12</v>
      </c>
      <c r="D86">
        <f t="shared" si="45"/>
        <v>1000</v>
      </c>
      <c r="E86">
        <f t="shared" si="46"/>
        <v>280</v>
      </c>
      <c r="F86">
        <f t="shared" si="47"/>
        <v>46.8</v>
      </c>
      <c r="G86">
        <f t="shared" si="48"/>
        <v>1.1565000000000001</v>
      </c>
      <c r="H86">
        <f t="shared" si="49"/>
        <v>211.68</v>
      </c>
      <c r="I86">
        <f t="shared" si="50"/>
        <v>756</v>
      </c>
      <c r="K86">
        <f t="shared" si="51"/>
        <v>513</v>
      </c>
      <c r="L86">
        <f t="shared" si="52"/>
        <v>143.63999999999999</v>
      </c>
      <c r="M86">
        <f t="shared" si="53"/>
        <v>15.12</v>
      </c>
      <c r="O86">
        <f t="shared" si="54"/>
        <v>15.12</v>
      </c>
      <c r="P86">
        <f t="shared" si="55"/>
        <v>14.77224</v>
      </c>
      <c r="R86">
        <f t="shared" si="66"/>
        <v>11.841189591078065</v>
      </c>
      <c r="S86">
        <f t="shared" si="56"/>
        <v>4.5356371490280774</v>
      </c>
      <c r="T86">
        <f t="shared" si="57"/>
        <v>63</v>
      </c>
      <c r="U86">
        <f t="shared" si="58"/>
        <v>720</v>
      </c>
      <c r="V86">
        <f t="shared" si="59"/>
        <v>189.17999999999995</v>
      </c>
      <c r="W86">
        <f t="shared" si="60"/>
        <v>323.82000000000005</v>
      </c>
      <c r="X86">
        <f>I86*E86/'[1]Inverter Analysis'!$L$2</f>
        <v>507.24955617179717</v>
      </c>
      <c r="Y86">
        <f t="shared" si="61"/>
        <v>155.94541910331384</v>
      </c>
      <c r="Z86">
        <f t="shared" si="62"/>
        <v>422.87768263029932</v>
      </c>
      <c r="AA86">
        <f t="shared" si="63"/>
        <v>105.82010582010582</v>
      </c>
      <c r="AB86">
        <f t="shared" si="64"/>
        <v>4.5958162357960441</v>
      </c>
      <c r="AC86">
        <f t="shared" si="65"/>
        <v>0.50915873915369614</v>
      </c>
    </row>
    <row r="87" spans="1:29" hidden="1">
      <c r="A87" s="8">
        <v>16</v>
      </c>
      <c r="B87" s="9">
        <v>4</v>
      </c>
      <c r="C87" s="9">
        <v>11</v>
      </c>
      <c r="D87">
        <f t="shared" si="45"/>
        <v>1000</v>
      </c>
      <c r="E87">
        <f t="shared" si="46"/>
        <v>280</v>
      </c>
      <c r="F87">
        <f t="shared" si="47"/>
        <v>45.76</v>
      </c>
      <c r="G87">
        <f t="shared" si="48"/>
        <v>1.1308</v>
      </c>
      <c r="H87">
        <f t="shared" si="49"/>
        <v>206.976</v>
      </c>
      <c r="I87">
        <f t="shared" si="50"/>
        <v>739.2</v>
      </c>
      <c r="K87">
        <f t="shared" si="51"/>
        <v>501.6</v>
      </c>
      <c r="L87">
        <f t="shared" si="52"/>
        <v>140.44800000000001</v>
      </c>
      <c r="M87">
        <f t="shared" si="53"/>
        <v>14.784000000000001</v>
      </c>
      <c r="O87">
        <f t="shared" si="54"/>
        <v>14.784000000000001</v>
      </c>
      <c r="P87">
        <f t="shared" si="55"/>
        <v>14.443968</v>
      </c>
      <c r="R87">
        <f t="shared" si="66"/>
        <v>11.578052044609665</v>
      </c>
      <c r="S87">
        <f t="shared" si="56"/>
        <v>4.838012958963283</v>
      </c>
      <c r="T87">
        <f t="shared" si="57"/>
        <v>67.2</v>
      </c>
      <c r="U87">
        <f t="shared" si="58"/>
        <v>704</v>
      </c>
      <c r="V87">
        <f t="shared" si="59"/>
        <v>184.976</v>
      </c>
      <c r="W87">
        <f t="shared" si="60"/>
        <v>316.62400000000002</v>
      </c>
      <c r="X87">
        <f>I87*E87/'[1]Inverter Analysis'!$L$2</f>
        <v>495.9773438124239</v>
      </c>
      <c r="Y87">
        <f t="shared" si="61"/>
        <v>159.48963317384369</v>
      </c>
      <c r="Z87">
        <f t="shared" si="62"/>
        <v>432.4885390537151</v>
      </c>
      <c r="AA87">
        <f t="shared" si="63"/>
        <v>108.22510822510822</v>
      </c>
      <c r="AB87">
        <f t="shared" si="64"/>
        <v>4.8070908458093937</v>
      </c>
      <c r="AC87">
        <f t="shared" si="65"/>
        <v>0.47596354497743176</v>
      </c>
    </row>
    <row r="88" spans="1:29" hidden="1">
      <c r="A88">
        <v>14</v>
      </c>
      <c r="B88">
        <v>4</v>
      </c>
      <c r="C88">
        <v>12</v>
      </c>
      <c r="D88">
        <f t="shared" si="45"/>
        <v>1000</v>
      </c>
      <c r="E88">
        <f t="shared" si="46"/>
        <v>280</v>
      </c>
      <c r="F88">
        <f t="shared" si="47"/>
        <v>43.68</v>
      </c>
      <c r="G88">
        <f t="shared" si="48"/>
        <v>1.0794000000000001</v>
      </c>
      <c r="H88">
        <f t="shared" si="49"/>
        <v>197.56800000000001</v>
      </c>
      <c r="I88">
        <f t="shared" si="50"/>
        <v>705.6</v>
      </c>
      <c r="K88">
        <f t="shared" si="51"/>
        <v>478.8</v>
      </c>
      <c r="L88">
        <f t="shared" si="52"/>
        <v>134.06399999999999</v>
      </c>
      <c r="M88">
        <f t="shared" si="53"/>
        <v>14.112</v>
      </c>
      <c r="O88">
        <f t="shared" si="54"/>
        <v>14.112</v>
      </c>
      <c r="P88">
        <f t="shared" si="55"/>
        <v>13.787424</v>
      </c>
      <c r="R88">
        <f t="shared" si="66"/>
        <v>11.051776951672862</v>
      </c>
      <c r="S88">
        <f t="shared" si="56"/>
        <v>4.2332613390928726</v>
      </c>
      <c r="T88">
        <f t="shared" si="57"/>
        <v>58.800000000000004</v>
      </c>
      <c r="U88">
        <f t="shared" si="58"/>
        <v>672</v>
      </c>
      <c r="V88">
        <f t="shared" si="59"/>
        <v>176.56799999999998</v>
      </c>
      <c r="W88">
        <f t="shared" si="60"/>
        <v>302.23200000000003</v>
      </c>
      <c r="X88">
        <f>I88*E88/'[1]Inverter Analysis'!$L$2</f>
        <v>473.43291909367736</v>
      </c>
      <c r="Y88">
        <f t="shared" si="61"/>
        <v>167.08437761069339</v>
      </c>
      <c r="Z88">
        <f t="shared" si="62"/>
        <v>453.08323138960634</v>
      </c>
      <c r="AA88">
        <f t="shared" si="63"/>
        <v>113.37868480725623</v>
      </c>
      <c r="AB88">
        <f t="shared" si="64"/>
        <v>5.2758094543577023</v>
      </c>
      <c r="AC88">
        <f t="shared" si="65"/>
        <v>0.41396491266303487</v>
      </c>
    </row>
    <row r="89" spans="1:29" hidden="1">
      <c r="A89" s="8">
        <v>15</v>
      </c>
      <c r="B89" s="9">
        <v>4</v>
      </c>
      <c r="C89" s="9">
        <v>11</v>
      </c>
      <c r="D89">
        <f t="shared" si="45"/>
        <v>1000</v>
      </c>
      <c r="E89">
        <f t="shared" si="46"/>
        <v>280</v>
      </c>
      <c r="F89">
        <f t="shared" si="47"/>
        <v>42.9</v>
      </c>
      <c r="G89">
        <f t="shared" si="48"/>
        <v>1.060125</v>
      </c>
      <c r="H89">
        <f t="shared" si="49"/>
        <v>194.04</v>
      </c>
      <c r="I89">
        <f t="shared" si="50"/>
        <v>693</v>
      </c>
      <c r="K89">
        <f t="shared" si="51"/>
        <v>470.25</v>
      </c>
      <c r="L89">
        <f t="shared" si="52"/>
        <v>131.66999999999999</v>
      </c>
      <c r="M89">
        <f t="shared" si="53"/>
        <v>13.86</v>
      </c>
      <c r="O89">
        <f t="shared" si="54"/>
        <v>13.86</v>
      </c>
      <c r="P89">
        <f t="shared" si="55"/>
        <v>13.541219999999999</v>
      </c>
      <c r="R89">
        <f t="shared" si="66"/>
        <v>10.85442379182156</v>
      </c>
      <c r="S89">
        <f t="shared" si="56"/>
        <v>4.5356371490280774</v>
      </c>
      <c r="T89">
        <f t="shared" si="57"/>
        <v>63</v>
      </c>
      <c r="U89">
        <f t="shared" si="58"/>
        <v>660</v>
      </c>
      <c r="V89">
        <f t="shared" si="59"/>
        <v>173.41500000000002</v>
      </c>
      <c r="W89">
        <f t="shared" si="60"/>
        <v>296.83499999999998</v>
      </c>
      <c r="X89">
        <f>I89*E89/'[1]Inverter Analysis'!$L$2</f>
        <v>464.9787598241474</v>
      </c>
      <c r="Y89">
        <f t="shared" si="61"/>
        <v>170.12227538543328</v>
      </c>
      <c r="Z89">
        <f t="shared" si="62"/>
        <v>461.32110832396268</v>
      </c>
      <c r="AA89">
        <f t="shared" si="63"/>
        <v>115.44011544011543</v>
      </c>
      <c r="AB89">
        <f t="shared" si="64"/>
        <v>5.4694011401209073</v>
      </c>
      <c r="AC89">
        <f t="shared" si="65"/>
        <v>0.39218187604951982</v>
      </c>
    </row>
    <row r="90" spans="1:29" hidden="1">
      <c r="A90" s="8">
        <v>16</v>
      </c>
      <c r="B90" s="9">
        <v>4</v>
      </c>
      <c r="C90" s="9">
        <v>10</v>
      </c>
      <c r="D90">
        <f t="shared" si="45"/>
        <v>1000</v>
      </c>
      <c r="E90">
        <f t="shared" si="46"/>
        <v>280</v>
      </c>
      <c r="F90">
        <f t="shared" si="47"/>
        <v>41.6</v>
      </c>
      <c r="G90">
        <f t="shared" si="48"/>
        <v>1.028</v>
      </c>
      <c r="H90">
        <f t="shared" si="49"/>
        <v>188.16</v>
      </c>
      <c r="I90">
        <f t="shared" si="50"/>
        <v>672</v>
      </c>
      <c r="K90">
        <f t="shared" si="51"/>
        <v>456</v>
      </c>
      <c r="L90">
        <f t="shared" si="52"/>
        <v>127.68</v>
      </c>
      <c r="M90">
        <f t="shared" si="53"/>
        <v>13.44</v>
      </c>
      <c r="O90">
        <f t="shared" si="54"/>
        <v>13.44</v>
      </c>
      <c r="P90">
        <f t="shared" si="55"/>
        <v>13.130879999999999</v>
      </c>
      <c r="R90">
        <f t="shared" si="66"/>
        <v>10.525501858736058</v>
      </c>
      <c r="S90">
        <f t="shared" si="56"/>
        <v>4.838012958963283</v>
      </c>
      <c r="T90">
        <f t="shared" si="57"/>
        <v>67.2</v>
      </c>
      <c r="U90">
        <f t="shared" si="58"/>
        <v>640</v>
      </c>
      <c r="V90">
        <f t="shared" si="59"/>
        <v>168.15999999999997</v>
      </c>
      <c r="W90">
        <f t="shared" si="60"/>
        <v>287.84000000000003</v>
      </c>
      <c r="X90">
        <f>I90*E90/'[1]Inverter Analysis'!$L$2</f>
        <v>450.88849437493081</v>
      </c>
      <c r="Y90">
        <f t="shared" si="61"/>
        <v>175.43859649122808</v>
      </c>
      <c r="Z90">
        <f t="shared" si="62"/>
        <v>475.73739295908666</v>
      </c>
      <c r="AA90">
        <f t="shared" si="63"/>
        <v>119.04761904761905</v>
      </c>
      <c r="AB90">
        <f t="shared" si="64"/>
        <v>5.8165799234293676</v>
      </c>
      <c r="AC90">
        <f t="shared" si="65"/>
        <v>0.35759845603112828</v>
      </c>
    </row>
    <row r="91" spans="1:29" hidden="1">
      <c r="A91">
        <v>13</v>
      </c>
      <c r="B91">
        <v>4</v>
      </c>
      <c r="C91">
        <v>12</v>
      </c>
      <c r="D91">
        <f t="shared" si="45"/>
        <v>1000</v>
      </c>
      <c r="E91">
        <f t="shared" si="46"/>
        <v>280</v>
      </c>
      <c r="F91">
        <f t="shared" si="47"/>
        <v>40.56</v>
      </c>
      <c r="G91">
        <f t="shared" si="48"/>
        <v>1.0023</v>
      </c>
      <c r="H91">
        <f t="shared" si="49"/>
        <v>183.45599999999999</v>
      </c>
      <c r="I91">
        <f t="shared" si="50"/>
        <v>655.20000000000005</v>
      </c>
      <c r="K91">
        <f t="shared" si="51"/>
        <v>444.6</v>
      </c>
      <c r="L91">
        <f t="shared" si="52"/>
        <v>124.488</v>
      </c>
      <c r="M91">
        <f t="shared" si="53"/>
        <v>13.103999999999999</v>
      </c>
      <c r="O91">
        <f t="shared" si="54"/>
        <v>13.103999999999999</v>
      </c>
      <c r="P91">
        <f t="shared" si="55"/>
        <v>12.802607999999999</v>
      </c>
      <c r="R91">
        <f t="shared" si="66"/>
        <v>10.262364312267657</v>
      </c>
      <c r="S91">
        <f t="shared" si="56"/>
        <v>3.930885529157667</v>
      </c>
      <c r="T91">
        <f t="shared" si="57"/>
        <v>54.6</v>
      </c>
      <c r="U91">
        <f t="shared" si="58"/>
        <v>624</v>
      </c>
      <c r="V91">
        <f t="shared" si="59"/>
        <v>163.95600000000002</v>
      </c>
      <c r="W91">
        <f t="shared" si="60"/>
        <v>280.64400000000001</v>
      </c>
      <c r="X91">
        <f>I91*E91/'[1]Inverter Analysis'!$L$2</f>
        <v>439.61628201555754</v>
      </c>
      <c r="Y91">
        <f t="shared" si="61"/>
        <v>179.93702204228518</v>
      </c>
      <c r="Z91">
        <f t="shared" si="62"/>
        <v>487.93578765034516</v>
      </c>
      <c r="AA91">
        <f t="shared" si="63"/>
        <v>122.10012210012209</v>
      </c>
      <c r="AB91">
        <f t="shared" si="64"/>
        <v>6.1186902547580422</v>
      </c>
      <c r="AC91">
        <f t="shared" si="65"/>
        <v>0.33144348145797675</v>
      </c>
    </row>
    <row r="92" spans="1:29" hidden="1">
      <c r="A92">
        <v>14</v>
      </c>
      <c r="B92">
        <v>4</v>
      </c>
      <c r="C92" s="9">
        <v>11</v>
      </c>
      <c r="D92">
        <f t="shared" si="45"/>
        <v>1000</v>
      </c>
      <c r="E92">
        <f t="shared" si="46"/>
        <v>280</v>
      </c>
      <c r="F92">
        <f t="shared" si="47"/>
        <v>40.04</v>
      </c>
      <c r="G92">
        <f t="shared" si="48"/>
        <v>0.98945000000000005</v>
      </c>
      <c r="H92">
        <f t="shared" si="49"/>
        <v>181.10400000000004</v>
      </c>
      <c r="I92">
        <f t="shared" si="50"/>
        <v>646.80000000000007</v>
      </c>
      <c r="K92">
        <f t="shared" si="51"/>
        <v>438.90000000000003</v>
      </c>
      <c r="L92">
        <f t="shared" si="52"/>
        <v>122.89200000000001</v>
      </c>
      <c r="M92">
        <f t="shared" si="53"/>
        <v>12.936000000000002</v>
      </c>
      <c r="O92">
        <f t="shared" si="54"/>
        <v>12.936000000000002</v>
      </c>
      <c r="P92">
        <f t="shared" si="55"/>
        <v>12.638472000000002</v>
      </c>
      <c r="R92">
        <f t="shared" si="66"/>
        <v>10.130795539033457</v>
      </c>
      <c r="S92">
        <f t="shared" si="56"/>
        <v>4.2332613390928735</v>
      </c>
      <c r="T92">
        <f t="shared" si="57"/>
        <v>58.800000000000004</v>
      </c>
      <c r="U92">
        <f t="shared" si="58"/>
        <v>616</v>
      </c>
      <c r="V92">
        <f t="shared" si="59"/>
        <v>161.85400000000004</v>
      </c>
      <c r="W92">
        <f t="shared" si="60"/>
        <v>277.04599999999999</v>
      </c>
      <c r="X92">
        <f>I92*E92/'[1]Inverter Analysis'!$L$2</f>
        <v>433.98017583587097</v>
      </c>
      <c r="Y92">
        <f t="shared" si="61"/>
        <v>182.27386648439278</v>
      </c>
      <c r="Z92">
        <f t="shared" si="62"/>
        <v>494.27261606138853</v>
      </c>
      <c r="AA92">
        <f t="shared" si="63"/>
        <v>123.68583797155225</v>
      </c>
      <c r="AB92">
        <f t="shared" si="64"/>
        <v>6.278649267995938</v>
      </c>
      <c r="AC92">
        <f t="shared" si="65"/>
        <v>0.31885839048292813</v>
      </c>
    </row>
    <row r="93" spans="1:29" hidden="1">
      <c r="A93" s="8">
        <v>15</v>
      </c>
      <c r="B93" s="9">
        <v>4</v>
      </c>
      <c r="C93" s="9">
        <v>10</v>
      </c>
      <c r="D93">
        <f t="shared" si="45"/>
        <v>1000</v>
      </c>
      <c r="E93">
        <f t="shared" si="46"/>
        <v>280</v>
      </c>
      <c r="F93">
        <f t="shared" si="47"/>
        <v>39</v>
      </c>
      <c r="G93">
        <f t="shared" si="48"/>
        <v>0.96375</v>
      </c>
      <c r="H93">
        <f t="shared" si="49"/>
        <v>176.4</v>
      </c>
      <c r="I93">
        <f t="shared" si="50"/>
        <v>630</v>
      </c>
      <c r="K93">
        <f t="shared" si="51"/>
        <v>427.5</v>
      </c>
      <c r="L93">
        <f t="shared" si="52"/>
        <v>119.7</v>
      </c>
      <c r="M93">
        <f t="shared" si="53"/>
        <v>12.6</v>
      </c>
      <c r="O93">
        <f t="shared" si="54"/>
        <v>12.6</v>
      </c>
      <c r="P93">
        <f t="shared" si="55"/>
        <v>12.310199999999998</v>
      </c>
      <c r="R93">
        <f t="shared" si="66"/>
        <v>9.8676579925650554</v>
      </c>
      <c r="S93">
        <f t="shared" si="56"/>
        <v>4.5356371490280782</v>
      </c>
      <c r="T93">
        <f t="shared" si="57"/>
        <v>63</v>
      </c>
      <c r="U93">
        <f t="shared" si="58"/>
        <v>600</v>
      </c>
      <c r="V93">
        <f t="shared" si="59"/>
        <v>157.64999999999998</v>
      </c>
      <c r="W93">
        <f t="shared" si="60"/>
        <v>269.85000000000002</v>
      </c>
      <c r="X93">
        <f>I93*E93/'[1]Inverter Analysis'!$L$2</f>
        <v>422.70796347649764</v>
      </c>
      <c r="Y93">
        <f t="shared" si="61"/>
        <v>187.13450292397661</v>
      </c>
      <c r="Z93">
        <f t="shared" si="62"/>
        <v>507.45321915635907</v>
      </c>
      <c r="AA93">
        <f t="shared" si="63"/>
        <v>126.98412698412699</v>
      </c>
      <c r="AB93">
        <f t="shared" si="64"/>
        <v>6.6179753795463014</v>
      </c>
      <c r="AC93">
        <f t="shared" si="65"/>
        <v>0.29465204812135209</v>
      </c>
    </row>
    <row r="94" spans="1:29" hidden="1">
      <c r="A94">
        <v>16</v>
      </c>
      <c r="B94">
        <v>3</v>
      </c>
      <c r="C94">
        <v>12</v>
      </c>
      <c r="D94">
        <f t="shared" si="45"/>
        <v>750</v>
      </c>
      <c r="E94">
        <f t="shared" si="46"/>
        <v>210</v>
      </c>
      <c r="F94">
        <f t="shared" si="47"/>
        <v>37.44</v>
      </c>
      <c r="G94">
        <f t="shared" si="48"/>
        <v>1.6448000000000005</v>
      </c>
      <c r="H94">
        <f t="shared" si="49"/>
        <v>169.34400000000002</v>
      </c>
      <c r="I94">
        <f t="shared" si="50"/>
        <v>806.40000000000009</v>
      </c>
      <c r="K94">
        <f t="shared" si="51"/>
        <v>547.20000000000005</v>
      </c>
      <c r="L94">
        <f t="shared" si="52"/>
        <v>114.91200000000002</v>
      </c>
      <c r="M94">
        <f t="shared" si="53"/>
        <v>12.096000000000002</v>
      </c>
      <c r="O94">
        <f t="shared" si="54"/>
        <v>12.096000000000002</v>
      </c>
      <c r="P94">
        <f t="shared" si="55"/>
        <v>11.817792000000001</v>
      </c>
      <c r="R94">
        <f t="shared" si="66"/>
        <v>9.4729516728624539</v>
      </c>
      <c r="S94">
        <f t="shared" si="56"/>
        <v>3.6285097192224627</v>
      </c>
      <c r="T94">
        <f t="shared" si="57"/>
        <v>67.2</v>
      </c>
      <c r="U94">
        <f t="shared" si="58"/>
        <v>576</v>
      </c>
      <c r="V94">
        <f t="shared" si="59"/>
        <v>201.79199999999992</v>
      </c>
      <c r="W94">
        <f t="shared" si="60"/>
        <v>345.40800000000013</v>
      </c>
      <c r="X94">
        <f>I94*E94/'[1]Inverter Analysis'!$L$2</f>
        <v>405.79964493743779</v>
      </c>
      <c r="Y94">
        <f t="shared" si="61"/>
        <v>146.1988304093567</v>
      </c>
      <c r="Z94">
        <f t="shared" si="62"/>
        <v>396.44782746590568</v>
      </c>
      <c r="AA94">
        <f t="shared" si="63"/>
        <v>99.206349206349202</v>
      </c>
      <c r="AB94">
        <f t="shared" si="64"/>
        <v>4.0392916134926189</v>
      </c>
      <c r="AC94">
        <f t="shared" si="65"/>
        <v>0.46344759901634192</v>
      </c>
    </row>
    <row r="95" spans="1:29" hidden="1">
      <c r="A95">
        <v>15</v>
      </c>
      <c r="B95">
        <v>3</v>
      </c>
      <c r="C95">
        <v>12</v>
      </c>
      <c r="D95">
        <f t="shared" si="45"/>
        <v>750</v>
      </c>
      <c r="E95">
        <f t="shared" si="46"/>
        <v>210</v>
      </c>
      <c r="F95">
        <f t="shared" si="47"/>
        <v>35.1</v>
      </c>
      <c r="G95">
        <f t="shared" si="48"/>
        <v>1.5420000000000003</v>
      </c>
      <c r="H95">
        <f t="shared" si="49"/>
        <v>158.76</v>
      </c>
      <c r="I95">
        <f t="shared" si="50"/>
        <v>756</v>
      </c>
      <c r="K95">
        <f t="shared" si="51"/>
        <v>513</v>
      </c>
      <c r="L95">
        <f t="shared" si="52"/>
        <v>107.73</v>
      </c>
      <c r="M95">
        <f t="shared" si="53"/>
        <v>11.34</v>
      </c>
      <c r="O95">
        <f t="shared" si="54"/>
        <v>11.34</v>
      </c>
      <c r="P95">
        <f t="shared" si="55"/>
        <v>11.079180000000001</v>
      </c>
      <c r="R95">
        <f t="shared" si="66"/>
        <v>8.880892193308549</v>
      </c>
      <c r="S95">
        <f t="shared" si="56"/>
        <v>3.4017278617710578</v>
      </c>
      <c r="T95">
        <f t="shared" si="57"/>
        <v>63</v>
      </c>
      <c r="U95">
        <f t="shared" si="58"/>
        <v>540</v>
      </c>
      <c r="V95">
        <f t="shared" si="59"/>
        <v>189.17999999999995</v>
      </c>
      <c r="W95">
        <f t="shared" si="60"/>
        <v>323.82000000000005</v>
      </c>
      <c r="X95">
        <f>I95*E95/'[1]Inverter Analysis'!$L$2</f>
        <v>380.43716712884788</v>
      </c>
      <c r="Y95">
        <f t="shared" si="61"/>
        <v>155.94541910331384</v>
      </c>
      <c r="Z95">
        <f t="shared" si="62"/>
        <v>422.87768263029932</v>
      </c>
      <c r="AA95">
        <f t="shared" si="63"/>
        <v>105.82010582010582</v>
      </c>
      <c r="AB95">
        <f t="shared" si="64"/>
        <v>4.5958162357960441</v>
      </c>
      <c r="AC95">
        <f t="shared" si="65"/>
        <v>0.38186905436527208</v>
      </c>
    </row>
    <row r="96" spans="1:29" hidden="1">
      <c r="A96">
        <v>16</v>
      </c>
      <c r="B96">
        <v>3</v>
      </c>
      <c r="C96" s="9">
        <v>11</v>
      </c>
      <c r="D96">
        <f t="shared" si="45"/>
        <v>750</v>
      </c>
      <c r="E96">
        <f t="shared" si="46"/>
        <v>210</v>
      </c>
      <c r="F96">
        <f t="shared" si="47"/>
        <v>34.32</v>
      </c>
      <c r="G96">
        <f t="shared" si="48"/>
        <v>1.5077333333333336</v>
      </c>
      <c r="H96">
        <f t="shared" si="49"/>
        <v>155.232</v>
      </c>
      <c r="I96">
        <f t="shared" si="50"/>
        <v>739.2</v>
      </c>
      <c r="K96">
        <f t="shared" si="51"/>
        <v>501.6</v>
      </c>
      <c r="L96">
        <f t="shared" si="52"/>
        <v>105.336</v>
      </c>
      <c r="M96">
        <f t="shared" si="53"/>
        <v>11.087999999999999</v>
      </c>
      <c r="O96">
        <f t="shared" si="54"/>
        <v>11.087999999999999</v>
      </c>
      <c r="P96">
        <f t="shared" si="55"/>
        <v>10.832976</v>
      </c>
      <c r="R96">
        <f t="shared" si="66"/>
        <v>8.6835390334572473</v>
      </c>
      <c r="S96">
        <f t="shared" si="56"/>
        <v>3.6285097192224622</v>
      </c>
      <c r="T96">
        <f t="shared" si="57"/>
        <v>67.2</v>
      </c>
      <c r="U96">
        <f t="shared" si="58"/>
        <v>528</v>
      </c>
      <c r="V96">
        <f t="shared" si="59"/>
        <v>184.97599999999994</v>
      </c>
      <c r="W96">
        <f t="shared" si="60"/>
        <v>316.62400000000008</v>
      </c>
      <c r="X96">
        <f>I96*E96/'[1]Inverter Analysis'!$L$2</f>
        <v>371.98300785931792</v>
      </c>
      <c r="Y96">
        <f t="shared" si="61"/>
        <v>159.48963317384369</v>
      </c>
      <c r="Z96">
        <f t="shared" si="62"/>
        <v>432.48853905371521</v>
      </c>
      <c r="AA96">
        <f t="shared" si="63"/>
        <v>108.22510822510822</v>
      </c>
      <c r="AB96">
        <f t="shared" si="64"/>
        <v>4.8070908458093955</v>
      </c>
      <c r="AC96">
        <f t="shared" si="65"/>
        <v>0.35697265873307371</v>
      </c>
    </row>
    <row r="97" spans="1:29" hidden="1">
      <c r="A97">
        <v>14</v>
      </c>
      <c r="B97">
        <v>3</v>
      </c>
      <c r="C97">
        <v>12</v>
      </c>
      <c r="D97">
        <f t="shared" si="45"/>
        <v>750</v>
      </c>
      <c r="E97">
        <f t="shared" si="46"/>
        <v>210</v>
      </c>
      <c r="F97">
        <f t="shared" si="47"/>
        <v>32.76</v>
      </c>
      <c r="G97">
        <f t="shared" si="48"/>
        <v>1.4392000000000005</v>
      </c>
      <c r="H97">
        <f t="shared" si="49"/>
        <v>148.17599999999999</v>
      </c>
      <c r="I97">
        <f t="shared" si="50"/>
        <v>705.6</v>
      </c>
      <c r="K97">
        <f t="shared" si="51"/>
        <v>478.8</v>
      </c>
      <c r="L97">
        <f t="shared" si="52"/>
        <v>100.548</v>
      </c>
      <c r="M97">
        <f t="shared" si="53"/>
        <v>10.584</v>
      </c>
      <c r="O97">
        <f t="shared" si="54"/>
        <v>10.584</v>
      </c>
      <c r="P97">
        <f t="shared" si="55"/>
        <v>10.340567999999999</v>
      </c>
      <c r="R97">
        <f t="shared" si="66"/>
        <v>8.2888327137546458</v>
      </c>
      <c r="S97">
        <f t="shared" si="56"/>
        <v>3.1749460043196542</v>
      </c>
      <c r="T97">
        <f t="shared" si="57"/>
        <v>58.800000000000004</v>
      </c>
      <c r="U97">
        <f t="shared" si="58"/>
        <v>504</v>
      </c>
      <c r="V97">
        <f t="shared" si="59"/>
        <v>176.56799999999993</v>
      </c>
      <c r="W97">
        <f t="shared" si="60"/>
        <v>302.23200000000008</v>
      </c>
      <c r="X97">
        <f>I97*E97/'[1]Inverter Analysis'!$L$2</f>
        <v>355.07468932025802</v>
      </c>
      <c r="Y97">
        <f t="shared" si="61"/>
        <v>167.08437761069339</v>
      </c>
      <c r="Z97">
        <f t="shared" si="62"/>
        <v>453.08323138960645</v>
      </c>
      <c r="AA97">
        <f t="shared" si="63"/>
        <v>113.37868480725623</v>
      </c>
      <c r="AB97">
        <f t="shared" si="64"/>
        <v>5.275809454357705</v>
      </c>
      <c r="AC97">
        <f t="shared" si="65"/>
        <v>0.31047368449727597</v>
      </c>
    </row>
    <row r="98" spans="1:29" hidden="1">
      <c r="A98">
        <v>15</v>
      </c>
      <c r="B98">
        <v>3</v>
      </c>
      <c r="C98" s="9">
        <v>11</v>
      </c>
      <c r="D98">
        <f t="shared" si="45"/>
        <v>750</v>
      </c>
      <c r="E98">
        <f t="shared" si="46"/>
        <v>210</v>
      </c>
      <c r="F98">
        <f t="shared" si="47"/>
        <v>32.174999999999997</v>
      </c>
      <c r="G98">
        <f t="shared" si="48"/>
        <v>1.4135000000000004</v>
      </c>
      <c r="H98">
        <f t="shared" si="49"/>
        <v>145.53</v>
      </c>
      <c r="I98">
        <f t="shared" si="50"/>
        <v>693</v>
      </c>
      <c r="K98">
        <f t="shared" si="51"/>
        <v>470.25</v>
      </c>
      <c r="L98">
        <f t="shared" si="52"/>
        <v>98.752499999999998</v>
      </c>
      <c r="M98">
        <f t="shared" si="53"/>
        <v>10.395</v>
      </c>
      <c r="O98">
        <f t="shared" si="54"/>
        <v>10.395</v>
      </c>
      <c r="P98">
        <f t="shared" si="55"/>
        <v>10.155914999999998</v>
      </c>
      <c r="R98">
        <f t="shared" si="66"/>
        <v>8.14081784386617</v>
      </c>
      <c r="S98">
        <f t="shared" si="56"/>
        <v>3.4017278617710578</v>
      </c>
      <c r="T98">
        <f t="shared" si="57"/>
        <v>63</v>
      </c>
      <c r="U98">
        <f t="shared" si="58"/>
        <v>495</v>
      </c>
      <c r="V98">
        <f t="shared" si="59"/>
        <v>173.41499999999991</v>
      </c>
      <c r="W98">
        <f t="shared" si="60"/>
        <v>296.83500000000009</v>
      </c>
      <c r="X98">
        <f>I98*E98/'[1]Inverter Analysis'!$L$2</f>
        <v>348.73406986811051</v>
      </c>
      <c r="Y98">
        <f t="shared" si="61"/>
        <v>170.12227538543328</v>
      </c>
      <c r="Z98">
        <f t="shared" si="62"/>
        <v>461.32110832396302</v>
      </c>
      <c r="AA98">
        <f t="shared" si="63"/>
        <v>115.44011544011543</v>
      </c>
      <c r="AB98">
        <f t="shared" si="64"/>
        <v>5.4694011401209153</v>
      </c>
      <c r="AC98">
        <f t="shared" si="65"/>
        <v>0.29413640703713945</v>
      </c>
    </row>
    <row r="99" spans="1:29" hidden="1">
      <c r="A99">
        <v>16</v>
      </c>
      <c r="B99">
        <v>3</v>
      </c>
      <c r="C99" s="9">
        <v>10</v>
      </c>
      <c r="D99">
        <f t="shared" si="45"/>
        <v>750</v>
      </c>
      <c r="E99">
        <f t="shared" si="46"/>
        <v>210</v>
      </c>
      <c r="F99">
        <f t="shared" si="47"/>
        <v>31.2</v>
      </c>
      <c r="G99">
        <f t="shared" si="48"/>
        <v>1.3706666666666669</v>
      </c>
      <c r="H99">
        <f t="shared" si="49"/>
        <v>141.12</v>
      </c>
      <c r="I99">
        <f t="shared" si="50"/>
        <v>672</v>
      </c>
      <c r="K99">
        <f t="shared" si="51"/>
        <v>456</v>
      </c>
      <c r="L99">
        <f t="shared" si="52"/>
        <v>95.76</v>
      </c>
      <c r="M99">
        <f t="shared" si="53"/>
        <v>10.08</v>
      </c>
      <c r="O99">
        <f t="shared" si="54"/>
        <v>10.08</v>
      </c>
      <c r="P99">
        <f t="shared" si="55"/>
        <v>9.84816</v>
      </c>
      <c r="R99">
        <f t="shared" si="66"/>
        <v>7.8941263940520443</v>
      </c>
      <c r="S99">
        <f t="shared" si="56"/>
        <v>3.6285097192224618</v>
      </c>
      <c r="T99">
        <f t="shared" si="57"/>
        <v>67.2</v>
      </c>
      <c r="U99">
        <f t="shared" si="58"/>
        <v>480</v>
      </c>
      <c r="V99">
        <f t="shared" si="59"/>
        <v>168.15999999999997</v>
      </c>
      <c r="W99">
        <f t="shared" si="60"/>
        <v>287.84000000000003</v>
      </c>
      <c r="X99">
        <f>I99*E99/'[1]Inverter Analysis'!$L$2</f>
        <v>338.16637078119811</v>
      </c>
      <c r="Y99">
        <f t="shared" si="61"/>
        <v>175.43859649122808</v>
      </c>
      <c r="Z99">
        <f t="shared" si="62"/>
        <v>475.73739295908666</v>
      </c>
      <c r="AA99">
        <f t="shared" si="63"/>
        <v>119.04761904761905</v>
      </c>
      <c r="AB99">
        <f t="shared" si="64"/>
        <v>5.8165799234293676</v>
      </c>
      <c r="AC99">
        <f t="shared" si="65"/>
        <v>0.26819884202334621</v>
      </c>
    </row>
    <row r="100" spans="1:29" hidden="1">
      <c r="A100">
        <v>16</v>
      </c>
      <c r="B100">
        <v>3</v>
      </c>
      <c r="C100" s="9">
        <v>9</v>
      </c>
      <c r="D100">
        <f t="shared" si="45"/>
        <v>750</v>
      </c>
      <c r="E100">
        <f t="shared" si="46"/>
        <v>210</v>
      </c>
      <c r="F100">
        <f t="shared" si="47"/>
        <v>28.08</v>
      </c>
      <c r="G100">
        <f t="shared" si="48"/>
        <v>1.2336000000000003</v>
      </c>
      <c r="H100">
        <f t="shared" si="49"/>
        <v>127.00800000000001</v>
      </c>
      <c r="I100">
        <f t="shared" si="50"/>
        <v>604.80000000000007</v>
      </c>
      <c r="K100">
        <f t="shared" si="51"/>
        <v>410.40000000000003</v>
      </c>
      <c r="L100">
        <f t="shared" si="52"/>
        <v>86.183999999999997</v>
      </c>
      <c r="M100">
        <f t="shared" si="53"/>
        <v>9.072000000000001</v>
      </c>
      <c r="O100">
        <f t="shared" si="54"/>
        <v>9.072000000000001</v>
      </c>
      <c r="P100">
        <f t="shared" si="55"/>
        <v>8.8633440000000014</v>
      </c>
      <c r="R100">
        <f>M100*(($M$3-$L$3)/($M$3-$O$3))</f>
        <v>7.1047137546468404</v>
      </c>
      <c r="S100">
        <f t="shared" si="56"/>
        <v>3.6285097192224622</v>
      </c>
      <c r="T100">
        <f t="shared" si="57"/>
        <v>67.2</v>
      </c>
      <c r="U100">
        <f t="shared" si="58"/>
        <v>432</v>
      </c>
      <c r="V100">
        <f t="shared" si="59"/>
        <v>151.34399999999999</v>
      </c>
      <c r="W100">
        <f t="shared" si="60"/>
        <v>259.05600000000004</v>
      </c>
      <c r="X100">
        <f>I100*E100/'[1]Inverter Analysis'!$L$2</f>
        <v>304.3497337030783</v>
      </c>
      <c r="Y100">
        <f t="shared" si="61"/>
        <v>194.93177387914227</v>
      </c>
      <c r="Z100">
        <f t="shared" si="62"/>
        <v>528.59710328787401</v>
      </c>
      <c r="AA100">
        <f t="shared" si="63"/>
        <v>132.27513227513225</v>
      </c>
      <c r="AB100">
        <f t="shared" si="64"/>
        <v>7.1809628684313145</v>
      </c>
      <c r="AC100">
        <f t="shared" si="65"/>
        <v>0.19551695583501943</v>
      </c>
    </row>
    <row r="101" spans="1:29" hidden="1">
      <c r="A101">
        <v>13</v>
      </c>
      <c r="B101">
        <v>3</v>
      </c>
      <c r="C101">
        <v>12</v>
      </c>
      <c r="D101">
        <f t="shared" si="45"/>
        <v>750</v>
      </c>
      <c r="E101">
        <f t="shared" si="46"/>
        <v>210</v>
      </c>
      <c r="F101">
        <f t="shared" si="47"/>
        <v>30.42</v>
      </c>
      <c r="G101">
        <f t="shared" si="48"/>
        <v>1.3364000000000003</v>
      </c>
      <c r="H101">
        <f t="shared" si="49"/>
        <v>137.59200000000001</v>
      </c>
      <c r="I101">
        <f t="shared" si="50"/>
        <v>655.20000000000005</v>
      </c>
      <c r="K101">
        <f t="shared" si="51"/>
        <v>444.6</v>
      </c>
      <c r="L101">
        <f t="shared" si="52"/>
        <v>93.366</v>
      </c>
      <c r="M101">
        <f t="shared" si="53"/>
        <v>9.8279999999999994</v>
      </c>
      <c r="O101">
        <f t="shared" si="54"/>
        <v>9.8279999999999994</v>
      </c>
      <c r="P101">
        <f t="shared" si="55"/>
        <v>9.6019559999999995</v>
      </c>
      <c r="R101">
        <f>O101*(($M$3-$L$3)/($M$3-$O$3))</f>
        <v>7.6967732342007427</v>
      </c>
      <c r="S101">
        <f t="shared" si="56"/>
        <v>2.9481641468682507</v>
      </c>
      <c r="T101">
        <f t="shared" si="57"/>
        <v>54.6</v>
      </c>
      <c r="U101">
        <f t="shared" si="58"/>
        <v>468</v>
      </c>
      <c r="V101">
        <f t="shared" si="59"/>
        <v>163.95599999999996</v>
      </c>
      <c r="W101">
        <f t="shared" si="60"/>
        <v>280.64400000000006</v>
      </c>
      <c r="X101">
        <f>I101*E101/'[1]Inverter Analysis'!$L$2</f>
        <v>329.71221151166816</v>
      </c>
      <c r="Y101">
        <f t="shared" si="61"/>
        <v>179.93702204228518</v>
      </c>
      <c r="Z101">
        <f t="shared" si="62"/>
        <v>487.93578765034533</v>
      </c>
      <c r="AA101">
        <f t="shared" si="63"/>
        <v>122.10012210012209</v>
      </c>
      <c r="AB101">
        <f t="shared" si="64"/>
        <v>6.1186902547580466</v>
      </c>
      <c r="AC101">
        <f t="shared" si="65"/>
        <v>0.2485826110934824</v>
      </c>
    </row>
    <row r="102" spans="1:29" hidden="1">
      <c r="A102">
        <v>16</v>
      </c>
      <c r="B102">
        <v>2</v>
      </c>
      <c r="C102">
        <v>12</v>
      </c>
      <c r="D102">
        <f t="shared" ref="D102:D132" si="67">B102*$K$3</f>
        <v>500</v>
      </c>
      <c r="E102">
        <f t="shared" ref="E102:E132" si="68">B102*$I$3</f>
        <v>140</v>
      </c>
      <c r="F102">
        <f t="shared" ref="F102:F132" si="69">A102*B102*C102*$T$3/1000</f>
        <v>24.96</v>
      </c>
      <c r="G102">
        <f t="shared" ref="G102:G132" si="70">((B102*$U$3^(-1))^(-1))*A102*C102</f>
        <v>2.4672000000000001</v>
      </c>
      <c r="H102">
        <f t="shared" ref="H102:H132" si="71">E102*I102/1000</f>
        <v>112.89600000000002</v>
      </c>
      <c r="I102">
        <f t="shared" ref="I102:I132" si="72">A102*C102*4.2</f>
        <v>806.40000000000009</v>
      </c>
      <c r="K102">
        <f t="shared" ref="K102:K132" si="73">C102*A102*$L$3</f>
        <v>547.20000000000005</v>
      </c>
      <c r="L102">
        <f t="shared" ref="L102:L132" si="74">E102*K102/1000</f>
        <v>76.608000000000004</v>
      </c>
      <c r="M102">
        <f t="shared" ref="M102:M132" si="75">$P$3/1000*I102*B102/1000</f>
        <v>8.0640000000000001</v>
      </c>
      <c r="O102">
        <f t="shared" ref="O102:O132" si="76">$R$3/1000*I102*B102/1000</f>
        <v>8.0640000000000001</v>
      </c>
      <c r="P102">
        <f t="shared" ref="P102:P132" si="77">$S$3/1000*I102*B102/1000</f>
        <v>7.8785280000000002</v>
      </c>
      <c r="R102">
        <f>M102*(($M$3-$L$3)/($M$3-$O$3))</f>
        <v>6.3153011152416347</v>
      </c>
      <c r="S102">
        <f t="shared" ref="S102:S132" si="78">$H$3/1000*B102*I102/277.8/C102</f>
        <v>2.4190064794816419</v>
      </c>
      <c r="T102">
        <f t="shared" ref="T102:T132" si="79">I102/C102</f>
        <v>67.2</v>
      </c>
      <c r="U102">
        <f t="shared" ref="U102:U132" si="80">(A102*B102*C102)</f>
        <v>384</v>
      </c>
      <c r="V102">
        <f t="shared" ref="V102:V132" si="81">K102-(G102*E102)</f>
        <v>201.79200000000003</v>
      </c>
      <c r="W102">
        <f t="shared" ref="W102:W132" si="82">G102*E102</f>
        <v>345.40800000000002</v>
      </c>
      <c r="X102">
        <f>I102*E102/'[1]Inverter Analysis'!$L$2</f>
        <v>270.53309662495849</v>
      </c>
      <c r="Y102">
        <f t="shared" ref="Y102:Y132" si="83">80000/K102</f>
        <v>146.1988304093567</v>
      </c>
      <c r="Z102">
        <f t="shared" ref="Z102:Z132" si="84">80000/V102</f>
        <v>396.44782746590545</v>
      </c>
      <c r="AA102">
        <f t="shared" ref="AA102:AA132" si="85">80000/I102</f>
        <v>99.206349206349202</v>
      </c>
      <c r="AB102">
        <f t="shared" ref="AB102:AB132" si="86">(MAX(Y102:AA102)^2)*$U$3/1000</f>
        <v>4.0392916134926145</v>
      </c>
      <c r="AC102">
        <f t="shared" ref="AC102:AC132" si="87">($V$3*F102/(AB102*1000))*10</f>
        <v>0.30896506601089496</v>
      </c>
    </row>
    <row r="103" spans="1:29" hidden="1">
      <c r="A103">
        <v>14</v>
      </c>
      <c r="B103">
        <v>3</v>
      </c>
      <c r="C103" s="9">
        <v>11</v>
      </c>
      <c r="D103">
        <f t="shared" si="67"/>
        <v>750</v>
      </c>
      <c r="E103">
        <f t="shared" si="68"/>
        <v>210</v>
      </c>
      <c r="F103">
        <f t="shared" si="69"/>
        <v>30.03</v>
      </c>
      <c r="G103">
        <f t="shared" si="70"/>
        <v>1.319266666666667</v>
      </c>
      <c r="H103">
        <f t="shared" si="71"/>
        <v>135.828</v>
      </c>
      <c r="I103">
        <f t="shared" si="72"/>
        <v>646.80000000000007</v>
      </c>
      <c r="K103">
        <f t="shared" si="73"/>
        <v>438.90000000000003</v>
      </c>
      <c r="L103">
        <f t="shared" si="74"/>
        <v>92.168999999999997</v>
      </c>
      <c r="M103">
        <f t="shared" si="75"/>
        <v>9.7020000000000017</v>
      </c>
      <c r="O103">
        <f t="shared" si="76"/>
        <v>9.7020000000000017</v>
      </c>
      <c r="P103">
        <f t="shared" si="77"/>
        <v>9.4788540000000019</v>
      </c>
      <c r="R103">
        <f>O103*(($M$3-$L$3)/($M$3-$O$3))</f>
        <v>7.5980966542750936</v>
      </c>
      <c r="S103">
        <f t="shared" si="78"/>
        <v>3.1749460043196551</v>
      </c>
      <c r="T103">
        <f t="shared" si="79"/>
        <v>58.800000000000004</v>
      </c>
      <c r="U103">
        <f t="shared" si="80"/>
        <v>462</v>
      </c>
      <c r="V103">
        <f t="shared" si="81"/>
        <v>161.85399999999998</v>
      </c>
      <c r="W103">
        <f t="shared" si="82"/>
        <v>277.04600000000005</v>
      </c>
      <c r="X103">
        <f>I103*E103/'[1]Inverter Analysis'!$L$2</f>
        <v>325.48513187690315</v>
      </c>
      <c r="Y103">
        <f t="shared" si="83"/>
        <v>182.27386648439278</v>
      </c>
      <c r="Z103">
        <f t="shared" si="84"/>
        <v>494.2726160613887</v>
      </c>
      <c r="AA103">
        <f t="shared" si="85"/>
        <v>123.68583797155225</v>
      </c>
      <c r="AB103">
        <f t="shared" si="86"/>
        <v>6.2786492679959425</v>
      </c>
      <c r="AC103">
        <f t="shared" si="87"/>
        <v>0.23914379286219595</v>
      </c>
    </row>
    <row r="104" spans="1:29" hidden="1">
      <c r="A104">
        <v>15</v>
      </c>
      <c r="B104">
        <v>2</v>
      </c>
      <c r="C104">
        <v>12</v>
      </c>
      <c r="D104">
        <f t="shared" si="67"/>
        <v>500</v>
      </c>
      <c r="E104">
        <f t="shared" si="68"/>
        <v>140</v>
      </c>
      <c r="F104">
        <f t="shared" si="69"/>
        <v>23.4</v>
      </c>
      <c r="G104">
        <f t="shared" si="70"/>
        <v>2.3130000000000002</v>
      </c>
      <c r="H104">
        <f t="shared" si="71"/>
        <v>105.84</v>
      </c>
      <c r="I104">
        <f t="shared" si="72"/>
        <v>756</v>
      </c>
      <c r="K104">
        <f t="shared" si="73"/>
        <v>513</v>
      </c>
      <c r="L104">
        <f t="shared" si="74"/>
        <v>71.819999999999993</v>
      </c>
      <c r="M104">
        <f t="shared" si="75"/>
        <v>7.56</v>
      </c>
      <c r="O104">
        <f t="shared" si="76"/>
        <v>7.56</v>
      </c>
      <c r="P104">
        <f t="shared" si="77"/>
        <v>7.38612</v>
      </c>
      <c r="R104">
        <f>M104*(($M$3-$L$3)/($M$3-$O$3))</f>
        <v>5.9205947955390323</v>
      </c>
      <c r="S104">
        <f t="shared" si="78"/>
        <v>2.2678185745140387</v>
      </c>
      <c r="T104">
        <f t="shared" si="79"/>
        <v>63</v>
      </c>
      <c r="U104">
        <f t="shared" si="80"/>
        <v>360</v>
      </c>
      <c r="V104">
        <f t="shared" si="81"/>
        <v>189.17999999999995</v>
      </c>
      <c r="W104">
        <f t="shared" si="82"/>
        <v>323.82000000000005</v>
      </c>
      <c r="X104">
        <f>I104*E104/'[1]Inverter Analysis'!$L$2</f>
        <v>253.62477808589858</v>
      </c>
      <c r="Y104">
        <f t="shared" si="83"/>
        <v>155.94541910331384</v>
      </c>
      <c r="Z104">
        <f t="shared" si="84"/>
        <v>422.87768263029932</v>
      </c>
      <c r="AA104">
        <f t="shared" si="85"/>
        <v>105.82010582010582</v>
      </c>
      <c r="AB104">
        <f t="shared" si="86"/>
        <v>4.5958162357960441</v>
      </c>
      <c r="AC104">
        <f t="shared" si="87"/>
        <v>0.25457936957684807</v>
      </c>
    </row>
    <row r="105" spans="1:29" hidden="1">
      <c r="A105">
        <v>15</v>
      </c>
      <c r="B105">
        <v>3</v>
      </c>
      <c r="C105" s="9">
        <v>10</v>
      </c>
      <c r="D105">
        <f t="shared" si="67"/>
        <v>750</v>
      </c>
      <c r="E105">
        <f t="shared" si="68"/>
        <v>210</v>
      </c>
      <c r="F105">
        <f t="shared" si="69"/>
        <v>29.25</v>
      </c>
      <c r="G105">
        <f t="shared" si="70"/>
        <v>1.2850000000000004</v>
      </c>
      <c r="H105">
        <f t="shared" si="71"/>
        <v>132.30000000000001</v>
      </c>
      <c r="I105">
        <f t="shared" si="72"/>
        <v>630</v>
      </c>
      <c r="K105">
        <f t="shared" si="73"/>
        <v>427.5</v>
      </c>
      <c r="L105">
        <f t="shared" si="74"/>
        <v>89.775000000000006</v>
      </c>
      <c r="M105">
        <f t="shared" si="75"/>
        <v>9.4499999999999993</v>
      </c>
      <c r="O105">
        <f t="shared" si="76"/>
        <v>9.4499999999999993</v>
      </c>
      <c r="P105">
        <f t="shared" si="77"/>
        <v>9.2326499999999996</v>
      </c>
      <c r="R105">
        <f>O105*(($M$3-$L$3)/($M$3-$O$3))</f>
        <v>7.4007434944237902</v>
      </c>
      <c r="S105">
        <f t="shared" si="78"/>
        <v>3.4017278617710582</v>
      </c>
      <c r="T105">
        <f t="shared" si="79"/>
        <v>63</v>
      </c>
      <c r="U105">
        <f t="shared" si="80"/>
        <v>450</v>
      </c>
      <c r="V105">
        <f t="shared" si="81"/>
        <v>157.64999999999992</v>
      </c>
      <c r="W105">
        <f t="shared" si="82"/>
        <v>269.85000000000008</v>
      </c>
      <c r="X105">
        <f>I105*E105/'[1]Inverter Analysis'!$L$2</f>
        <v>317.0309726073732</v>
      </c>
      <c r="Y105">
        <f t="shared" si="83"/>
        <v>187.13450292397661</v>
      </c>
      <c r="Z105">
        <f t="shared" si="84"/>
        <v>507.4532191563593</v>
      </c>
      <c r="AA105">
        <f t="shared" si="85"/>
        <v>126.98412698412699</v>
      </c>
      <c r="AB105">
        <f t="shared" si="86"/>
        <v>6.6179753795463077</v>
      </c>
      <c r="AC105">
        <f t="shared" si="87"/>
        <v>0.22098903609101384</v>
      </c>
    </row>
    <row r="106" spans="1:29" hidden="1">
      <c r="A106" s="8">
        <v>15</v>
      </c>
      <c r="B106" s="9">
        <v>4</v>
      </c>
      <c r="C106" s="9">
        <v>6</v>
      </c>
      <c r="D106">
        <f t="shared" si="67"/>
        <v>1000</v>
      </c>
      <c r="E106">
        <f t="shared" si="68"/>
        <v>280</v>
      </c>
      <c r="F106">
        <f t="shared" si="69"/>
        <v>23.4</v>
      </c>
      <c r="G106">
        <f t="shared" si="70"/>
        <v>0.57825000000000004</v>
      </c>
      <c r="H106">
        <f t="shared" si="71"/>
        <v>105.84</v>
      </c>
      <c r="I106">
        <f t="shared" si="72"/>
        <v>378</v>
      </c>
      <c r="K106">
        <f t="shared" si="73"/>
        <v>256.5</v>
      </c>
      <c r="L106">
        <f t="shared" si="74"/>
        <v>71.819999999999993</v>
      </c>
      <c r="M106">
        <f t="shared" si="75"/>
        <v>7.56</v>
      </c>
      <c r="O106">
        <f t="shared" si="76"/>
        <v>7.56</v>
      </c>
      <c r="P106">
        <f t="shared" si="77"/>
        <v>7.38612</v>
      </c>
      <c r="R106">
        <f>M106*(($M$3-$L$3)/($M$3-$O$3))</f>
        <v>5.9205947955390323</v>
      </c>
      <c r="S106">
        <f t="shared" si="78"/>
        <v>4.5356371490280774</v>
      </c>
      <c r="T106">
        <f t="shared" si="79"/>
        <v>63</v>
      </c>
      <c r="U106">
        <f t="shared" si="80"/>
        <v>360</v>
      </c>
      <c r="V106">
        <f t="shared" si="81"/>
        <v>94.589999999999975</v>
      </c>
      <c r="W106">
        <f t="shared" si="82"/>
        <v>161.91000000000003</v>
      </c>
      <c r="X106">
        <f>I106*E106/'[1]Inverter Analysis'!$L$2</f>
        <v>253.62477808589858</v>
      </c>
      <c r="Y106">
        <f t="shared" si="83"/>
        <v>311.89083820662768</v>
      </c>
      <c r="Z106">
        <f t="shared" si="84"/>
        <v>845.75536526059864</v>
      </c>
      <c r="AA106">
        <f t="shared" si="85"/>
        <v>211.64021164021165</v>
      </c>
      <c r="AB106">
        <f t="shared" si="86"/>
        <v>18.383264943184177</v>
      </c>
      <c r="AC106">
        <f t="shared" si="87"/>
        <v>6.3644842394212017E-2</v>
      </c>
    </row>
    <row r="107" spans="1:29" hidden="1">
      <c r="A107">
        <v>16</v>
      </c>
      <c r="B107">
        <v>2</v>
      </c>
      <c r="C107" s="9">
        <v>11</v>
      </c>
      <c r="D107">
        <f t="shared" si="67"/>
        <v>500</v>
      </c>
      <c r="E107">
        <f t="shared" si="68"/>
        <v>140</v>
      </c>
      <c r="F107">
        <f t="shared" si="69"/>
        <v>22.88</v>
      </c>
      <c r="G107">
        <f t="shared" si="70"/>
        <v>2.2616000000000001</v>
      </c>
      <c r="H107">
        <f t="shared" si="71"/>
        <v>103.488</v>
      </c>
      <c r="I107">
        <f t="shared" si="72"/>
        <v>739.2</v>
      </c>
      <c r="K107">
        <f t="shared" si="73"/>
        <v>501.6</v>
      </c>
      <c r="L107">
        <f t="shared" si="74"/>
        <v>70.224000000000004</v>
      </c>
      <c r="M107">
        <f t="shared" si="75"/>
        <v>7.3920000000000003</v>
      </c>
      <c r="O107">
        <f t="shared" si="76"/>
        <v>7.3920000000000003</v>
      </c>
      <c r="P107">
        <f t="shared" si="77"/>
        <v>7.221984</v>
      </c>
      <c r="R107">
        <f>M107*(($M$3-$L$3)/($M$3-$O$3))</f>
        <v>5.7890260223048324</v>
      </c>
      <c r="S107">
        <f t="shared" si="78"/>
        <v>2.4190064794816415</v>
      </c>
      <c r="T107">
        <f t="shared" si="79"/>
        <v>67.2</v>
      </c>
      <c r="U107">
        <f t="shared" si="80"/>
        <v>352</v>
      </c>
      <c r="V107">
        <f t="shared" si="81"/>
        <v>184.976</v>
      </c>
      <c r="W107">
        <f t="shared" si="82"/>
        <v>316.62400000000002</v>
      </c>
      <c r="X107">
        <f>I107*E107/'[1]Inverter Analysis'!$L$2</f>
        <v>247.98867190621195</v>
      </c>
      <c r="Y107">
        <f t="shared" si="83"/>
        <v>159.48963317384369</v>
      </c>
      <c r="Z107">
        <f t="shared" si="84"/>
        <v>432.4885390537151</v>
      </c>
      <c r="AA107">
        <f t="shared" si="85"/>
        <v>108.22510822510822</v>
      </c>
      <c r="AB107">
        <f t="shared" si="86"/>
        <v>4.8070908458093937</v>
      </c>
      <c r="AC107">
        <f t="shared" si="87"/>
        <v>0.23798177248871588</v>
      </c>
    </row>
    <row r="108" spans="1:29">
      <c r="A108">
        <v>13</v>
      </c>
      <c r="B108">
        <v>4</v>
      </c>
      <c r="C108" s="9">
        <v>7</v>
      </c>
      <c r="D108">
        <f t="shared" si="67"/>
        <v>1000</v>
      </c>
      <c r="E108">
        <f t="shared" si="68"/>
        <v>280</v>
      </c>
      <c r="F108">
        <f t="shared" si="69"/>
        <v>23.66</v>
      </c>
      <c r="G108">
        <f>((B108*$U$3^(-1))^(-1))*A108*C108</f>
        <v>0.58467500000000006</v>
      </c>
      <c r="H108">
        <f t="shared" si="71"/>
        <v>107.01600000000001</v>
      </c>
      <c r="I108">
        <f t="shared" si="72"/>
        <v>382.2</v>
      </c>
      <c r="K108">
        <f t="shared" si="73"/>
        <v>259.35000000000002</v>
      </c>
      <c r="L108">
        <f>E108*K108/1000</f>
        <v>72.617999999999995</v>
      </c>
      <c r="M108">
        <f t="shared" si="75"/>
        <v>7.6440000000000001</v>
      </c>
      <c r="O108">
        <f t="shared" si="76"/>
        <v>7.6440000000000001</v>
      </c>
      <c r="P108">
        <f t="shared" si="77"/>
        <v>7.4681879999999996</v>
      </c>
      <c r="R108" s="4">
        <f t="shared" ref="R108:R114" si="88">O108*(($M$3-$L$3)/($M$3-$O$3))</f>
        <v>5.9863791821561332</v>
      </c>
      <c r="S108">
        <f t="shared" si="78"/>
        <v>3.930885529157667</v>
      </c>
      <c r="T108">
        <f t="shared" si="79"/>
        <v>54.6</v>
      </c>
      <c r="U108">
        <f t="shared" si="80"/>
        <v>364</v>
      </c>
      <c r="V108">
        <f t="shared" si="81"/>
        <v>95.64100000000002</v>
      </c>
      <c r="W108">
        <f t="shared" si="82"/>
        <v>163.709</v>
      </c>
      <c r="X108">
        <f>I108*E108/'[1]Inverter Analysis'!$L$2</f>
        <v>256.4428311757419</v>
      </c>
      <c r="Y108">
        <f t="shared" si="83"/>
        <v>308.46346635820316</v>
      </c>
      <c r="Z108">
        <f t="shared" si="84"/>
        <v>836.46135025773447</v>
      </c>
      <c r="AA108">
        <f t="shared" si="85"/>
        <v>209.31449502878075</v>
      </c>
      <c r="AB108">
        <f t="shared" si="86"/>
        <v>17.981457075207302</v>
      </c>
      <c r="AC108">
        <f t="shared" si="87"/>
        <v>6.5789996608846102E-2</v>
      </c>
    </row>
    <row r="109" spans="1:29">
      <c r="A109">
        <v>10</v>
      </c>
      <c r="B109">
        <v>4</v>
      </c>
      <c r="C109" s="9">
        <v>9</v>
      </c>
      <c r="D109">
        <f t="shared" si="67"/>
        <v>1000</v>
      </c>
      <c r="E109">
        <f t="shared" si="68"/>
        <v>280</v>
      </c>
      <c r="F109">
        <f t="shared" si="69"/>
        <v>23.4</v>
      </c>
      <c r="G109">
        <f t="shared" si="70"/>
        <v>0.57825000000000004</v>
      </c>
      <c r="H109">
        <f t="shared" si="71"/>
        <v>105.84</v>
      </c>
      <c r="I109">
        <f>A109*C109*4.2</f>
        <v>378</v>
      </c>
      <c r="K109">
        <f>C109*A109*$L$3</f>
        <v>256.5</v>
      </c>
      <c r="L109">
        <f>E109*K109/1000</f>
        <v>71.819999999999993</v>
      </c>
      <c r="M109">
        <f>$P$3/1000*I109*B109/1000</f>
        <v>7.56</v>
      </c>
      <c r="O109">
        <f>$R$3/1000*I109*B109/1000</f>
        <v>7.56</v>
      </c>
      <c r="P109">
        <f>$S$3/1000*I109*B109/1000</f>
        <v>7.38612</v>
      </c>
      <c r="R109" s="4">
        <f>O109*(($M$3-$L$3)/($M$3-$O$3))</f>
        <v>5.9205947955390323</v>
      </c>
      <c r="S109">
        <f t="shared" si="78"/>
        <v>3.0237580993520519</v>
      </c>
      <c r="T109">
        <f t="shared" si="79"/>
        <v>42</v>
      </c>
      <c r="U109">
        <f t="shared" si="80"/>
        <v>360</v>
      </c>
      <c r="V109">
        <f t="shared" si="81"/>
        <v>94.589999999999975</v>
      </c>
      <c r="W109">
        <f t="shared" si="82"/>
        <v>161.91000000000003</v>
      </c>
      <c r="X109">
        <f>I109*E109/'[1]Inverter Analysis'!$L$2</f>
        <v>253.62477808589858</v>
      </c>
      <c r="Y109">
        <f t="shared" si="83"/>
        <v>311.89083820662768</v>
      </c>
      <c r="Z109">
        <f t="shared" si="84"/>
        <v>845.75536526059864</v>
      </c>
      <c r="AA109">
        <f t="shared" si="85"/>
        <v>211.64021164021165</v>
      </c>
      <c r="AB109">
        <f t="shared" si="86"/>
        <v>18.383264943184177</v>
      </c>
      <c r="AC109">
        <f t="shared" si="87"/>
        <v>6.3644842394212017E-2</v>
      </c>
    </row>
    <row r="110" spans="1:29">
      <c r="A110">
        <v>11</v>
      </c>
      <c r="B110">
        <v>4</v>
      </c>
      <c r="C110" s="9">
        <v>8</v>
      </c>
      <c r="D110">
        <f t="shared" si="67"/>
        <v>1000</v>
      </c>
      <c r="E110">
        <f t="shared" si="68"/>
        <v>280</v>
      </c>
      <c r="F110">
        <f t="shared" si="69"/>
        <v>22.88</v>
      </c>
      <c r="G110">
        <f t="shared" si="70"/>
        <v>0.56540000000000001</v>
      </c>
      <c r="H110">
        <f t="shared" si="71"/>
        <v>103.488</v>
      </c>
      <c r="I110">
        <f>A110*C110*4.2</f>
        <v>369.6</v>
      </c>
      <c r="K110">
        <f>C110*A110*$L$3</f>
        <v>250.8</v>
      </c>
      <c r="L110">
        <f>E110*K110/1000</f>
        <v>70.224000000000004</v>
      </c>
      <c r="M110">
        <f>$P$3/1000*I110*B110/1000</f>
        <v>7.3920000000000003</v>
      </c>
      <c r="O110">
        <f>$R$3/1000*I110*B110/1000</f>
        <v>7.3920000000000003</v>
      </c>
      <c r="P110">
        <f>$S$3/1000*I110*B110/1000</f>
        <v>7.221984</v>
      </c>
      <c r="R110" s="4">
        <f>O110*(($M$3-$L$3)/($M$3-$O$3))</f>
        <v>5.7890260223048324</v>
      </c>
      <c r="S110">
        <f t="shared" si="78"/>
        <v>3.3261339092872571</v>
      </c>
      <c r="T110">
        <f t="shared" si="79"/>
        <v>46.2</v>
      </c>
      <c r="U110">
        <f t="shared" si="80"/>
        <v>352</v>
      </c>
      <c r="V110">
        <f t="shared" si="81"/>
        <v>92.488</v>
      </c>
      <c r="W110">
        <f t="shared" si="82"/>
        <v>158.31200000000001</v>
      </c>
      <c r="X110">
        <f>I110*E110/'[1]Inverter Analysis'!$L$2</f>
        <v>247.98867190621195</v>
      </c>
      <c r="Y110">
        <f t="shared" si="83"/>
        <v>318.97926634768737</v>
      </c>
      <c r="Z110">
        <f t="shared" si="84"/>
        <v>864.9770781074302</v>
      </c>
      <c r="AA110">
        <f t="shared" si="85"/>
        <v>216.45021645021643</v>
      </c>
      <c r="AB110">
        <f t="shared" si="86"/>
        <v>19.228363383237575</v>
      </c>
      <c r="AC110">
        <f t="shared" si="87"/>
        <v>5.949544312217897E-2</v>
      </c>
    </row>
    <row r="111" spans="1:29" hidden="1">
      <c r="A111">
        <v>14</v>
      </c>
      <c r="B111">
        <v>2</v>
      </c>
      <c r="C111">
        <v>12</v>
      </c>
      <c r="D111">
        <f t="shared" si="67"/>
        <v>500</v>
      </c>
      <c r="E111">
        <f t="shared" si="68"/>
        <v>140</v>
      </c>
      <c r="F111">
        <f t="shared" si="69"/>
        <v>21.84</v>
      </c>
      <c r="G111">
        <f t="shared" si="70"/>
        <v>2.1588000000000003</v>
      </c>
      <c r="H111">
        <f t="shared" si="71"/>
        <v>98.784000000000006</v>
      </c>
      <c r="I111">
        <f t="shared" si="72"/>
        <v>705.6</v>
      </c>
      <c r="K111">
        <f t="shared" si="73"/>
        <v>478.8</v>
      </c>
      <c r="L111">
        <f t="shared" si="74"/>
        <v>67.031999999999996</v>
      </c>
      <c r="M111">
        <f t="shared" si="75"/>
        <v>7.056</v>
      </c>
      <c r="O111">
        <f t="shared" si="76"/>
        <v>7.056</v>
      </c>
      <c r="P111">
        <f t="shared" si="77"/>
        <v>6.8937119999999998</v>
      </c>
      <c r="R111">
        <f t="shared" si="88"/>
        <v>5.5258884758364308</v>
      </c>
      <c r="S111">
        <f t="shared" si="78"/>
        <v>2.1166306695464363</v>
      </c>
      <c r="T111">
        <f t="shared" si="79"/>
        <v>58.800000000000004</v>
      </c>
      <c r="U111">
        <f t="shared" si="80"/>
        <v>336</v>
      </c>
      <c r="V111">
        <f t="shared" si="81"/>
        <v>176.56799999999998</v>
      </c>
      <c r="W111">
        <f t="shared" si="82"/>
        <v>302.23200000000003</v>
      </c>
      <c r="X111">
        <f>I111*E111/'[1]Inverter Analysis'!$L$2</f>
        <v>236.71645954683868</v>
      </c>
      <c r="Y111">
        <f t="shared" si="83"/>
        <v>167.08437761069339</v>
      </c>
      <c r="Z111">
        <f t="shared" si="84"/>
        <v>453.08323138960634</v>
      </c>
      <c r="AA111">
        <f t="shared" si="85"/>
        <v>113.37868480725623</v>
      </c>
      <c r="AB111">
        <f t="shared" si="86"/>
        <v>5.2758094543577023</v>
      </c>
      <c r="AC111">
        <f t="shared" si="87"/>
        <v>0.20698245633151743</v>
      </c>
    </row>
    <row r="112" spans="1:29">
      <c r="A112">
        <v>12</v>
      </c>
      <c r="B112">
        <v>4</v>
      </c>
      <c r="C112" s="9">
        <v>7</v>
      </c>
      <c r="D112">
        <f t="shared" si="67"/>
        <v>1000</v>
      </c>
      <c r="E112">
        <f t="shared" si="68"/>
        <v>280</v>
      </c>
      <c r="F112">
        <f t="shared" si="69"/>
        <v>21.84</v>
      </c>
      <c r="G112">
        <f t="shared" si="70"/>
        <v>0.53970000000000007</v>
      </c>
      <c r="H112">
        <f t="shared" si="71"/>
        <v>98.784000000000006</v>
      </c>
      <c r="I112">
        <f>A112*C112*4.2</f>
        <v>352.8</v>
      </c>
      <c r="K112">
        <f>C112*A112*$L$3</f>
        <v>239.4</v>
      </c>
      <c r="L112">
        <f>E112*K112/1000</f>
        <v>67.031999999999996</v>
      </c>
      <c r="M112">
        <f>$P$3/1000*I112*B112/1000</f>
        <v>7.056</v>
      </c>
      <c r="O112">
        <f>$R$3/1000*I112*B112/1000</f>
        <v>7.056</v>
      </c>
      <c r="P112">
        <f>$S$3/1000*I112*B112/1000</f>
        <v>6.8937119999999998</v>
      </c>
      <c r="R112" s="4">
        <f>O112*(($M$3-$L$3)/($M$3-$O$3))</f>
        <v>5.5258884758364308</v>
      </c>
      <c r="S112">
        <f t="shared" si="78"/>
        <v>3.6285097192224618</v>
      </c>
      <c r="T112">
        <f t="shared" si="79"/>
        <v>50.4</v>
      </c>
      <c r="U112">
        <f t="shared" si="80"/>
        <v>336</v>
      </c>
      <c r="V112">
        <f t="shared" si="81"/>
        <v>88.283999999999992</v>
      </c>
      <c r="W112">
        <f t="shared" si="82"/>
        <v>151.11600000000001</v>
      </c>
      <c r="X112">
        <f>I112*E112/'[1]Inverter Analysis'!$L$2</f>
        <v>236.71645954683868</v>
      </c>
      <c r="Y112">
        <f t="shared" si="83"/>
        <v>334.16875522138679</v>
      </c>
      <c r="Z112">
        <f t="shared" si="84"/>
        <v>906.16646277921268</v>
      </c>
      <c r="AA112">
        <f t="shared" si="85"/>
        <v>226.75736961451247</v>
      </c>
      <c r="AB112">
        <f t="shared" si="86"/>
        <v>21.103237817430809</v>
      </c>
      <c r="AC112">
        <f t="shared" si="87"/>
        <v>5.1745614082879358E-2</v>
      </c>
    </row>
    <row r="113" spans="1:29" s="15" customFormat="1">
      <c r="A113" s="15">
        <v>14</v>
      </c>
      <c r="B113" s="15">
        <v>4</v>
      </c>
      <c r="C113" s="17">
        <v>6</v>
      </c>
      <c r="D113" s="15">
        <f t="shared" si="67"/>
        <v>1000</v>
      </c>
      <c r="E113" s="15">
        <f t="shared" si="68"/>
        <v>280</v>
      </c>
      <c r="F113" s="15">
        <f t="shared" si="69"/>
        <v>21.84</v>
      </c>
      <c r="G113" s="15">
        <f t="shared" si="70"/>
        <v>0.53970000000000007</v>
      </c>
      <c r="H113" s="15">
        <f t="shared" si="71"/>
        <v>98.784000000000006</v>
      </c>
      <c r="I113">
        <f>A113*C113*4.2</f>
        <v>352.8</v>
      </c>
      <c r="J113"/>
      <c r="K113">
        <f>C113*A113*$L$3</f>
        <v>239.4</v>
      </c>
      <c r="L113">
        <f>E113*K113/1000</f>
        <v>67.031999999999996</v>
      </c>
      <c r="M113">
        <f>$P$3/1000*I113*B113/1000</f>
        <v>7.056</v>
      </c>
      <c r="N113"/>
      <c r="O113">
        <f>$R$3/1000*I113*B113/1000</f>
        <v>7.056</v>
      </c>
      <c r="P113">
        <f>$S$3/1000*I113*B113/1000</f>
        <v>6.8937119999999998</v>
      </c>
      <c r="Q113"/>
      <c r="R113" s="4">
        <f>O113*(($M$3-$L$3)/($M$3-$O$3))</f>
        <v>5.5258884758364308</v>
      </c>
      <c r="S113" s="15">
        <f t="shared" si="78"/>
        <v>4.2332613390928726</v>
      </c>
      <c r="T113" s="15">
        <f t="shared" si="79"/>
        <v>58.800000000000004</v>
      </c>
      <c r="U113" s="15">
        <f t="shared" si="80"/>
        <v>336</v>
      </c>
      <c r="V113" s="15">
        <f t="shared" si="81"/>
        <v>88.283999999999992</v>
      </c>
      <c r="W113" s="15">
        <f t="shared" si="82"/>
        <v>151.11600000000001</v>
      </c>
      <c r="X113" s="15">
        <f>I113*E113/'[1]Inverter Analysis'!$L$2</f>
        <v>236.71645954683868</v>
      </c>
      <c r="Y113" s="15">
        <f t="shared" si="83"/>
        <v>334.16875522138679</v>
      </c>
      <c r="Z113" s="15">
        <f t="shared" si="84"/>
        <v>906.16646277921268</v>
      </c>
      <c r="AA113" s="15">
        <f t="shared" si="85"/>
        <v>226.75736961451247</v>
      </c>
      <c r="AB113" s="15">
        <f t="shared" si="86"/>
        <v>21.103237817430809</v>
      </c>
      <c r="AC113" s="15">
        <f t="shared" si="87"/>
        <v>5.1745614082879358E-2</v>
      </c>
    </row>
    <row r="114" spans="1:29" hidden="1">
      <c r="A114">
        <v>15</v>
      </c>
      <c r="B114">
        <v>2</v>
      </c>
      <c r="C114" s="9">
        <v>11</v>
      </c>
      <c r="D114">
        <f t="shared" si="67"/>
        <v>500</v>
      </c>
      <c r="E114">
        <f t="shared" si="68"/>
        <v>140</v>
      </c>
      <c r="F114">
        <f t="shared" si="69"/>
        <v>21.45</v>
      </c>
      <c r="G114">
        <f t="shared" si="70"/>
        <v>2.12025</v>
      </c>
      <c r="H114">
        <f t="shared" si="71"/>
        <v>97.02</v>
      </c>
      <c r="I114">
        <f t="shared" si="72"/>
        <v>693</v>
      </c>
      <c r="K114">
        <f t="shared" si="73"/>
        <v>470.25</v>
      </c>
      <c r="L114">
        <f t="shared" si="74"/>
        <v>65.834999999999994</v>
      </c>
      <c r="M114">
        <f t="shared" si="75"/>
        <v>6.93</v>
      </c>
      <c r="O114">
        <f t="shared" si="76"/>
        <v>6.93</v>
      </c>
      <c r="P114">
        <f t="shared" si="77"/>
        <v>6.7706099999999996</v>
      </c>
      <c r="R114">
        <f t="shared" si="88"/>
        <v>5.42721189591078</v>
      </c>
      <c r="S114">
        <f t="shared" si="78"/>
        <v>2.2678185745140387</v>
      </c>
      <c r="T114">
        <f t="shared" si="79"/>
        <v>63</v>
      </c>
      <c r="U114">
        <f t="shared" si="80"/>
        <v>330</v>
      </c>
      <c r="V114">
        <f t="shared" si="81"/>
        <v>173.41500000000002</v>
      </c>
      <c r="W114">
        <f t="shared" si="82"/>
        <v>296.83499999999998</v>
      </c>
      <c r="X114">
        <f>I114*E114/'[1]Inverter Analysis'!$L$2</f>
        <v>232.4893799120737</v>
      </c>
      <c r="Y114">
        <f t="shared" si="83"/>
        <v>170.12227538543328</v>
      </c>
      <c r="Z114">
        <f t="shared" si="84"/>
        <v>461.32110832396268</v>
      </c>
      <c r="AA114">
        <f t="shared" si="85"/>
        <v>115.44011544011543</v>
      </c>
      <c r="AB114">
        <f t="shared" si="86"/>
        <v>5.4694011401209073</v>
      </c>
      <c r="AC114">
        <f t="shared" si="87"/>
        <v>0.19609093802475991</v>
      </c>
    </row>
    <row r="115" spans="1:29" hidden="1">
      <c r="A115" s="8">
        <v>16</v>
      </c>
      <c r="B115" s="9">
        <v>4</v>
      </c>
      <c r="C115" s="9">
        <v>5</v>
      </c>
      <c r="D115">
        <f t="shared" si="67"/>
        <v>1000</v>
      </c>
      <c r="E115">
        <f t="shared" si="68"/>
        <v>280</v>
      </c>
      <c r="F115">
        <f t="shared" si="69"/>
        <v>20.8</v>
      </c>
      <c r="G115">
        <f t="shared" si="70"/>
        <v>0.51400000000000001</v>
      </c>
      <c r="H115">
        <f t="shared" si="71"/>
        <v>94.08</v>
      </c>
      <c r="I115">
        <f t="shared" si="72"/>
        <v>336</v>
      </c>
      <c r="K115">
        <f t="shared" si="73"/>
        <v>228</v>
      </c>
      <c r="L115">
        <f t="shared" si="74"/>
        <v>63.84</v>
      </c>
      <c r="M115">
        <f t="shared" si="75"/>
        <v>6.72</v>
      </c>
      <c r="O115">
        <f t="shared" si="76"/>
        <v>6.72</v>
      </c>
      <c r="P115">
        <f t="shared" si="77"/>
        <v>6.5654399999999997</v>
      </c>
      <c r="R115">
        <f>M115*(($M$3-$L$3)/($M$3-$O$3))</f>
        <v>5.2627509293680292</v>
      </c>
      <c r="S115">
        <f t="shared" si="78"/>
        <v>4.838012958963283</v>
      </c>
      <c r="T115">
        <f t="shared" si="79"/>
        <v>67.2</v>
      </c>
      <c r="U115">
        <f t="shared" si="80"/>
        <v>320</v>
      </c>
      <c r="V115">
        <f t="shared" si="81"/>
        <v>84.079999999999984</v>
      </c>
      <c r="W115">
        <f t="shared" si="82"/>
        <v>143.92000000000002</v>
      </c>
      <c r="X115">
        <f>I115*E115/'[1]Inverter Analysis'!$L$2</f>
        <v>225.44424718746541</v>
      </c>
      <c r="Y115">
        <f t="shared" si="83"/>
        <v>350.87719298245617</v>
      </c>
      <c r="Z115">
        <f t="shared" si="84"/>
        <v>951.47478591817332</v>
      </c>
      <c r="AA115">
        <f t="shared" si="85"/>
        <v>238.0952380952381</v>
      </c>
      <c r="AB115">
        <f t="shared" si="86"/>
        <v>23.26631969371747</v>
      </c>
      <c r="AC115">
        <f t="shared" si="87"/>
        <v>4.4699807003891034E-2</v>
      </c>
    </row>
    <row r="116" spans="1:29" hidden="1">
      <c r="A116">
        <v>16</v>
      </c>
      <c r="B116">
        <v>2</v>
      </c>
      <c r="C116" s="9">
        <v>10</v>
      </c>
      <c r="D116">
        <f t="shared" si="67"/>
        <v>500</v>
      </c>
      <c r="E116">
        <f t="shared" si="68"/>
        <v>140</v>
      </c>
      <c r="F116">
        <f t="shared" si="69"/>
        <v>20.8</v>
      </c>
      <c r="G116">
        <f t="shared" si="70"/>
        <v>2.056</v>
      </c>
      <c r="H116">
        <f t="shared" si="71"/>
        <v>94.08</v>
      </c>
      <c r="I116">
        <f t="shared" si="72"/>
        <v>672</v>
      </c>
      <c r="K116">
        <f t="shared" si="73"/>
        <v>456</v>
      </c>
      <c r="L116">
        <f t="shared" si="74"/>
        <v>63.84</v>
      </c>
      <c r="M116">
        <f t="shared" si="75"/>
        <v>6.72</v>
      </c>
      <c r="O116">
        <f t="shared" si="76"/>
        <v>6.72</v>
      </c>
      <c r="P116">
        <f t="shared" si="77"/>
        <v>6.5654399999999997</v>
      </c>
      <c r="R116">
        <f>O116*(($M$3-$L$3)/($M$3-$O$3))</f>
        <v>5.2627509293680292</v>
      </c>
      <c r="S116">
        <f t="shared" si="78"/>
        <v>2.4190064794816415</v>
      </c>
      <c r="T116">
        <f t="shared" si="79"/>
        <v>67.2</v>
      </c>
      <c r="U116">
        <f t="shared" si="80"/>
        <v>320</v>
      </c>
      <c r="V116">
        <f t="shared" si="81"/>
        <v>168.15999999999997</v>
      </c>
      <c r="W116">
        <f t="shared" si="82"/>
        <v>287.84000000000003</v>
      </c>
      <c r="X116">
        <f>I116*E116/'[1]Inverter Analysis'!$L$2</f>
        <v>225.44424718746541</v>
      </c>
      <c r="Y116">
        <f t="shared" si="83"/>
        <v>175.43859649122808</v>
      </c>
      <c r="Z116">
        <f t="shared" si="84"/>
        <v>475.73739295908666</v>
      </c>
      <c r="AA116">
        <f t="shared" si="85"/>
        <v>119.04761904761905</v>
      </c>
      <c r="AB116">
        <f t="shared" si="86"/>
        <v>5.8165799234293676</v>
      </c>
      <c r="AC116">
        <f t="shared" si="87"/>
        <v>0.17879922801556414</v>
      </c>
    </row>
    <row r="117" spans="1:29" hidden="1">
      <c r="A117">
        <v>10</v>
      </c>
      <c r="B117">
        <v>4</v>
      </c>
      <c r="C117" s="9">
        <v>8</v>
      </c>
      <c r="D117">
        <f t="shared" si="67"/>
        <v>1000</v>
      </c>
      <c r="E117">
        <f t="shared" si="68"/>
        <v>280</v>
      </c>
      <c r="F117">
        <f t="shared" si="69"/>
        <v>20.8</v>
      </c>
      <c r="G117">
        <f t="shared" si="70"/>
        <v>0.51400000000000001</v>
      </c>
      <c r="H117">
        <f t="shared" si="71"/>
        <v>94.08</v>
      </c>
      <c r="I117">
        <f t="shared" si="72"/>
        <v>336</v>
      </c>
      <c r="K117">
        <f t="shared" si="73"/>
        <v>228</v>
      </c>
      <c r="L117">
        <f t="shared" si="74"/>
        <v>63.84</v>
      </c>
      <c r="M117">
        <f t="shared" si="75"/>
        <v>6.72</v>
      </c>
      <c r="O117">
        <f t="shared" si="76"/>
        <v>6.72</v>
      </c>
      <c r="P117">
        <f t="shared" si="77"/>
        <v>6.5654399999999997</v>
      </c>
      <c r="R117">
        <f>O117*(($M$3-$L$3)/($M$3-$O$3))</f>
        <v>5.2627509293680292</v>
      </c>
      <c r="S117">
        <f t="shared" si="78"/>
        <v>3.0237580993520519</v>
      </c>
      <c r="T117">
        <f t="shared" si="79"/>
        <v>42</v>
      </c>
      <c r="U117">
        <f t="shared" si="80"/>
        <v>320</v>
      </c>
      <c r="V117">
        <f t="shared" si="81"/>
        <v>84.079999999999984</v>
      </c>
      <c r="W117">
        <f t="shared" si="82"/>
        <v>143.92000000000002</v>
      </c>
      <c r="X117">
        <f>I117*E117/'[1]Inverter Analysis'!$L$2</f>
        <v>225.44424718746541</v>
      </c>
      <c r="Y117">
        <f t="shared" si="83"/>
        <v>350.87719298245617</v>
      </c>
      <c r="Z117">
        <f t="shared" si="84"/>
        <v>951.47478591817332</v>
      </c>
      <c r="AA117">
        <f t="shared" si="85"/>
        <v>238.0952380952381</v>
      </c>
      <c r="AB117">
        <f t="shared" si="86"/>
        <v>23.26631969371747</v>
      </c>
      <c r="AC117">
        <f t="shared" si="87"/>
        <v>4.4699807003891034E-2</v>
      </c>
    </row>
    <row r="118" spans="1:29" hidden="1">
      <c r="A118">
        <v>13</v>
      </c>
      <c r="B118">
        <v>2</v>
      </c>
      <c r="C118">
        <v>12</v>
      </c>
      <c r="D118">
        <f t="shared" si="67"/>
        <v>500</v>
      </c>
      <c r="E118">
        <f t="shared" si="68"/>
        <v>140</v>
      </c>
      <c r="F118">
        <f t="shared" si="69"/>
        <v>20.28</v>
      </c>
      <c r="G118">
        <f t="shared" si="70"/>
        <v>2.0045999999999999</v>
      </c>
      <c r="H118">
        <f t="shared" si="71"/>
        <v>91.727999999999994</v>
      </c>
      <c r="I118">
        <f t="shared" si="72"/>
        <v>655.20000000000005</v>
      </c>
      <c r="K118">
        <f t="shared" si="73"/>
        <v>444.6</v>
      </c>
      <c r="L118">
        <f t="shared" si="74"/>
        <v>62.244</v>
      </c>
      <c r="M118">
        <f t="shared" si="75"/>
        <v>6.5519999999999996</v>
      </c>
      <c r="O118">
        <f t="shared" si="76"/>
        <v>6.5519999999999996</v>
      </c>
      <c r="P118">
        <f t="shared" si="77"/>
        <v>6.4013039999999997</v>
      </c>
      <c r="R118">
        <f>O118*(($M$3-$L$3)/($M$3-$O$3))</f>
        <v>5.1311821561338284</v>
      </c>
      <c r="S118">
        <f t="shared" si="78"/>
        <v>1.9654427645788335</v>
      </c>
      <c r="T118">
        <f t="shared" si="79"/>
        <v>54.6</v>
      </c>
      <c r="U118">
        <f t="shared" si="80"/>
        <v>312</v>
      </c>
      <c r="V118">
        <f t="shared" si="81"/>
        <v>163.95600000000002</v>
      </c>
      <c r="W118">
        <f t="shared" si="82"/>
        <v>280.64400000000001</v>
      </c>
      <c r="X118">
        <f>I118*E118/'[1]Inverter Analysis'!$L$2</f>
        <v>219.80814100777877</v>
      </c>
      <c r="Y118">
        <f t="shared" si="83"/>
        <v>179.93702204228518</v>
      </c>
      <c r="Z118">
        <f t="shared" si="84"/>
        <v>487.93578765034516</v>
      </c>
      <c r="AA118">
        <f t="shared" si="85"/>
        <v>122.10012210012209</v>
      </c>
      <c r="AB118">
        <f t="shared" si="86"/>
        <v>6.1186902547580422</v>
      </c>
      <c r="AC118">
        <f t="shared" si="87"/>
        <v>0.16572174072898838</v>
      </c>
    </row>
    <row r="119" spans="1:29" hidden="1">
      <c r="A119">
        <v>13</v>
      </c>
      <c r="B119">
        <v>4</v>
      </c>
      <c r="C119" s="9">
        <v>6</v>
      </c>
      <c r="D119">
        <f t="shared" si="67"/>
        <v>1000</v>
      </c>
      <c r="E119">
        <f t="shared" si="68"/>
        <v>280</v>
      </c>
      <c r="F119">
        <f t="shared" si="69"/>
        <v>20.28</v>
      </c>
      <c r="G119">
        <f t="shared" si="70"/>
        <v>0.50114999999999998</v>
      </c>
      <c r="H119">
        <f t="shared" si="71"/>
        <v>91.727999999999994</v>
      </c>
      <c r="I119">
        <f t="shared" si="72"/>
        <v>327.60000000000002</v>
      </c>
      <c r="K119">
        <f t="shared" si="73"/>
        <v>222.3</v>
      </c>
      <c r="L119">
        <f t="shared" si="74"/>
        <v>62.244</v>
      </c>
      <c r="M119">
        <f t="shared" si="75"/>
        <v>6.5519999999999996</v>
      </c>
      <c r="O119">
        <f t="shared" si="76"/>
        <v>6.5519999999999996</v>
      </c>
      <c r="P119">
        <f t="shared" si="77"/>
        <v>6.4013039999999997</v>
      </c>
      <c r="R119">
        <f>O119*(($M$3-$L$3)/($M$3-$O$3))</f>
        <v>5.1311821561338284</v>
      </c>
      <c r="S119">
        <f t="shared" si="78"/>
        <v>3.930885529157667</v>
      </c>
      <c r="T119">
        <f t="shared" si="79"/>
        <v>54.6</v>
      </c>
      <c r="U119">
        <f t="shared" si="80"/>
        <v>312</v>
      </c>
      <c r="V119">
        <f t="shared" si="81"/>
        <v>81.978000000000009</v>
      </c>
      <c r="W119">
        <f t="shared" si="82"/>
        <v>140.322</v>
      </c>
      <c r="X119">
        <f>I119*E119/'[1]Inverter Analysis'!$L$2</f>
        <v>219.80814100777877</v>
      </c>
      <c r="Y119">
        <f t="shared" si="83"/>
        <v>359.87404408457036</v>
      </c>
      <c r="Z119">
        <f t="shared" si="84"/>
        <v>975.87157530069032</v>
      </c>
      <c r="AA119">
        <f t="shared" si="85"/>
        <v>244.20024420024419</v>
      </c>
      <c r="AB119">
        <f t="shared" si="86"/>
        <v>24.474761019032169</v>
      </c>
      <c r="AC119">
        <f t="shared" si="87"/>
        <v>4.1430435182247094E-2</v>
      </c>
    </row>
    <row r="120" spans="1:29" hidden="1">
      <c r="A120">
        <v>15</v>
      </c>
      <c r="B120">
        <v>2</v>
      </c>
      <c r="C120" s="9">
        <v>10</v>
      </c>
      <c r="D120">
        <f t="shared" si="67"/>
        <v>500</v>
      </c>
      <c r="E120">
        <f t="shared" si="68"/>
        <v>140</v>
      </c>
      <c r="F120">
        <f t="shared" si="69"/>
        <v>19.5</v>
      </c>
      <c r="G120">
        <f t="shared" si="70"/>
        <v>1.9275</v>
      </c>
      <c r="H120">
        <f t="shared" si="71"/>
        <v>88.2</v>
      </c>
      <c r="I120">
        <f t="shared" si="72"/>
        <v>630</v>
      </c>
      <c r="K120">
        <f t="shared" si="73"/>
        <v>427.5</v>
      </c>
      <c r="L120">
        <f t="shared" si="74"/>
        <v>59.85</v>
      </c>
      <c r="M120">
        <f t="shared" si="75"/>
        <v>6.3</v>
      </c>
      <c r="O120">
        <f t="shared" si="76"/>
        <v>6.3</v>
      </c>
      <c r="P120">
        <f t="shared" si="77"/>
        <v>6.1550999999999991</v>
      </c>
      <c r="R120">
        <f>M120*(($M$3-$L$3)/($M$3-$O$3))</f>
        <v>4.9338289962825277</v>
      </c>
      <c r="S120">
        <f t="shared" si="78"/>
        <v>2.2678185745140391</v>
      </c>
      <c r="T120">
        <f t="shared" si="79"/>
        <v>63</v>
      </c>
      <c r="U120">
        <f t="shared" si="80"/>
        <v>300</v>
      </c>
      <c r="V120">
        <f t="shared" si="81"/>
        <v>157.64999999999998</v>
      </c>
      <c r="W120">
        <f t="shared" si="82"/>
        <v>269.85000000000002</v>
      </c>
      <c r="X120">
        <f>I120*E120/'[1]Inverter Analysis'!$L$2</f>
        <v>211.35398173824882</v>
      </c>
      <c r="Y120">
        <f t="shared" si="83"/>
        <v>187.13450292397661</v>
      </c>
      <c r="Z120">
        <f t="shared" si="84"/>
        <v>507.45321915635907</v>
      </c>
      <c r="AA120">
        <f t="shared" si="85"/>
        <v>126.98412698412699</v>
      </c>
      <c r="AB120">
        <f t="shared" si="86"/>
        <v>6.6179753795463014</v>
      </c>
      <c r="AC120">
        <f t="shared" si="87"/>
        <v>0.14732602406067605</v>
      </c>
    </row>
    <row r="121" spans="1:29" hidden="1">
      <c r="A121" s="8">
        <v>15</v>
      </c>
      <c r="B121" s="9">
        <v>4</v>
      </c>
      <c r="C121" s="9">
        <v>5</v>
      </c>
      <c r="D121">
        <f t="shared" si="67"/>
        <v>1000</v>
      </c>
      <c r="E121">
        <f t="shared" si="68"/>
        <v>280</v>
      </c>
      <c r="F121">
        <f t="shared" si="69"/>
        <v>19.5</v>
      </c>
      <c r="G121">
        <f t="shared" si="70"/>
        <v>0.481875</v>
      </c>
      <c r="H121">
        <f t="shared" si="71"/>
        <v>88.2</v>
      </c>
      <c r="I121">
        <f t="shared" si="72"/>
        <v>315</v>
      </c>
      <c r="K121">
        <f t="shared" si="73"/>
        <v>213.75</v>
      </c>
      <c r="L121">
        <f t="shared" si="74"/>
        <v>59.85</v>
      </c>
      <c r="M121">
        <f t="shared" si="75"/>
        <v>6.3</v>
      </c>
      <c r="O121">
        <f t="shared" si="76"/>
        <v>6.3</v>
      </c>
      <c r="P121">
        <f t="shared" si="77"/>
        <v>6.1550999999999991</v>
      </c>
      <c r="R121">
        <f>M121*(($M$3-$L$3)/($M$3-$O$3))</f>
        <v>4.9338289962825277</v>
      </c>
      <c r="S121">
        <f t="shared" si="78"/>
        <v>4.5356371490280782</v>
      </c>
      <c r="T121">
        <f t="shared" si="79"/>
        <v>63</v>
      </c>
      <c r="U121">
        <f t="shared" si="80"/>
        <v>300</v>
      </c>
      <c r="V121">
        <f t="shared" si="81"/>
        <v>78.824999999999989</v>
      </c>
      <c r="W121">
        <f t="shared" si="82"/>
        <v>134.92500000000001</v>
      </c>
      <c r="X121">
        <f>I121*E121/'[1]Inverter Analysis'!$L$2</f>
        <v>211.35398173824882</v>
      </c>
      <c r="Y121">
        <f t="shared" si="83"/>
        <v>374.26900584795322</v>
      </c>
      <c r="Z121">
        <f t="shared" si="84"/>
        <v>1014.9064383127181</v>
      </c>
      <c r="AA121">
        <f t="shared" si="85"/>
        <v>253.96825396825398</v>
      </c>
      <c r="AB121">
        <f t="shared" si="86"/>
        <v>26.471901518185206</v>
      </c>
      <c r="AC121">
        <f t="shared" si="87"/>
        <v>3.6831506015169012E-2</v>
      </c>
    </row>
    <row r="122" spans="1:29" hidden="1">
      <c r="A122">
        <v>14</v>
      </c>
      <c r="B122">
        <v>2</v>
      </c>
      <c r="C122" s="9">
        <v>11</v>
      </c>
      <c r="D122">
        <f t="shared" si="67"/>
        <v>500</v>
      </c>
      <c r="E122">
        <f t="shared" si="68"/>
        <v>140</v>
      </c>
      <c r="F122">
        <f t="shared" si="69"/>
        <v>20.02</v>
      </c>
      <c r="G122">
        <f t="shared" si="70"/>
        <v>1.9789000000000001</v>
      </c>
      <c r="H122">
        <f t="shared" si="71"/>
        <v>90.552000000000021</v>
      </c>
      <c r="I122">
        <f t="shared" si="72"/>
        <v>646.80000000000007</v>
      </c>
      <c r="K122">
        <f t="shared" si="73"/>
        <v>438.90000000000003</v>
      </c>
      <c r="L122">
        <f t="shared" si="74"/>
        <v>61.446000000000005</v>
      </c>
      <c r="M122">
        <f t="shared" si="75"/>
        <v>6.4680000000000009</v>
      </c>
      <c r="O122">
        <f t="shared" si="76"/>
        <v>6.4680000000000009</v>
      </c>
      <c r="P122">
        <f t="shared" si="77"/>
        <v>6.319236000000001</v>
      </c>
      <c r="R122">
        <f>O122*(($M$3-$L$3)/($M$3-$O$3))</f>
        <v>5.0653977695167285</v>
      </c>
      <c r="S122">
        <f t="shared" si="78"/>
        <v>2.1166306695464367</v>
      </c>
      <c r="T122">
        <f t="shared" si="79"/>
        <v>58.800000000000004</v>
      </c>
      <c r="U122">
        <f t="shared" si="80"/>
        <v>308</v>
      </c>
      <c r="V122">
        <f t="shared" si="81"/>
        <v>161.85400000000004</v>
      </c>
      <c r="W122">
        <f t="shared" si="82"/>
        <v>277.04599999999999</v>
      </c>
      <c r="X122">
        <f>I122*E122/'[1]Inverter Analysis'!$L$2</f>
        <v>216.99008791793548</v>
      </c>
      <c r="Y122">
        <f t="shared" si="83"/>
        <v>182.27386648439278</v>
      </c>
      <c r="Z122">
        <f t="shared" si="84"/>
        <v>494.27261606138853</v>
      </c>
      <c r="AA122">
        <f t="shared" si="85"/>
        <v>123.68583797155225</v>
      </c>
      <c r="AB122">
        <f t="shared" si="86"/>
        <v>6.278649267995938</v>
      </c>
      <c r="AC122">
        <f t="shared" si="87"/>
        <v>0.15942919524146407</v>
      </c>
    </row>
    <row r="123" spans="1:29" hidden="1">
      <c r="A123">
        <v>16</v>
      </c>
      <c r="B123">
        <v>2</v>
      </c>
      <c r="C123" s="9">
        <v>9</v>
      </c>
      <c r="D123">
        <f t="shared" si="67"/>
        <v>500</v>
      </c>
      <c r="E123">
        <f t="shared" si="68"/>
        <v>140</v>
      </c>
      <c r="F123">
        <f t="shared" si="69"/>
        <v>18.72</v>
      </c>
      <c r="G123">
        <f t="shared" si="70"/>
        <v>1.8504</v>
      </c>
      <c r="H123">
        <f t="shared" si="71"/>
        <v>84.672000000000011</v>
      </c>
      <c r="I123">
        <f t="shared" si="72"/>
        <v>604.80000000000007</v>
      </c>
      <c r="K123">
        <f t="shared" si="73"/>
        <v>410.40000000000003</v>
      </c>
      <c r="L123">
        <f t="shared" si="74"/>
        <v>57.45600000000001</v>
      </c>
      <c r="M123">
        <f t="shared" si="75"/>
        <v>6.0480000000000009</v>
      </c>
      <c r="O123">
        <f t="shared" si="76"/>
        <v>6.0480000000000009</v>
      </c>
      <c r="P123">
        <f t="shared" si="77"/>
        <v>5.9088960000000004</v>
      </c>
      <c r="R123">
        <f>M123*(($M$3-$L$3)/($M$3-$O$3))</f>
        <v>4.7364758364312269</v>
      </c>
      <c r="S123">
        <f t="shared" si="78"/>
        <v>2.4190064794816419</v>
      </c>
      <c r="T123">
        <f t="shared" si="79"/>
        <v>67.2</v>
      </c>
      <c r="U123">
        <f t="shared" si="80"/>
        <v>288</v>
      </c>
      <c r="V123">
        <f t="shared" si="81"/>
        <v>151.34400000000005</v>
      </c>
      <c r="W123">
        <f t="shared" si="82"/>
        <v>259.05599999999998</v>
      </c>
      <c r="X123">
        <f>I123*E123/'[1]Inverter Analysis'!$L$2</f>
        <v>202.8998224687189</v>
      </c>
      <c r="Y123">
        <f t="shared" si="83"/>
        <v>194.93177387914227</v>
      </c>
      <c r="Z123">
        <f t="shared" si="84"/>
        <v>528.59710328787378</v>
      </c>
      <c r="AA123">
        <f t="shared" si="85"/>
        <v>132.27513227513225</v>
      </c>
      <c r="AB123">
        <f t="shared" si="86"/>
        <v>7.1809628684313092</v>
      </c>
      <c r="AC123">
        <f t="shared" si="87"/>
        <v>0.13034463722334638</v>
      </c>
    </row>
    <row r="124" spans="1:29" hidden="1">
      <c r="A124">
        <v>11</v>
      </c>
      <c r="B124">
        <v>4</v>
      </c>
      <c r="C124" s="9">
        <v>7</v>
      </c>
      <c r="D124">
        <f t="shared" si="67"/>
        <v>1000</v>
      </c>
      <c r="E124">
        <f t="shared" si="68"/>
        <v>280</v>
      </c>
      <c r="F124">
        <f t="shared" si="69"/>
        <v>20.02</v>
      </c>
      <c r="G124">
        <f t="shared" si="70"/>
        <v>0.49472500000000003</v>
      </c>
      <c r="H124">
        <f t="shared" si="71"/>
        <v>90.552000000000021</v>
      </c>
      <c r="I124">
        <f t="shared" si="72"/>
        <v>323.40000000000003</v>
      </c>
      <c r="K124">
        <f t="shared" si="73"/>
        <v>219.45000000000002</v>
      </c>
      <c r="L124">
        <f t="shared" si="74"/>
        <v>61.446000000000005</v>
      </c>
      <c r="M124">
        <f t="shared" si="75"/>
        <v>6.4680000000000009</v>
      </c>
      <c r="O124">
        <f t="shared" si="76"/>
        <v>6.4680000000000009</v>
      </c>
      <c r="P124">
        <f t="shared" si="77"/>
        <v>6.319236000000001</v>
      </c>
      <c r="R124">
        <f t="shared" ref="R124:R132" si="89">O124*(($M$3-$L$3)/($M$3-$O$3))</f>
        <v>5.0653977695167285</v>
      </c>
      <c r="S124">
        <f t="shared" si="78"/>
        <v>3.3261339092872575</v>
      </c>
      <c r="T124">
        <f t="shared" si="79"/>
        <v>46.2</v>
      </c>
      <c r="U124">
        <f t="shared" si="80"/>
        <v>308</v>
      </c>
      <c r="V124">
        <f t="shared" si="81"/>
        <v>80.927000000000021</v>
      </c>
      <c r="W124">
        <f t="shared" si="82"/>
        <v>138.523</v>
      </c>
      <c r="X124">
        <f>I124*E124/'[1]Inverter Analysis'!$L$2</f>
        <v>216.99008791793548</v>
      </c>
      <c r="Y124">
        <f t="shared" si="83"/>
        <v>364.54773296878557</v>
      </c>
      <c r="Z124">
        <f t="shared" si="84"/>
        <v>988.54523212277707</v>
      </c>
      <c r="AA124">
        <f t="shared" si="85"/>
        <v>247.37167594310449</v>
      </c>
      <c r="AB124">
        <f t="shared" si="86"/>
        <v>25.114597071983752</v>
      </c>
      <c r="AC124">
        <f t="shared" si="87"/>
        <v>3.9857298810366017E-2</v>
      </c>
    </row>
    <row r="125" spans="1:29" hidden="1">
      <c r="A125">
        <v>12</v>
      </c>
      <c r="B125">
        <v>4</v>
      </c>
      <c r="C125" s="9">
        <v>6</v>
      </c>
      <c r="D125">
        <f t="shared" si="67"/>
        <v>1000</v>
      </c>
      <c r="E125">
        <f t="shared" si="68"/>
        <v>280</v>
      </c>
      <c r="F125">
        <f t="shared" si="69"/>
        <v>18.72</v>
      </c>
      <c r="G125">
        <f t="shared" si="70"/>
        <v>0.46260000000000001</v>
      </c>
      <c r="H125">
        <f t="shared" si="71"/>
        <v>84.672000000000011</v>
      </c>
      <c r="I125">
        <f t="shared" si="72"/>
        <v>302.40000000000003</v>
      </c>
      <c r="K125">
        <f t="shared" si="73"/>
        <v>205.20000000000002</v>
      </c>
      <c r="L125">
        <f t="shared" si="74"/>
        <v>57.45600000000001</v>
      </c>
      <c r="M125">
        <f t="shared" si="75"/>
        <v>6.0480000000000009</v>
      </c>
      <c r="O125">
        <f t="shared" si="76"/>
        <v>6.0480000000000009</v>
      </c>
      <c r="P125">
        <f t="shared" si="77"/>
        <v>5.9088960000000004</v>
      </c>
      <c r="R125">
        <f t="shared" si="89"/>
        <v>4.7364758364312269</v>
      </c>
      <c r="S125">
        <f t="shared" si="78"/>
        <v>3.6285097192224627</v>
      </c>
      <c r="T125">
        <f t="shared" si="79"/>
        <v>50.400000000000006</v>
      </c>
      <c r="U125">
        <f t="shared" si="80"/>
        <v>288</v>
      </c>
      <c r="V125">
        <f t="shared" si="81"/>
        <v>75.672000000000025</v>
      </c>
      <c r="W125">
        <f t="shared" si="82"/>
        <v>129.52799999999999</v>
      </c>
      <c r="X125">
        <f>I125*E125/'[1]Inverter Analysis'!$L$2</f>
        <v>202.8998224687189</v>
      </c>
      <c r="Y125">
        <f t="shared" si="83"/>
        <v>389.86354775828454</v>
      </c>
      <c r="Z125">
        <f t="shared" si="84"/>
        <v>1057.1942065757476</v>
      </c>
      <c r="AA125">
        <f t="shared" si="85"/>
        <v>264.5502645502645</v>
      </c>
      <c r="AB125">
        <f t="shared" si="86"/>
        <v>28.723851473725237</v>
      </c>
      <c r="AC125">
        <f t="shared" si="87"/>
        <v>3.2586159305836596E-2</v>
      </c>
    </row>
    <row r="126" spans="1:29" hidden="1">
      <c r="A126">
        <v>10</v>
      </c>
      <c r="B126">
        <v>4</v>
      </c>
      <c r="C126" s="9">
        <v>7</v>
      </c>
      <c r="D126">
        <f t="shared" si="67"/>
        <v>1000</v>
      </c>
      <c r="E126">
        <f t="shared" si="68"/>
        <v>280</v>
      </c>
      <c r="F126">
        <f t="shared" si="69"/>
        <v>18.2</v>
      </c>
      <c r="G126">
        <f t="shared" si="70"/>
        <v>0.44974999999999998</v>
      </c>
      <c r="H126">
        <f t="shared" si="71"/>
        <v>82.32</v>
      </c>
      <c r="I126">
        <f t="shared" si="72"/>
        <v>294</v>
      </c>
      <c r="K126">
        <f t="shared" si="73"/>
        <v>199.5</v>
      </c>
      <c r="L126">
        <f t="shared" si="74"/>
        <v>55.86</v>
      </c>
      <c r="M126">
        <f t="shared" si="75"/>
        <v>5.88</v>
      </c>
      <c r="O126">
        <f t="shared" si="76"/>
        <v>5.88</v>
      </c>
      <c r="P126">
        <f t="shared" si="77"/>
        <v>5.7447599999999994</v>
      </c>
      <c r="R126">
        <f t="shared" si="89"/>
        <v>4.6049070631970253</v>
      </c>
      <c r="S126">
        <f t="shared" si="78"/>
        <v>3.0237580993520514</v>
      </c>
      <c r="T126">
        <f t="shared" si="79"/>
        <v>42</v>
      </c>
      <c r="U126">
        <f t="shared" si="80"/>
        <v>280</v>
      </c>
      <c r="V126">
        <f t="shared" si="81"/>
        <v>73.570000000000007</v>
      </c>
      <c r="W126">
        <f t="shared" si="82"/>
        <v>125.92999999999999</v>
      </c>
      <c r="X126">
        <f>I126*E126/'[1]Inverter Analysis'!$L$2</f>
        <v>197.26371628903223</v>
      </c>
      <c r="Y126">
        <f t="shared" si="83"/>
        <v>401.00250626566418</v>
      </c>
      <c r="Z126">
        <f t="shared" si="84"/>
        <v>1087.399755335055</v>
      </c>
      <c r="AA126">
        <f t="shared" si="85"/>
        <v>272.10884353741494</v>
      </c>
      <c r="AB126">
        <f t="shared" si="86"/>
        <v>30.388662457100352</v>
      </c>
      <c r="AC126">
        <f t="shared" si="87"/>
        <v>2.9945378520184827E-2</v>
      </c>
    </row>
    <row r="127" spans="1:29" hidden="1">
      <c r="A127">
        <v>14</v>
      </c>
      <c r="B127">
        <v>4</v>
      </c>
      <c r="C127" s="9">
        <v>5</v>
      </c>
      <c r="D127">
        <f t="shared" si="67"/>
        <v>1000</v>
      </c>
      <c r="E127">
        <f t="shared" si="68"/>
        <v>280</v>
      </c>
      <c r="F127">
        <f t="shared" si="69"/>
        <v>18.2</v>
      </c>
      <c r="G127">
        <f t="shared" si="70"/>
        <v>0.44974999999999998</v>
      </c>
      <c r="H127">
        <f t="shared" si="71"/>
        <v>82.32</v>
      </c>
      <c r="I127">
        <f t="shared" si="72"/>
        <v>294</v>
      </c>
      <c r="K127">
        <f t="shared" si="73"/>
        <v>199.5</v>
      </c>
      <c r="L127">
        <f t="shared" si="74"/>
        <v>55.86</v>
      </c>
      <c r="M127">
        <f t="shared" si="75"/>
        <v>5.88</v>
      </c>
      <c r="O127">
        <f t="shared" si="76"/>
        <v>5.88</v>
      </c>
      <c r="P127">
        <f t="shared" si="77"/>
        <v>5.7447599999999994</v>
      </c>
      <c r="R127">
        <f t="shared" si="89"/>
        <v>4.6049070631970253</v>
      </c>
      <c r="S127">
        <f t="shared" si="78"/>
        <v>4.2332613390928717</v>
      </c>
      <c r="T127">
        <f t="shared" si="79"/>
        <v>58.8</v>
      </c>
      <c r="U127">
        <f t="shared" si="80"/>
        <v>280</v>
      </c>
      <c r="V127">
        <f t="shared" si="81"/>
        <v>73.570000000000007</v>
      </c>
      <c r="W127">
        <f t="shared" si="82"/>
        <v>125.92999999999999</v>
      </c>
      <c r="X127">
        <f>I127*E127/'[1]Inverter Analysis'!$L$2</f>
        <v>197.26371628903223</v>
      </c>
      <c r="Y127">
        <f t="shared" si="83"/>
        <v>401.00250626566418</v>
      </c>
      <c r="Z127">
        <f t="shared" si="84"/>
        <v>1087.399755335055</v>
      </c>
      <c r="AA127">
        <f t="shared" si="85"/>
        <v>272.10884353741494</v>
      </c>
      <c r="AB127">
        <f t="shared" si="86"/>
        <v>30.388662457100352</v>
      </c>
      <c r="AC127">
        <f t="shared" si="87"/>
        <v>2.9945378520184827E-2</v>
      </c>
    </row>
    <row r="128" spans="1:29">
      <c r="A128">
        <v>13</v>
      </c>
      <c r="B128">
        <v>3</v>
      </c>
      <c r="C128" s="9">
        <v>7</v>
      </c>
      <c r="D128">
        <f t="shared" si="67"/>
        <v>750</v>
      </c>
      <c r="E128">
        <f t="shared" si="68"/>
        <v>210</v>
      </c>
      <c r="F128">
        <f t="shared" si="69"/>
        <v>17.745000000000001</v>
      </c>
      <c r="G128">
        <f t="shared" si="70"/>
        <v>0.77956666666666685</v>
      </c>
      <c r="H128">
        <f t="shared" si="71"/>
        <v>80.262</v>
      </c>
      <c r="I128">
        <f t="shared" si="72"/>
        <v>382.2</v>
      </c>
      <c r="K128">
        <f t="shared" si="73"/>
        <v>259.35000000000002</v>
      </c>
      <c r="L128">
        <f t="shared" si="74"/>
        <v>54.46350000000001</v>
      </c>
      <c r="M128">
        <f t="shared" si="75"/>
        <v>5.7329999999999997</v>
      </c>
      <c r="O128">
        <f t="shared" si="76"/>
        <v>5.7329999999999997</v>
      </c>
      <c r="P128">
        <f t="shared" si="77"/>
        <v>5.6011409999999993</v>
      </c>
      <c r="R128" s="4">
        <f t="shared" si="89"/>
        <v>4.4897843866170994</v>
      </c>
      <c r="S128">
        <f t="shared" si="78"/>
        <v>2.9481641468682507</v>
      </c>
      <c r="T128">
        <f t="shared" si="79"/>
        <v>54.6</v>
      </c>
      <c r="U128">
        <f t="shared" si="80"/>
        <v>273</v>
      </c>
      <c r="V128">
        <f t="shared" si="81"/>
        <v>95.640999999999991</v>
      </c>
      <c r="W128">
        <f t="shared" si="82"/>
        <v>163.70900000000003</v>
      </c>
      <c r="X128">
        <f>I128*E128/'[1]Inverter Analysis'!$L$2</f>
        <v>192.33212338180641</v>
      </c>
      <c r="Y128">
        <f t="shared" si="83"/>
        <v>308.46346635820316</v>
      </c>
      <c r="Z128">
        <f t="shared" si="84"/>
        <v>836.46135025773469</v>
      </c>
      <c r="AA128">
        <f t="shared" si="85"/>
        <v>209.31449502878075</v>
      </c>
      <c r="AB128">
        <f t="shared" si="86"/>
        <v>17.981457075207317</v>
      </c>
      <c r="AC128">
        <f t="shared" si="87"/>
        <v>4.9342497456634535E-2</v>
      </c>
    </row>
    <row r="129" spans="1:29">
      <c r="A129">
        <v>10</v>
      </c>
      <c r="B129">
        <v>3</v>
      </c>
      <c r="C129" s="9">
        <v>9</v>
      </c>
      <c r="D129">
        <f t="shared" si="67"/>
        <v>750</v>
      </c>
      <c r="E129">
        <f t="shared" si="68"/>
        <v>210</v>
      </c>
      <c r="F129">
        <f t="shared" si="69"/>
        <v>17.55</v>
      </c>
      <c r="G129">
        <f t="shared" si="70"/>
        <v>0.77100000000000013</v>
      </c>
      <c r="H129">
        <f t="shared" si="71"/>
        <v>79.38</v>
      </c>
      <c r="I129">
        <f t="shared" si="72"/>
        <v>378</v>
      </c>
      <c r="K129">
        <f t="shared" si="73"/>
        <v>256.5</v>
      </c>
      <c r="L129">
        <f t="shared" si="74"/>
        <v>53.865000000000002</v>
      </c>
      <c r="M129">
        <f t="shared" si="75"/>
        <v>5.67</v>
      </c>
      <c r="O129">
        <f t="shared" si="76"/>
        <v>5.67</v>
      </c>
      <c r="P129">
        <f t="shared" si="77"/>
        <v>5.5395900000000005</v>
      </c>
      <c r="R129" s="4">
        <f t="shared" si="89"/>
        <v>4.4404460966542745</v>
      </c>
      <c r="S129">
        <f t="shared" si="78"/>
        <v>2.2678185745140387</v>
      </c>
      <c r="T129">
        <f t="shared" si="79"/>
        <v>42</v>
      </c>
      <c r="U129">
        <f t="shared" si="80"/>
        <v>270</v>
      </c>
      <c r="V129">
        <f t="shared" si="81"/>
        <v>94.589999999999975</v>
      </c>
      <c r="W129">
        <f t="shared" si="82"/>
        <v>161.91000000000003</v>
      </c>
      <c r="X129">
        <f>I129*E129/'[1]Inverter Analysis'!$L$2</f>
        <v>190.21858356442394</v>
      </c>
      <c r="Y129">
        <f t="shared" si="83"/>
        <v>311.89083820662768</v>
      </c>
      <c r="Z129">
        <f t="shared" si="84"/>
        <v>845.75536526059864</v>
      </c>
      <c r="AA129">
        <f t="shared" si="85"/>
        <v>211.64021164021165</v>
      </c>
      <c r="AB129">
        <f t="shared" si="86"/>
        <v>18.383264943184177</v>
      </c>
      <c r="AC129">
        <f t="shared" si="87"/>
        <v>4.7733631795659009E-2</v>
      </c>
    </row>
    <row r="130" spans="1:29" hidden="1">
      <c r="A130">
        <v>15</v>
      </c>
      <c r="B130">
        <v>3</v>
      </c>
      <c r="C130" s="9">
        <v>6</v>
      </c>
      <c r="D130">
        <f t="shared" si="67"/>
        <v>750</v>
      </c>
      <c r="E130">
        <f t="shared" si="68"/>
        <v>210</v>
      </c>
      <c r="F130">
        <f t="shared" si="69"/>
        <v>17.55</v>
      </c>
      <c r="G130">
        <f t="shared" si="70"/>
        <v>0.77100000000000013</v>
      </c>
      <c r="H130">
        <f t="shared" si="71"/>
        <v>79.38</v>
      </c>
      <c r="I130">
        <f t="shared" si="72"/>
        <v>378</v>
      </c>
      <c r="K130">
        <f t="shared" si="73"/>
        <v>256.5</v>
      </c>
      <c r="L130">
        <f t="shared" si="74"/>
        <v>53.865000000000002</v>
      </c>
      <c r="M130">
        <f t="shared" si="75"/>
        <v>5.67</v>
      </c>
      <c r="O130">
        <f t="shared" si="76"/>
        <v>5.67</v>
      </c>
      <c r="P130">
        <f t="shared" si="77"/>
        <v>5.5395900000000005</v>
      </c>
      <c r="R130">
        <f t="shared" si="89"/>
        <v>4.4404460966542745</v>
      </c>
      <c r="S130">
        <f t="shared" si="78"/>
        <v>3.4017278617710578</v>
      </c>
      <c r="T130">
        <f t="shared" si="79"/>
        <v>63</v>
      </c>
      <c r="U130">
        <f t="shared" si="80"/>
        <v>270</v>
      </c>
      <c r="V130">
        <f t="shared" si="81"/>
        <v>94.589999999999975</v>
      </c>
      <c r="W130">
        <f t="shared" si="82"/>
        <v>161.91000000000003</v>
      </c>
      <c r="X130">
        <f>I130*E130/'[1]Inverter Analysis'!$L$2</f>
        <v>190.21858356442394</v>
      </c>
      <c r="Y130">
        <f t="shared" si="83"/>
        <v>311.89083820662768</v>
      </c>
      <c r="Z130">
        <f t="shared" si="84"/>
        <v>845.75536526059864</v>
      </c>
      <c r="AA130">
        <f t="shared" si="85"/>
        <v>211.64021164021165</v>
      </c>
      <c r="AB130">
        <f t="shared" si="86"/>
        <v>18.383264943184177</v>
      </c>
      <c r="AC130">
        <f t="shared" si="87"/>
        <v>4.7733631795659009E-2</v>
      </c>
    </row>
    <row r="131" spans="1:29" hidden="1">
      <c r="A131">
        <v>11</v>
      </c>
      <c r="B131">
        <v>4</v>
      </c>
      <c r="C131" s="9">
        <v>6</v>
      </c>
      <c r="D131">
        <f t="shared" si="67"/>
        <v>1000</v>
      </c>
      <c r="E131">
        <f t="shared" si="68"/>
        <v>280</v>
      </c>
      <c r="F131">
        <f t="shared" si="69"/>
        <v>17.16</v>
      </c>
      <c r="G131">
        <f t="shared" si="70"/>
        <v>0.42405000000000004</v>
      </c>
      <c r="H131">
        <f t="shared" si="71"/>
        <v>77.616</v>
      </c>
      <c r="I131">
        <f t="shared" si="72"/>
        <v>277.2</v>
      </c>
      <c r="K131">
        <f t="shared" si="73"/>
        <v>188.1</v>
      </c>
      <c r="L131">
        <f t="shared" si="74"/>
        <v>52.667999999999999</v>
      </c>
      <c r="M131">
        <f t="shared" si="75"/>
        <v>5.5439999999999996</v>
      </c>
      <c r="O131">
        <f t="shared" si="76"/>
        <v>5.5439999999999996</v>
      </c>
      <c r="P131">
        <f t="shared" si="77"/>
        <v>5.4164879999999993</v>
      </c>
      <c r="R131">
        <f t="shared" si="89"/>
        <v>4.3417695167286237</v>
      </c>
      <c r="S131">
        <f t="shared" si="78"/>
        <v>3.3261339092872571</v>
      </c>
      <c r="T131">
        <f t="shared" si="79"/>
        <v>46.199999999999996</v>
      </c>
      <c r="U131">
        <f t="shared" si="80"/>
        <v>264</v>
      </c>
      <c r="V131">
        <f t="shared" si="81"/>
        <v>69.365999999999985</v>
      </c>
      <c r="W131">
        <f t="shared" si="82"/>
        <v>118.73400000000001</v>
      </c>
      <c r="X131">
        <f>I131*E131/'[1]Inverter Analysis'!$L$2</f>
        <v>185.99150392965896</v>
      </c>
      <c r="Y131">
        <f t="shared" si="83"/>
        <v>425.30568846358324</v>
      </c>
      <c r="Z131">
        <f t="shared" si="84"/>
        <v>1153.3027708099071</v>
      </c>
      <c r="AA131">
        <f t="shared" si="85"/>
        <v>288.60028860028859</v>
      </c>
      <c r="AB131">
        <f t="shared" si="86"/>
        <v>34.18375712575569</v>
      </c>
      <c r="AC131">
        <f t="shared" si="87"/>
        <v>2.5099640067169252E-2</v>
      </c>
    </row>
    <row r="132" spans="1:29" hidden="1">
      <c r="A132">
        <v>13</v>
      </c>
      <c r="B132">
        <v>4</v>
      </c>
      <c r="C132" s="9">
        <v>5</v>
      </c>
      <c r="D132">
        <f t="shared" si="67"/>
        <v>1000</v>
      </c>
      <c r="E132">
        <f t="shared" si="68"/>
        <v>280</v>
      </c>
      <c r="F132">
        <f t="shared" si="69"/>
        <v>16.899999999999999</v>
      </c>
      <c r="G132">
        <f t="shared" si="70"/>
        <v>0.41762500000000002</v>
      </c>
      <c r="H132">
        <f t="shared" si="71"/>
        <v>76.44</v>
      </c>
      <c r="I132">
        <f t="shared" si="72"/>
        <v>273</v>
      </c>
      <c r="K132">
        <f t="shared" si="73"/>
        <v>185.25</v>
      </c>
      <c r="L132">
        <f t="shared" si="74"/>
        <v>51.87</v>
      </c>
      <c r="M132">
        <f t="shared" si="75"/>
        <v>5.46</v>
      </c>
      <c r="O132">
        <f t="shared" si="76"/>
        <v>5.46</v>
      </c>
      <c r="P132">
        <f t="shared" si="77"/>
        <v>5.3344199999999997</v>
      </c>
      <c r="R132">
        <f t="shared" si="89"/>
        <v>4.2759851301115237</v>
      </c>
      <c r="S132">
        <f t="shared" si="78"/>
        <v>3.930885529157667</v>
      </c>
      <c r="T132">
        <f t="shared" si="79"/>
        <v>54.6</v>
      </c>
      <c r="U132">
        <f t="shared" si="80"/>
        <v>260</v>
      </c>
      <c r="V132">
        <f t="shared" si="81"/>
        <v>68.314999999999998</v>
      </c>
      <c r="W132">
        <f t="shared" si="82"/>
        <v>116.935</v>
      </c>
      <c r="X132">
        <f>I132*E132/'[1]Inverter Analysis'!$L$2</f>
        <v>183.17345083981564</v>
      </c>
      <c r="Y132">
        <f t="shared" si="83"/>
        <v>431.84885290148446</v>
      </c>
      <c r="Z132">
        <f t="shared" si="84"/>
        <v>1171.0458903608285</v>
      </c>
      <c r="AA132">
        <f t="shared" si="85"/>
        <v>293.04029304029302</v>
      </c>
      <c r="AB132">
        <f t="shared" si="86"/>
        <v>35.243655867406325</v>
      </c>
      <c r="AC132">
        <f t="shared" si="87"/>
        <v>2.3975946286022617E-2</v>
      </c>
    </row>
    <row r="133" spans="1:29" hidden="1">
      <c r="A133" s="8">
        <v>16</v>
      </c>
      <c r="B133" s="9">
        <v>4</v>
      </c>
      <c r="C133" s="9">
        <v>4</v>
      </c>
      <c r="D133">
        <f t="shared" ref="D133:D165" si="90">B133*$K$3</f>
        <v>1000</v>
      </c>
      <c r="E133">
        <f t="shared" ref="E133:E165" si="91">B133*$I$3</f>
        <v>280</v>
      </c>
      <c r="F133">
        <f t="shared" ref="F133:F165" si="92">A133*B133*C133*$T$3/1000</f>
        <v>16.64</v>
      </c>
      <c r="G133">
        <f t="shared" ref="G133:G165" si="93">((B133*$U$3^(-1))^(-1))*A133*C133</f>
        <v>0.41120000000000001</v>
      </c>
      <c r="H133">
        <f t="shared" ref="H133:H165" si="94">E133*I133/1000</f>
        <v>75.263999999999996</v>
      </c>
      <c r="I133">
        <f t="shared" ref="I133:I165" si="95">A133*C133*4.2</f>
        <v>268.8</v>
      </c>
      <c r="K133">
        <f t="shared" ref="K133:K165" si="96">C133*A133*$L$3</f>
        <v>182.4</v>
      </c>
      <c r="L133">
        <f t="shared" ref="L133:L165" si="97">E133*K133/1000</f>
        <v>51.072000000000003</v>
      </c>
      <c r="M133">
        <f t="shared" ref="M133:M165" si="98">$P$3/1000*I133*B133/1000</f>
        <v>5.3760000000000003</v>
      </c>
      <c r="O133">
        <f t="shared" ref="O133:O165" si="99">$R$3/1000*I133*B133/1000</f>
        <v>5.3760000000000003</v>
      </c>
      <c r="P133">
        <f t="shared" ref="P133:P165" si="100">$S$3/1000*I133*B133/1000</f>
        <v>5.2523520000000001</v>
      </c>
      <c r="R133">
        <f>M133*(($M$3-$L$3)/($M$3-$O$3))</f>
        <v>4.2102007434944237</v>
      </c>
      <c r="S133">
        <f t="shared" ref="S133:S165" si="101">$H$3/1000*B133*I133/277.8/C133</f>
        <v>4.838012958963283</v>
      </c>
      <c r="T133">
        <f t="shared" ref="T133:T165" si="102">I133/C133</f>
        <v>67.2</v>
      </c>
      <c r="U133">
        <f t="shared" ref="U133:U165" si="103">(A133*B133*C133)</f>
        <v>256</v>
      </c>
      <c r="V133">
        <f t="shared" ref="V133:V165" si="104">K133-(G133*E133)</f>
        <v>67.26400000000001</v>
      </c>
      <c r="W133">
        <f t="shared" ref="W133:W165" si="105">G133*E133</f>
        <v>115.136</v>
      </c>
      <c r="X133">
        <f>I133*E133/'[1]Inverter Analysis'!$L$2</f>
        <v>180.35539774997233</v>
      </c>
      <c r="Y133">
        <f t="shared" ref="Y133:Y165" si="106">80000/K133</f>
        <v>438.59649122807014</v>
      </c>
      <c r="Z133">
        <f t="shared" ref="Z133:Z165" si="107">80000/V133</f>
        <v>1189.3434823977163</v>
      </c>
      <c r="AA133">
        <f t="shared" ref="AA133:AA165" si="108">80000/I133</f>
        <v>297.61904761904759</v>
      </c>
      <c r="AB133">
        <f t="shared" ref="AB133:AB165" si="109">(MAX(Y133:AA133)^2)*$U$3/1000</f>
        <v>36.353624521433531</v>
      </c>
      <c r="AC133">
        <f t="shared" ref="AC133:AC165" si="110">($V$3*F133/(AB133*1000))*10</f>
        <v>2.2886301185992219E-2</v>
      </c>
    </row>
    <row r="134" spans="1:29" s="15" customFormat="1">
      <c r="A134" s="15">
        <v>11</v>
      </c>
      <c r="B134" s="15">
        <v>3</v>
      </c>
      <c r="C134" s="17">
        <v>8</v>
      </c>
      <c r="D134" s="15">
        <f>B134*$K$3</f>
        <v>750</v>
      </c>
      <c r="E134" s="15">
        <f>B134*$I$3</f>
        <v>210</v>
      </c>
      <c r="F134" s="15">
        <f>A134*B134*C134*$T$3/1000</f>
        <v>17.16</v>
      </c>
      <c r="G134" s="15">
        <f>((B134*$U$3^(-1))^(-1))*A134*C134</f>
        <v>0.7538666666666668</v>
      </c>
      <c r="H134" s="15">
        <f>E134*I134/1000</f>
        <v>77.616</v>
      </c>
      <c r="I134" s="15">
        <f>A134*C134*4.2</f>
        <v>369.6</v>
      </c>
      <c r="K134" s="15">
        <f>C134*A134*$L$3</f>
        <v>250.8</v>
      </c>
      <c r="L134" s="15">
        <f>E134*K134/1000</f>
        <v>52.667999999999999</v>
      </c>
      <c r="M134" s="15">
        <f>$P$3/1000*I134*B134/1000</f>
        <v>5.5439999999999996</v>
      </c>
      <c r="O134" s="15">
        <f>$R$3/1000*I134*B134/1000</f>
        <v>5.5439999999999996</v>
      </c>
      <c r="P134" s="15">
        <f>$S$3/1000*I134*B134/1000</f>
        <v>5.4164880000000002</v>
      </c>
      <c r="R134" s="4">
        <f t="shared" ref="R134:R139" si="111">O134*(($M$3-$L$3)/($M$3-$O$3))</f>
        <v>4.3417695167286237</v>
      </c>
      <c r="S134" s="15">
        <f>$H$3/1000*B134*I134/277.8/C134</f>
        <v>2.4946004319654427</v>
      </c>
      <c r="T134" s="15">
        <f>I134/C134</f>
        <v>46.2</v>
      </c>
      <c r="U134" s="15">
        <f>(A134*B134*C134)</f>
        <v>264</v>
      </c>
      <c r="V134" s="15">
        <f>K134-(G134*E134)</f>
        <v>92.487999999999971</v>
      </c>
      <c r="W134" s="15">
        <f>G134*E134</f>
        <v>158.31200000000004</v>
      </c>
      <c r="X134" s="15">
        <f>I134*E134/'[1]Inverter Analysis'!$L$2</f>
        <v>185.99150392965896</v>
      </c>
      <c r="Y134" s="15">
        <f>80000/K134</f>
        <v>318.97926634768737</v>
      </c>
      <c r="Z134" s="15">
        <f>80000/V134</f>
        <v>864.97707810743043</v>
      </c>
      <c r="AA134" s="15">
        <f>80000/I134</f>
        <v>216.45021645021643</v>
      </c>
      <c r="AB134" s="15">
        <f>(MAX(Y134:AA134)^2)*$U$3/1000</f>
        <v>19.228363383237582</v>
      </c>
      <c r="AC134" s="15">
        <f>($V$3*F134/(AB134*1000))*10</f>
        <v>4.4621582341634214E-2</v>
      </c>
    </row>
    <row r="135" spans="1:29">
      <c r="A135">
        <v>12</v>
      </c>
      <c r="B135">
        <v>3</v>
      </c>
      <c r="C135" s="9">
        <v>7</v>
      </c>
      <c r="D135">
        <f t="shared" si="90"/>
        <v>750</v>
      </c>
      <c r="E135">
        <f t="shared" si="91"/>
        <v>210</v>
      </c>
      <c r="F135">
        <f t="shared" si="92"/>
        <v>16.38</v>
      </c>
      <c r="G135">
        <f t="shared" si="93"/>
        <v>0.71960000000000024</v>
      </c>
      <c r="H135">
        <f>E135*I135/1000</f>
        <v>74.087999999999994</v>
      </c>
      <c r="I135">
        <f t="shared" si="95"/>
        <v>352.8</v>
      </c>
      <c r="K135">
        <f t="shared" si="96"/>
        <v>239.4</v>
      </c>
      <c r="L135">
        <f t="shared" si="97"/>
        <v>50.274000000000001</v>
      </c>
      <c r="M135">
        <f t="shared" si="98"/>
        <v>5.2919999999999998</v>
      </c>
      <c r="O135">
        <f t="shared" si="99"/>
        <v>5.2919999999999998</v>
      </c>
      <c r="P135">
        <f t="shared" si="100"/>
        <v>5.1702839999999997</v>
      </c>
      <c r="R135" s="4">
        <f t="shared" si="111"/>
        <v>4.1444163568773229</v>
      </c>
      <c r="S135">
        <f t="shared" si="101"/>
        <v>2.7213822894168467</v>
      </c>
      <c r="T135">
        <f t="shared" si="102"/>
        <v>50.4</v>
      </c>
      <c r="U135">
        <f t="shared" si="103"/>
        <v>252</v>
      </c>
      <c r="V135">
        <f t="shared" si="104"/>
        <v>88.283999999999963</v>
      </c>
      <c r="W135">
        <f t="shared" si="105"/>
        <v>151.11600000000004</v>
      </c>
      <c r="X135">
        <f>I135*E135/'[1]Inverter Analysis'!$L$2</f>
        <v>177.53734466012901</v>
      </c>
      <c r="Y135">
        <f t="shared" si="106"/>
        <v>334.16875522138679</v>
      </c>
      <c r="Z135">
        <f t="shared" si="107"/>
        <v>906.16646277921291</v>
      </c>
      <c r="AA135">
        <f t="shared" si="108"/>
        <v>226.75736961451247</v>
      </c>
      <c r="AB135">
        <f t="shared" si="109"/>
        <v>21.10323781743082</v>
      </c>
      <c r="AC135">
        <f t="shared" si="110"/>
        <v>3.8809210562159496E-2</v>
      </c>
    </row>
    <row r="136" spans="1:29">
      <c r="A136" s="15">
        <v>14</v>
      </c>
      <c r="B136" s="15">
        <v>3</v>
      </c>
      <c r="C136" s="17">
        <v>6</v>
      </c>
      <c r="D136" s="15">
        <f t="shared" si="90"/>
        <v>750</v>
      </c>
      <c r="E136" s="15">
        <f t="shared" si="91"/>
        <v>210</v>
      </c>
      <c r="F136" s="15">
        <f t="shared" si="92"/>
        <v>16.38</v>
      </c>
      <c r="G136" s="15">
        <f t="shared" si="93"/>
        <v>0.71960000000000024</v>
      </c>
      <c r="H136" s="15">
        <f>E136*I136/1000</f>
        <v>74.087999999999994</v>
      </c>
      <c r="I136" s="15">
        <f t="shared" si="95"/>
        <v>352.8</v>
      </c>
      <c r="J136" s="15"/>
      <c r="K136" s="15">
        <f t="shared" si="96"/>
        <v>239.4</v>
      </c>
      <c r="L136" s="15">
        <f t="shared" si="97"/>
        <v>50.274000000000001</v>
      </c>
      <c r="M136" s="15">
        <f t="shared" si="98"/>
        <v>5.2919999999999998</v>
      </c>
      <c r="N136" s="15"/>
      <c r="O136" s="15">
        <f t="shared" si="99"/>
        <v>5.2919999999999998</v>
      </c>
      <c r="P136" s="15">
        <f t="shared" si="100"/>
        <v>5.1702839999999997</v>
      </c>
      <c r="Q136" s="15"/>
      <c r="R136" s="15">
        <f t="shared" si="111"/>
        <v>4.1444163568773229</v>
      </c>
      <c r="S136" s="15">
        <f t="shared" si="101"/>
        <v>3.1749460043196542</v>
      </c>
      <c r="T136" s="15">
        <f t="shared" si="102"/>
        <v>58.800000000000004</v>
      </c>
      <c r="U136" s="15">
        <f t="shared" si="103"/>
        <v>252</v>
      </c>
      <c r="V136" s="15">
        <f t="shared" si="104"/>
        <v>88.283999999999963</v>
      </c>
      <c r="W136" s="15">
        <f t="shared" si="105"/>
        <v>151.11600000000004</v>
      </c>
      <c r="X136" s="15">
        <f>I136*E136/'[1]Inverter Analysis'!$L$2</f>
        <v>177.53734466012901</v>
      </c>
      <c r="Y136" s="15">
        <f t="shared" si="106"/>
        <v>334.16875522138679</v>
      </c>
      <c r="Z136" s="15">
        <f t="shared" si="107"/>
        <v>906.16646277921291</v>
      </c>
      <c r="AA136" s="15">
        <f t="shared" si="108"/>
        <v>226.75736961451247</v>
      </c>
      <c r="AB136" s="15">
        <f t="shared" si="109"/>
        <v>21.10323781743082</v>
      </c>
      <c r="AC136" s="15">
        <f t="shared" si="110"/>
        <v>3.8809210562159496E-2</v>
      </c>
    </row>
    <row r="137" spans="1:29" hidden="1">
      <c r="A137">
        <v>10</v>
      </c>
      <c r="B137">
        <v>3</v>
      </c>
      <c r="C137" s="9">
        <v>8</v>
      </c>
      <c r="D137">
        <f t="shared" si="90"/>
        <v>750</v>
      </c>
      <c r="E137">
        <f t="shared" si="91"/>
        <v>210</v>
      </c>
      <c r="F137">
        <f t="shared" si="92"/>
        <v>15.6</v>
      </c>
      <c r="G137">
        <f t="shared" si="93"/>
        <v>0.68533333333333346</v>
      </c>
      <c r="H137">
        <f t="shared" si="94"/>
        <v>70.56</v>
      </c>
      <c r="I137">
        <f t="shared" si="95"/>
        <v>336</v>
      </c>
      <c r="K137">
        <f t="shared" si="96"/>
        <v>228</v>
      </c>
      <c r="L137">
        <f t="shared" si="97"/>
        <v>47.88</v>
      </c>
      <c r="M137">
        <f t="shared" si="98"/>
        <v>5.04</v>
      </c>
      <c r="O137">
        <f t="shared" si="99"/>
        <v>5.04</v>
      </c>
      <c r="P137">
        <f t="shared" si="100"/>
        <v>4.92408</v>
      </c>
      <c r="R137">
        <f t="shared" si="111"/>
        <v>3.9470631970260222</v>
      </c>
      <c r="S137">
        <f t="shared" si="101"/>
        <v>2.2678185745140387</v>
      </c>
      <c r="T137">
        <f t="shared" si="102"/>
        <v>42</v>
      </c>
      <c r="U137">
        <f t="shared" si="103"/>
        <v>240</v>
      </c>
      <c r="V137">
        <f t="shared" si="104"/>
        <v>84.079999999999984</v>
      </c>
      <c r="W137">
        <f t="shared" si="105"/>
        <v>143.92000000000002</v>
      </c>
      <c r="X137">
        <f>I137*E137/'[1]Inverter Analysis'!$L$2</f>
        <v>169.08318539059906</v>
      </c>
      <c r="Y137">
        <f t="shared" si="106"/>
        <v>350.87719298245617</v>
      </c>
      <c r="Z137">
        <f t="shared" si="107"/>
        <v>951.47478591817332</v>
      </c>
      <c r="AA137">
        <f t="shared" si="108"/>
        <v>238.0952380952381</v>
      </c>
      <c r="AB137">
        <f t="shared" si="109"/>
        <v>23.26631969371747</v>
      </c>
      <c r="AC137">
        <f t="shared" si="110"/>
        <v>3.3524855252918276E-2</v>
      </c>
    </row>
    <row r="138" spans="1:29" hidden="1">
      <c r="A138">
        <v>10</v>
      </c>
      <c r="B138">
        <v>4</v>
      </c>
      <c r="C138" s="9">
        <v>6</v>
      </c>
      <c r="D138">
        <f t="shared" si="90"/>
        <v>1000</v>
      </c>
      <c r="E138">
        <f t="shared" si="91"/>
        <v>280</v>
      </c>
      <c r="F138">
        <f t="shared" si="92"/>
        <v>15.6</v>
      </c>
      <c r="G138">
        <f t="shared" si="93"/>
        <v>0.38550000000000001</v>
      </c>
      <c r="H138">
        <f t="shared" si="94"/>
        <v>70.56</v>
      </c>
      <c r="I138">
        <f t="shared" si="95"/>
        <v>252</v>
      </c>
      <c r="K138">
        <f t="shared" si="96"/>
        <v>171</v>
      </c>
      <c r="L138">
        <f t="shared" si="97"/>
        <v>47.88</v>
      </c>
      <c r="M138">
        <f t="shared" si="98"/>
        <v>5.04</v>
      </c>
      <c r="O138">
        <f t="shared" si="99"/>
        <v>5.04</v>
      </c>
      <c r="P138">
        <f t="shared" si="100"/>
        <v>4.92408</v>
      </c>
      <c r="R138">
        <f t="shared" si="111"/>
        <v>3.9470631970260222</v>
      </c>
      <c r="S138">
        <f t="shared" si="101"/>
        <v>3.0237580993520514</v>
      </c>
      <c r="T138">
        <f t="shared" si="102"/>
        <v>42</v>
      </c>
      <c r="U138">
        <f t="shared" si="103"/>
        <v>240</v>
      </c>
      <c r="V138">
        <f t="shared" si="104"/>
        <v>63.06</v>
      </c>
      <c r="W138">
        <f t="shared" si="105"/>
        <v>107.94</v>
      </c>
      <c r="X138">
        <f>I138*E138/'[1]Inverter Analysis'!$L$2</f>
        <v>169.08318539059906</v>
      </c>
      <c r="Y138">
        <f t="shared" si="106"/>
        <v>467.83625730994152</v>
      </c>
      <c r="Z138">
        <f t="shared" si="107"/>
        <v>1268.6330478908976</v>
      </c>
      <c r="AA138">
        <f t="shared" si="108"/>
        <v>317.46031746031747</v>
      </c>
      <c r="AB138">
        <f t="shared" si="109"/>
        <v>41.362346122164382</v>
      </c>
      <c r="AC138">
        <f t="shared" si="110"/>
        <v>1.8857731079766533E-2</v>
      </c>
    </row>
    <row r="139" spans="1:29" hidden="1">
      <c r="A139">
        <v>12</v>
      </c>
      <c r="B139">
        <v>4</v>
      </c>
      <c r="C139" s="9">
        <v>5</v>
      </c>
      <c r="D139">
        <f t="shared" si="90"/>
        <v>1000</v>
      </c>
      <c r="E139">
        <f t="shared" si="91"/>
        <v>280</v>
      </c>
      <c r="F139">
        <f t="shared" si="92"/>
        <v>15.6</v>
      </c>
      <c r="G139">
        <f t="shared" si="93"/>
        <v>0.38550000000000001</v>
      </c>
      <c r="H139">
        <f t="shared" si="94"/>
        <v>70.56</v>
      </c>
      <c r="I139">
        <f t="shared" si="95"/>
        <v>252</v>
      </c>
      <c r="K139">
        <f t="shared" si="96"/>
        <v>171</v>
      </c>
      <c r="L139">
        <f t="shared" si="97"/>
        <v>47.88</v>
      </c>
      <c r="M139">
        <f t="shared" si="98"/>
        <v>5.04</v>
      </c>
      <c r="O139">
        <f t="shared" si="99"/>
        <v>5.04</v>
      </c>
      <c r="P139">
        <f t="shared" si="100"/>
        <v>4.92408</v>
      </c>
      <c r="R139">
        <f t="shared" si="111"/>
        <v>3.9470631970260222</v>
      </c>
      <c r="S139">
        <f t="shared" si="101"/>
        <v>3.6285097192224618</v>
      </c>
      <c r="T139">
        <f t="shared" si="102"/>
        <v>50.4</v>
      </c>
      <c r="U139">
        <f t="shared" si="103"/>
        <v>240</v>
      </c>
      <c r="V139">
        <f t="shared" si="104"/>
        <v>63.06</v>
      </c>
      <c r="W139">
        <f t="shared" si="105"/>
        <v>107.94</v>
      </c>
      <c r="X139">
        <f>I139*E139/'[1]Inverter Analysis'!$L$2</f>
        <v>169.08318539059906</v>
      </c>
      <c r="Y139">
        <f t="shared" si="106"/>
        <v>467.83625730994152</v>
      </c>
      <c r="Z139">
        <f t="shared" si="107"/>
        <v>1268.6330478908976</v>
      </c>
      <c r="AA139">
        <f t="shared" si="108"/>
        <v>317.46031746031747</v>
      </c>
      <c r="AB139">
        <f t="shared" si="109"/>
        <v>41.362346122164382</v>
      </c>
      <c r="AC139">
        <f t="shared" si="110"/>
        <v>1.8857731079766533E-2</v>
      </c>
    </row>
    <row r="140" spans="1:29" hidden="1">
      <c r="A140">
        <v>16</v>
      </c>
      <c r="B140">
        <v>3</v>
      </c>
      <c r="C140" s="9">
        <v>5</v>
      </c>
      <c r="D140">
        <f t="shared" si="90"/>
        <v>750</v>
      </c>
      <c r="E140">
        <f t="shared" si="91"/>
        <v>210</v>
      </c>
      <c r="F140">
        <f t="shared" si="92"/>
        <v>15.6</v>
      </c>
      <c r="G140">
        <f t="shared" si="93"/>
        <v>0.68533333333333346</v>
      </c>
      <c r="H140">
        <f t="shared" si="94"/>
        <v>70.56</v>
      </c>
      <c r="I140">
        <f t="shared" si="95"/>
        <v>336</v>
      </c>
      <c r="K140">
        <f t="shared" si="96"/>
        <v>228</v>
      </c>
      <c r="L140">
        <f t="shared" si="97"/>
        <v>47.88</v>
      </c>
      <c r="M140">
        <f t="shared" si="98"/>
        <v>5.04</v>
      </c>
      <c r="O140">
        <f t="shared" si="99"/>
        <v>5.04</v>
      </c>
      <c r="P140">
        <f t="shared" si="100"/>
        <v>4.92408</v>
      </c>
      <c r="R140">
        <f>M140*(($M$3-$L$3)/($M$3-$O$3))</f>
        <v>3.9470631970260222</v>
      </c>
      <c r="S140">
        <f t="shared" si="101"/>
        <v>3.6285097192224618</v>
      </c>
      <c r="T140">
        <f t="shared" si="102"/>
        <v>67.2</v>
      </c>
      <c r="U140">
        <f t="shared" si="103"/>
        <v>240</v>
      </c>
      <c r="V140">
        <f t="shared" si="104"/>
        <v>84.079999999999984</v>
      </c>
      <c r="W140">
        <f t="shared" si="105"/>
        <v>143.92000000000002</v>
      </c>
      <c r="X140">
        <f>I140*E140/'[1]Inverter Analysis'!$L$2</f>
        <v>169.08318539059906</v>
      </c>
      <c r="Y140">
        <f t="shared" si="106"/>
        <v>350.87719298245617</v>
      </c>
      <c r="Z140">
        <f t="shared" si="107"/>
        <v>951.47478591817332</v>
      </c>
      <c r="AA140">
        <f t="shared" si="108"/>
        <v>238.0952380952381</v>
      </c>
      <c r="AB140">
        <f t="shared" si="109"/>
        <v>23.26631969371747</v>
      </c>
      <c r="AC140">
        <f t="shared" si="110"/>
        <v>3.3524855252918276E-2</v>
      </c>
    </row>
    <row r="141" spans="1:29" hidden="1">
      <c r="A141" s="8">
        <v>15</v>
      </c>
      <c r="B141" s="9">
        <v>4</v>
      </c>
      <c r="C141" s="9">
        <v>4</v>
      </c>
      <c r="D141">
        <f t="shared" si="90"/>
        <v>1000</v>
      </c>
      <c r="E141">
        <f t="shared" si="91"/>
        <v>280</v>
      </c>
      <c r="F141">
        <f t="shared" si="92"/>
        <v>15.6</v>
      </c>
      <c r="G141">
        <f t="shared" si="93"/>
        <v>0.38550000000000001</v>
      </c>
      <c r="H141">
        <f t="shared" si="94"/>
        <v>70.56</v>
      </c>
      <c r="I141">
        <f t="shared" si="95"/>
        <v>252</v>
      </c>
      <c r="K141">
        <f t="shared" si="96"/>
        <v>171</v>
      </c>
      <c r="L141">
        <f t="shared" si="97"/>
        <v>47.88</v>
      </c>
      <c r="M141">
        <f t="shared" si="98"/>
        <v>5.04</v>
      </c>
      <c r="O141">
        <f t="shared" si="99"/>
        <v>5.04</v>
      </c>
      <c r="P141">
        <f t="shared" si="100"/>
        <v>4.92408</v>
      </c>
      <c r="R141">
        <f>M141*(($M$3-$L$3)/($M$3-$O$3))</f>
        <v>3.9470631970260222</v>
      </c>
      <c r="S141">
        <f t="shared" si="101"/>
        <v>4.5356371490280774</v>
      </c>
      <c r="T141">
        <f t="shared" si="102"/>
        <v>63</v>
      </c>
      <c r="U141">
        <f t="shared" si="103"/>
        <v>240</v>
      </c>
      <c r="V141">
        <f t="shared" si="104"/>
        <v>63.06</v>
      </c>
      <c r="W141">
        <f t="shared" si="105"/>
        <v>107.94</v>
      </c>
      <c r="X141">
        <f>I141*E141/'[1]Inverter Analysis'!$L$2</f>
        <v>169.08318539059906</v>
      </c>
      <c r="Y141">
        <f t="shared" si="106"/>
        <v>467.83625730994152</v>
      </c>
      <c r="Z141">
        <f t="shared" si="107"/>
        <v>1268.6330478908976</v>
      </c>
      <c r="AA141">
        <f t="shared" si="108"/>
        <v>317.46031746031747</v>
      </c>
      <c r="AB141">
        <f t="shared" si="109"/>
        <v>41.362346122164382</v>
      </c>
      <c r="AC141">
        <f t="shared" si="110"/>
        <v>1.8857731079766533E-2</v>
      </c>
    </row>
    <row r="142" spans="1:29" hidden="1">
      <c r="A142">
        <v>13</v>
      </c>
      <c r="B142">
        <v>3</v>
      </c>
      <c r="C142" s="9">
        <v>6</v>
      </c>
      <c r="D142">
        <f t="shared" si="90"/>
        <v>750</v>
      </c>
      <c r="E142">
        <f t="shared" si="91"/>
        <v>210</v>
      </c>
      <c r="F142">
        <f t="shared" si="92"/>
        <v>15.21</v>
      </c>
      <c r="G142">
        <f t="shared" si="93"/>
        <v>0.66820000000000013</v>
      </c>
      <c r="H142">
        <f t="shared" si="94"/>
        <v>68.796000000000006</v>
      </c>
      <c r="I142">
        <f t="shared" si="95"/>
        <v>327.60000000000002</v>
      </c>
      <c r="K142">
        <f t="shared" si="96"/>
        <v>222.3</v>
      </c>
      <c r="L142">
        <f t="shared" si="97"/>
        <v>46.683</v>
      </c>
      <c r="M142">
        <f t="shared" si="98"/>
        <v>4.9139999999999997</v>
      </c>
      <c r="O142">
        <f t="shared" si="99"/>
        <v>4.9139999999999997</v>
      </c>
      <c r="P142">
        <f t="shared" si="100"/>
        <v>4.8009779999999997</v>
      </c>
      <c r="R142">
        <f>O142*(($M$3-$L$3)/($M$3-$O$3))</f>
        <v>3.8483866171003713</v>
      </c>
      <c r="S142">
        <f t="shared" si="101"/>
        <v>2.9481641468682507</v>
      </c>
      <c r="T142">
        <f t="shared" si="102"/>
        <v>54.6</v>
      </c>
      <c r="U142">
        <f t="shared" si="103"/>
        <v>234</v>
      </c>
      <c r="V142">
        <f t="shared" si="104"/>
        <v>81.97799999999998</v>
      </c>
      <c r="W142">
        <f t="shared" si="105"/>
        <v>140.32200000000003</v>
      </c>
      <c r="X142">
        <f>I142*E142/'[1]Inverter Analysis'!$L$2</f>
        <v>164.85610575583408</v>
      </c>
      <c r="Y142">
        <f t="shared" si="106"/>
        <v>359.87404408457036</v>
      </c>
      <c r="Z142">
        <f t="shared" si="107"/>
        <v>975.87157530069067</v>
      </c>
      <c r="AA142">
        <f t="shared" si="108"/>
        <v>244.20024420024419</v>
      </c>
      <c r="AB142">
        <f t="shared" si="109"/>
        <v>24.474761019032186</v>
      </c>
      <c r="AC142">
        <f t="shared" si="110"/>
        <v>3.10728263866853E-2</v>
      </c>
    </row>
    <row r="143" spans="1:29" hidden="1">
      <c r="A143">
        <v>11</v>
      </c>
      <c r="B143">
        <v>3</v>
      </c>
      <c r="C143" s="9">
        <v>7</v>
      </c>
      <c r="D143">
        <f t="shared" si="90"/>
        <v>750</v>
      </c>
      <c r="E143">
        <f t="shared" si="91"/>
        <v>210</v>
      </c>
      <c r="F143">
        <f t="shared" si="92"/>
        <v>15.015000000000001</v>
      </c>
      <c r="G143">
        <f t="shared" si="93"/>
        <v>0.6596333333333334</v>
      </c>
      <c r="H143">
        <f t="shared" si="94"/>
        <v>67.914000000000001</v>
      </c>
      <c r="I143">
        <f t="shared" si="95"/>
        <v>323.40000000000003</v>
      </c>
      <c r="K143">
        <f t="shared" si="96"/>
        <v>219.45000000000002</v>
      </c>
      <c r="L143">
        <f t="shared" si="97"/>
        <v>46.084499999999998</v>
      </c>
      <c r="M143">
        <f t="shared" si="98"/>
        <v>4.8510000000000009</v>
      </c>
      <c r="O143">
        <f t="shared" si="99"/>
        <v>4.8510000000000009</v>
      </c>
      <c r="P143">
        <f t="shared" si="100"/>
        <v>4.7394270000000009</v>
      </c>
      <c r="R143">
        <f>O143*(($M$3-$L$3)/($M$3-$O$3))</f>
        <v>3.7990483271375468</v>
      </c>
      <c r="S143">
        <f t="shared" si="101"/>
        <v>2.4946004319654436</v>
      </c>
      <c r="T143">
        <f t="shared" si="102"/>
        <v>46.2</v>
      </c>
      <c r="U143">
        <f t="shared" si="103"/>
        <v>231</v>
      </c>
      <c r="V143">
        <f t="shared" si="104"/>
        <v>80.926999999999992</v>
      </c>
      <c r="W143">
        <f t="shared" si="105"/>
        <v>138.52300000000002</v>
      </c>
      <c r="X143">
        <f>I143*E143/'[1]Inverter Analysis'!$L$2</f>
        <v>162.74256593845158</v>
      </c>
      <c r="Y143">
        <f t="shared" si="106"/>
        <v>364.54773296878557</v>
      </c>
      <c r="Z143">
        <f t="shared" si="107"/>
        <v>988.54523212277741</v>
      </c>
      <c r="AA143">
        <f t="shared" si="108"/>
        <v>247.37167594310449</v>
      </c>
      <c r="AB143">
        <f t="shared" si="109"/>
        <v>25.11459707198377</v>
      </c>
      <c r="AC143">
        <f t="shared" si="110"/>
        <v>2.9892974107774493E-2</v>
      </c>
    </row>
    <row r="144" spans="1:29" hidden="1">
      <c r="A144">
        <v>15</v>
      </c>
      <c r="B144">
        <v>3</v>
      </c>
      <c r="C144" s="9">
        <v>5</v>
      </c>
      <c r="D144">
        <f t="shared" si="90"/>
        <v>750</v>
      </c>
      <c r="E144">
        <f t="shared" si="91"/>
        <v>210</v>
      </c>
      <c r="F144">
        <f t="shared" si="92"/>
        <v>14.625</v>
      </c>
      <c r="G144">
        <f t="shared" si="93"/>
        <v>0.64250000000000018</v>
      </c>
      <c r="H144">
        <f t="shared" si="94"/>
        <v>66.150000000000006</v>
      </c>
      <c r="I144">
        <f t="shared" si="95"/>
        <v>315</v>
      </c>
      <c r="K144">
        <f t="shared" si="96"/>
        <v>213.75</v>
      </c>
      <c r="L144">
        <f t="shared" si="97"/>
        <v>44.887500000000003</v>
      </c>
      <c r="M144">
        <f t="shared" si="98"/>
        <v>4.7249999999999996</v>
      </c>
      <c r="O144">
        <f t="shared" si="99"/>
        <v>4.7249999999999996</v>
      </c>
      <c r="P144">
        <f t="shared" si="100"/>
        <v>4.6163249999999998</v>
      </c>
      <c r="R144">
        <f>M144*(($M$3-$L$3)/($M$3-$O$3))</f>
        <v>3.7003717472118951</v>
      </c>
      <c r="S144">
        <f t="shared" si="101"/>
        <v>3.4017278617710582</v>
      </c>
      <c r="T144">
        <f t="shared" si="102"/>
        <v>63</v>
      </c>
      <c r="U144">
        <f t="shared" si="103"/>
        <v>225</v>
      </c>
      <c r="V144">
        <f t="shared" si="104"/>
        <v>78.82499999999996</v>
      </c>
      <c r="W144">
        <f t="shared" si="105"/>
        <v>134.92500000000004</v>
      </c>
      <c r="X144">
        <f>I144*E144/'[1]Inverter Analysis'!$L$2</f>
        <v>158.5154863036866</v>
      </c>
      <c r="Y144">
        <f t="shared" si="106"/>
        <v>374.26900584795322</v>
      </c>
      <c r="Z144">
        <f t="shared" si="107"/>
        <v>1014.9064383127186</v>
      </c>
      <c r="AA144">
        <f t="shared" si="108"/>
        <v>253.96825396825398</v>
      </c>
      <c r="AB144">
        <f t="shared" si="109"/>
        <v>26.471901518185231</v>
      </c>
      <c r="AC144">
        <f t="shared" si="110"/>
        <v>2.7623629511376729E-2</v>
      </c>
    </row>
    <row r="145" spans="1:29" hidden="1">
      <c r="A145">
        <v>14</v>
      </c>
      <c r="B145">
        <v>4</v>
      </c>
      <c r="C145" s="9">
        <v>4</v>
      </c>
      <c r="D145">
        <f t="shared" si="90"/>
        <v>1000</v>
      </c>
      <c r="E145">
        <f t="shared" si="91"/>
        <v>280</v>
      </c>
      <c r="F145">
        <f t="shared" si="92"/>
        <v>14.56</v>
      </c>
      <c r="G145">
        <f t="shared" si="93"/>
        <v>0.35980000000000001</v>
      </c>
      <c r="H145">
        <f t="shared" si="94"/>
        <v>65.855999999999995</v>
      </c>
      <c r="I145">
        <f t="shared" si="95"/>
        <v>235.20000000000002</v>
      </c>
      <c r="K145">
        <f t="shared" si="96"/>
        <v>159.6</v>
      </c>
      <c r="L145">
        <f t="shared" si="97"/>
        <v>44.688000000000002</v>
      </c>
      <c r="M145">
        <f t="shared" si="98"/>
        <v>4.7039999999999997</v>
      </c>
      <c r="O145">
        <f t="shared" si="99"/>
        <v>4.7039999999999997</v>
      </c>
      <c r="P145">
        <f t="shared" si="100"/>
        <v>4.5958079999999999</v>
      </c>
      <c r="R145">
        <f t="shared" ref="R145:R154" si="112">O145*(($M$3-$L$3)/($M$3-$O$3))</f>
        <v>3.6839256505576201</v>
      </c>
      <c r="S145">
        <f t="shared" si="101"/>
        <v>4.2332613390928726</v>
      </c>
      <c r="T145">
        <f t="shared" si="102"/>
        <v>58.800000000000004</v>
      </c>
      <c r="U145">
        <f t="shared" si="103"/>
        <v>224</v>
      </c>
      <c r="V145">
        <f t="shared" si="104"/>
        <v>58.855999999999995</v>
      </c>
      <c r="W145">
        <f t="shared" si="105"/>
        <v>100.744</v>
      </c>
      <c r="X145">
        <f>I145*E145/'[1]Inverter Analysis'!$L$2</f>
        <v>157.81097303122579</v>
      </c>
      <c r="Y145">
        <f t="shared" si="106"/>
        <v>501.25313283208021</v>
      </c>
      <c r="Z145">
        <f t="shared" si="107"/>
        <v>1359.2496941688189</v>
      </c>
      <c r="AA145">
        <f t="shared" si="108"/>
        <v>340.13605442176868</v>
      </c>
      <c r="AB145">
        <f t="shared" si="109"/>
        <v>47.48228508921931</v>
      </c>
      <c r="AC145">
        <f t="shared" si="110"/>
        <v>1.5332033802334629E-2</v>
      </c>
    </row>
    <row r="146" spans="1:29" hidden="1">
      <c r="A146">
        <v>11</v>
      </c>
      <c r="B146">
        <v>4</v>
      </c>
      <c r="C146" s="9">
        <v>5</v>
      </c>
      <c r="D146">
        <f t="shared" si="90"/>
        <v>1000</v>
      </c>
      <c r="E146">
        <f t="shared" si="91"/>
        <v>280</v>
      </c>
      <c r="F146">
        <f t="shared" si="92"/>
        <v>14.3</v>
      </c>
      <c r="G146">
        <f t="shared" si="93"/>
        <v>0.35337499999999999</v>
      </c>
      <c r="H146">
        <f t="shared" si="94"/>
        <v>64.680000000000007</v>
      </c>
      <c r="I146">
        <f t="shared" si="95"/>
        <v>231</v>
      </c>
      <c r="K146">
        <f t="shared" si="96"/>
        <v>156.75</v>
      </c>
      <c r="L146">
        <f t="shared" si="97"/>
        <v>43.89</v>
      </c>
      <c r="M146">
        <f t="shared" si="98"/>
        <v>4.62</v>
      </c>
      <c r="O146">
        <f t="shared" si="99"/>
        <v>4.62</v>
      </c>
      <c r="P146">
        <f t="shared" si="100"/>
        <v>4.5137399999999994</v>
      </c>
      <c r="R146">
        <f t="shared" si="112"/>
        <v>3.6181412639405202</v>
      </c>
      <c r="S146">
        <f t="shared" si="101"/>
        <v>3.3261339092872566</v>
      </c>
      <c r="T146">
        <f t="shared" si="102"/>
        <v>46.2</v>
      </c>
      <c r="U146">
        <f t="shared" si="103"/>
        <v>220</v>
      </c>
      <c r="V146">
        <f t="shared" si="104"/>
        <v>57.805000000000007</v>
      </c>
      <c r="W146">
        <f t="shared" si="105"/>
        <v>98.944999999999993</v>
      </c>
      <c r="X146">
        <f>I146*E146/'[1]Inverter Analysis'!$L$2</f>
        <v>154.99291994138247</v>
      </c>
      <c r="Y146">
        <f t="shared" si="106"/>
        <v>510.36682615629985</v>
      </c>
      <c r="Z146">
        <f t="shared" si="107"/>
        <v>1383.9633249718881</v>
      </c>
      <c r="AA146">
        <f t="shared" si="108"/>
        <v>346.32034632034635</v>
      </c>
      <c r="AB146">
        <f t="shared" si="109"/>
        <v>49.224610261088174</v>
      </c>
      <c r="AC146">
        <f t="shared" si="110"/>
        <v>1.4525254668500732E-2</v>
      </c>
    </row>
    <row r="147" spans="1:29" hidden="1">
      <c r="A147">
        <v>12</v>
      </c>
      <c r="B147">
        <v>3</v>
      </c>
      <c r="C147" s="9">
        <v>6</v>
      </c>
      <c r="D147">
        <f t="shared" si="90"/>
        <v>750</v>
      </c>
      <c r="E147">
        <f t="shared" si="91"/>
        <v>210</v>
      </c>
      <c r="F147">
        <f t="shared" si="92"/>
        <v>14.04</v>
      </c>
      <c r="G147">
        <f t="shared" si="93"/>
        <v>0.61680000000000024</v>
      </c>
      <c r="H147">
        <f t="shared" si="94"/>
        <v>63.504000000000005</v>
      </c>
      <c r="I147">
        <f t="shared" si="95"/>
        <v>302.40000000000003</v>
      </c>
      <c r="K147">
        <f t="shared" si="96"/>
        <v>205.20000000000002</v>
      </c>
      <c r="L147">
        <f t="shared" si="97"/>
        <v>43.091999999999999</v>
      </c>
      <c r="M147">
        <f t="shared" si="98"/>
        <v>4.5360000000000005</v>
      </c>
      <c r="O147">
        <f t="shared" si="99"/>
        <v>4.5360000000000005</v>
      </c>
      <c r="P147">
        <f t="shared" si="100"/>
        <v>4.4316720000000007</v>
      </c>
      <c r="R147">
        <f t="shared" si="112"/>
        <v>3.5523568773234202</v>
      </c>
      <c r="S147">
        <f t="shared" si="101"/>
        <v>2.7213822894168467</v>
      </c>
      <c r="T147">
        <f t="shared" si="102"/>
        <v>50.400000000000006</v>
      </c>
      <c r="U147">
        <f t="shared" si="103"/>
        <v>216</v>
      </c>
      <c r="V147">
        <f t="shared" si="104"/>
        <v>75.671999999999969</v>
      </c>
      <c r="W147">
        <f t="shared" si="105"/>
        <v>129.52800000000005</v>
      </c>
      <c r="X147">
        <f>I147*E147/'[1]Inverter Analysis'!$L$2</f>
        <v>152.17486685153915</v>
      </c>
      <c r="Y147">
        <f t="shared" si="106"/>
        <v>389.86354775828454</v>
      </c>
      <c r="Z147">
        <f t="shared" si="107"/>
        <v>1057.1942065757485</v>
      </c>
      <c r="AA147">
        <f t="shared" si="108"/>
        <v>264.5502645502645</v>
      </c>
      <c r="AB147">
        <f t="shared" si="109"/>
        <v>28.723851473725286</v>
      </c>
      <c r="AC147">
        <f t="shared" si="110"/>
        <v>2.4439619479377402E-2</v>
      </c>
    </row>
    <row r="148" spans="1:29" hidden="1">
      <c r="A148">
        <v>10</v>
      </c>
      <c r="B148">
        <v>3</v>
      </c>
      <c r="C148" s="9">
        <v>7</v>
      </c>
      <c r="D148">
        <f t="shared" si="90"/>
        <v>750</v>
      </c>
      <c r="E148">
        <f t="shared" si="91"/>
        <v>210</v>
      </c>
      <c r="F148">
        <f t="shared" si="92"/>
        <v>13.65</v>
      </c>
      <c r="G148">
        <f t="shared" si="93"/>
        <v>0.59966666666666679</v>
      </c>
      <c r="H148">
        <f t="shared" si="94"/>
        <v>61.74</v>
      </c>
      <c r="I148">
        <f t="shared" si="95"/>
        <v>294</v>
      </c>
      <c r="K148">
        <f t="shared" si="96"/>
        <v>199.5</v>
      </c>
      <c r="L148">
        <f t="shared" si="97"/>
        <v>41.895000000000003</v>
      </c>
      <c r="M148">
        <f t="shared" si="98"/>
        <v>4.41</v>
      </c>
      <c r="O148">
        <f t="shared" si="99"/>
        <v>4.41</v>
      </c>
      <c r="P148">
        <f t="shared" si="100"/>
        <v>4.3085699999999996</v>
      </c>
      <c r="R148">
        <f t="shared" si="112"/>
        <v>3.4536802973977694</v>
      </c>
      <c r="S148">
        <f t="shared" si="101"/>
        <v>2.2678185745140387</v>
      </c>
      <c r="T148">
        <f t="shared" si="102"/>
        <v>42</v>
      </c>
      <c r="U148">
        <f t="shared" si="103"/>
        <v>210</v>
      </c>
      <c r="V148">
        <f t="shared" si="104"/>
        <v>73.569999999999979</v>
      </c>
      <c r="W148">
        <f t="shared" si="105"/>
        <v>125.93000000000002</v>
      </c>
      <c r="X148">
        <f>I148*E148/'[1]Inverter Analysis'!$L$2</f>
        <v>147.94778721677417</v>
      </c>
      <c r="Y148">
        <f t="shared" si="106"/>
        <v>401.00250626566418</v>
      </c>
      <c r="Z148">
        <f t="shared" si="107"/>
        <v>1087.3997553350553</v>
      </c>
      <c r="AA148">
        <f t="shared" si="108"/>
        <v>272.10884353741494</v>
      </c>
      <c r="AB148">
        <f t="shared" si="109"/>
        <v>30.38866245710037</v>
      </c>
      <c r="AC148">
        <f t="shared" si="110"/>
        <v>2.2459033890138605E-2</v>
      </c>
    </row>
    <row r="149" spans="1:29" hidden="1">
      <c r="A149">
        <v>14</v>
      </c>
      <c r="B149">
        <v>3</v>
      </c>
      <c r="C149" s="9">
        <v>5</v>
      </c>
      <c r="D149">
        <f t="shared" si="90"/>
        <v>750</v>
      </c>
      <c r="E149">
        <f t="shared" si="91"/>
        <v>210</v>
      </c>
      <c r="F149">
        <f t="shared" si="92"/>
        <v>13.65</v>
      </c>
      <c r="G149">
        <f t="shared" si="93"/>
        <v>0.59966666666666679</v>
      </c>
      <c r="H149">
        <f t="shared" si="94"/>
        <v>61.74</v>
      </c>
      <c r="I149">
        <f t="shared" si="95"/>
        <v>294</v>
      </c>
      <c r="K149">
        <f t="shared" si="96"/>
        <v>199.5</v>
      </c>
      <c r="L149">
        <f t="shared" si="97"/>
        <v>41.895000000000003</v>
      </c>
      <c r="M149">
        <f t="shared" si="98"/>
        <v>4.41</v>
      </c>
      <c r="O149">
        <f t="shared" si="99"/>
        <v>4.41</v>
      </c>
      <c r="P149">
        <f t="shared" si="100"/>
        <v>4.3085699999999996</v>
      </c>
      <c r="R149">
        <f t="shared" si="112"/>
        <v>3.4536802973977694</v>
      </c>
      <c r="S149">
        <f t="shared" si="101"/>
        <v>3.1749460043196542</v>
      </c>
      <c r="T149">
        <f t="shared" si="102"/>
        <v>58.8</v>
      </c>
      <c r="U149">
        <f t="shared" si="103"/>
        <v>210</v>
      </c>
      <c r="V149">
        <f t="shared" si="104"/>
        <v>73.569999999999979</v>
      </c>
      <c r="W149">
        <f t="shared" si="105"/>
        <v>125.93000000000002</v>
      </c>
      <c r="X149">
        <f>I149*E149/'[1]Inverter Analysis'!$L$2</f>
        <v>147.94778721677417</v>
      </c>
      <c r="Y149">
        <f t="shared" si="106"/>
        <v>401.00250626566418</v>
      </c>
      <c r="Z149">
        <f t="shared" si="107"/>
        <v>1087.3997553350553</v>
      </c>
      <c r="AA149">
        <f t="shared" si="108"/>
        <v>272.10884353741494</v>
      </c>
      <c r="AB149">
        <f t="shared" si="109"/>
        <v>30.38866245710037</v>
      </c>
      <c r="AC149">
        <f t="shared" si="110"/>
        <v>2.2459033890138605E-2</v>
      </c>
    </row>
    <row r="150" spans="1:29" hidden="1">
      <c r="A150">
        <v>13</v>
      </c>
      <c r="B150">
        <v>4</v>
      </c>
      <c r="C150" s="9">
        <v>4</v>
      </c>
      <c r="D150">
        <f t="shared" si="90"/>
        <v>1000</v>
      </c>
      <c r="E150">
        <f t="shared" si="91"/>
        <v>280</v>
      </c>
      <c r="F150">
        <f t="shared" si="92"/>
        <v>13.52</v>
      </c>
      <c r="G150">
        <f t="shared" si="93"/>
        <v>0.33410000000000001</v>
      </c>
      <c r="H150">
        <f t="shared" si="94"/>
        <v>61.152000000000001</v>
      </c>
      <c r="I150">
        <f t="shared" si="95"/>
        <v>218.4</v>
      </c>
      <c r="K150">
        <f t="shared" si="96"/>
        <v>148.20000000000002</v>
      </c>
      <c r="L150">
        <f t="shared" si="97"/>
        <v>41.496000000000009</v>
      </c>
      <c r="M150">
        <f t="shared" si="98"/>
        <v>4.3680000000000003</v>
      </c>
      <c r="O150">
        <f t="shared" si="99"/>
        <v>4.3680000000000003</v>
      </c>
      <c r="P150">
        <f t="shared" si="100"/>
        <v>4.2675359999999998</v>
      </c>
      <c r="R150">
        <f t="shared" si="112"/>
        <v>3.4207881040892194</v>
      </c>
      <c r="S150">
        <f t="shared" si="101"/>
        <v>3.9308855291576674</v>
      </c>
      <c r="T150">
        <f t="shared" si="102"/>
        <v>54.6</v>
      </c>
      <c r="U150">
        <f t="shared" si="103"/>
        <v>208</v>
      </c>
      <c r="V150">
        <f t="shared" si="104"/>
        <v>54.652000000000015</v>
      </c>
      <c r="W150">
        <f t="shared" si="105"/>
        <v>93.548000000000002</v>
      </c>
      <c r="X150">
        <f>I150*E150/'[1]Inverter Analysis'!$L$2</f>
        <v>146.53876067185251</v>
      </c>
      <c r="Y150">
        <f t="shared" si="106"/>
        <v>539.81106612685551</v>
      </c>
      <c r="Z150">
        <f t="shared" si="107"/>
        <v>1463.8073629510352</v>
      </c>
      <c r="AA150">
        <f t="shared" si="108"/>
        <v>366.30036630036631</v>
      </c>
      <c r="AB150">
        <f t="shared" si="109"/>
        <v>55.068212292822359</v>
      </c>
      <c r="AC150">
        <f t="shared" si="110"/>
        <v>1.2275684498443584E-2</v>
      </c>
    </row>
    <row r="151" spans="1:29" hidden="1">
      <c r="A151">
        <v>10</v>
      </c>
      <c r="B151">
        <v>4</v>
      </c>
      <c r="C151" s="9">
        <v>5</v>
      </c>
      <c r="D151">
        <f t="shared" si="90"/>
        <v>1000</v>
      </c>
      <c r="E151">
        <f t="shared" si="91"/>
        <v>280</v>
      </c>
      <c r="F151">
        <f t="shared" si="92"/>
        <v>13</v>
      </c>
      <c r="G151">
        <f t="shared" si="93"/>
        <v>0.32125000000000004</v>
      </c>
      <c r="H151">
        <f t="shared" si="94"/>
        <v>58.8</v>
      </c>
      <c r="I151">
        <f t="shared" si="95"/>
        <v>210</v>
      </c>
      <c r="K151">
        <f t="shared" si="96"/>
        <v>142.5</v>
      </c>
      <c r="L151">
        <f t="shared" si="97"/>
        <v>39.9</v>
      </c>
      <c r="M151">
        <f t="shared" si="98"/>
        <v>4.2</v>
      </c>
      <c r="O151">
        <f t="shared" si="99"/>
        <v>4.2</v>
      </c>
      <c r="P151">
        <f t="shared" si="100"/>
        <v>4.1033999999999997</v>
      </c>
      <c r="R151">
        <f t="shared" si="112"/>
        <v>3.2892193308550186</v>
      </c>
      <c r="S151">
        <f t="shared" si="101"/>
        <v>3.0237580993520519</v>
      </c>
      <c r="T151">
        <f t="shared" si="102"/>
        <v>42</v>
      </c>
      <c r="U151">
        <f t="shared" si="103"/>
        <v>200</v>
      </c>
      <c r="V151">
        <f t="shared" si="104"/>
        <v>52.549999999999983</v>
      </c>
      <c r="W151">
        <f t="shared" si="105"/>
        <v>89.950000000000017</v>
      </c>
      <c r="X151">
        <f>I151*E151/'[1]Inverter Analysis'!$L$2</f>
        <v>140.90265449216588</v>
      </c>
      <c r="Y151">
        <f t="shared" si="106"/>
        <v>561.40350877192986</v>
      </c>
      <c r="Z151">
        <f t="shared" si="107"/>
        <v>1522.3596574690775</v>
      </c>
      <c r="AA151">
        <f t="shared" si="108"/>
        <v>380.95238095238096</v>
      </c>
      <c r="AB151">
        <f t="shared" si="109"/>
        <v>59.561778415916741</v>
      </c>
      <c r="AC151">
        <f t="shared" si="110"/>
        <v>1.091303881930933E-2</v>
      </c>
    </row>
    <row r="152" spans="1:29" hidden="1">
      <c r="A152">
        <v>11</v>
      </c>
      <c r="B152">
        <v>3</v>
      </c>
      <c r="C152" s="9">
        <v>6</v>
      </c>
      <c r="D152">
        <f t="shared" si="90"/>
        <v>750</v>
      </c>
      <c r="E152">
        <f t="shared" si="91"/>
        <v>210</v>
      </c>
      <c r="F152">
        <f t="shared" si="92"/>
        <v>12.87</v>
      </c>
      <c r="G152">
        <f t="shared" si="93"/>
        <v>0.56540000000000012</v>
      </c>
      <c r="H152">
        <f t="shared" si="94"/>
        <v>58.212000000000003</v>
      </c>
      <c r="I152">
        <f t="shared" si="95"/>
        <v>277.2</v>
      </c>
      <c r="K152">
        <f t="shared" si="96"/>
        <v>188.1</v>
      </c>
      <c r="L152">
        <f t="shared" si="97"/>
        <v>39.500999999999998</v>
      </c>
      <c r="M152">
        <f t="shared" si="98"/>
        <v>4.1580000000000004</v>
      </c>
      <c r="O152">
        <f t="shared" si="99"/>
        <v>4.1580000000000004</v>
      </c>
      <c r="P152">
        <f t="shared" si="100"/>
        <v>4.0623659999999999</v>
      </c>
      <c r="R152">
        <f t="shared" si="112"/>
        <v>3.2563271375464682</v>
      </c>
      <c r="S152">
        <f t="shared" si="101"/>
        <v>2.4946004319654427</v>
      </c>
      <c r="T152">
        <f t="shared" si="102"/>
        <v>46.199999999999996</v>
      </c>
      <c r="U152">
        <f t="shared" si="103"/>
        <v>198</v>
      </c>
      <c r="V152">
        <f t="shared" si="104"/>
        <v>69.365999999999971</v>
      </c>
      <c r="W152">
        <f t="shared" si="105"/>
        <v>118.73400000000002</v>
      </c>
      <c r="X152">
        <f>I152*E152/'[1]Inverter Analysis'!$L$2</f>
        <v>139.49362794724422</v>
      </c>
      <c r="Y152">
        <f t="shared" si="106"/>
        <v>425.30568846358324</v>
      </c>
      <c r="Z152">
        <f t="shared" si="107"/>
        <v>1153.3027708099073</v>
      </c>
      <c r="AA152">
        <f t="shared" si="108"/>
        <v>288.60028860028859</v>
      </c>
      <c r="AB152">
        <f t="shared" si="109"/>
        <v>34.183757125755704</v>
      </c>
      <c r="AC152">
        <f t="shared" si="110"/>
        <v>1.882473005037693E-2</v>
      </c>
    </row>
    <row r="153" spans="1:29" hidden="1">
      <c r="A153">
        <v>13</v>
      </c>
      <c r="B153">
        <v>3</v>
      </c>
      <c r="C153" s="9">
        <v>5</v>
      </c>
      <c r="D153">
        <f t="shared" si="90"/>
        <v>750</v>
      </c>
      <c r="E153">
        <f t="shared" si="91"/>
        <v>210</v>
      </c>
      <c r="F153">
        <f t="shared" si="92"/>
        <v>12.675000000000001</v>
      </c>
      <c r="G153">
        <f t="shared" si="93"/>
        <v>0.55683333333333351</v>
      </c>
      <c r="H153">
        <f t="shared" si="94"/>
        <v>57.33</v>
      </c>
      <c r="I153">
        <f t="shared" si="95"/>
        <v>273</v>
      </c>
      <c r="K153">
        <f t="shared" si="96"/>
        <v>185.25</v>
      </c>
      <c r="L153">
        <f t="shared" si="97"/>
        <v>38.902500000000003</v>
      </c>
      <c r="M153">
        <f t="shared" si="98"/>
        <v>4.0949999999999998</v>
      </c>
      <c r="O153">
        <f t="shared" si="99"/>
        <v>4.0949999999999998</v>
      </c>
      <c r="P153">
        <f t="shared" si="100"/>
        <v>4.0008150000000002</v>
      </c>
      <c r="R153">
        <f t="shared" si="112"/>
        <v>3.2069888475836428</v>
      </c>
      <c r="S153">
        <f t="shared" si="101"/>
        <v>2.9481641468682502</v>
      </c>
      <c r="T153">
        <f t="shared" si="102"/>
        <v>54.6</v>
      </c>
      <c r="U153">
        <f t="shared" si="103"/>
        <v>195</v>
      </c>
      <c r="V153">
        <f t="shared" si="104"/>
        <v>68.314999999999969</v>
      </c>
      <c r="W153">
        <f t="shared" si="105"/>
        <v>116.93500000000003</v>
      </c>
      <c r="X153">
        <f>I153*E153/'[1]Inverter Analysis'!$L$2</f>
        <v>137.38008812986172</v>
      </c>
      <c r="Y153">
        <f t="shared" si="106"/>
        <v>431.84885290148446</v>
      </c>
      <c r="Z153">
        <f t="shared" si="107"/>
        <v>1171.0458903608289</v>
      </c>
      <c r="AA153">
        <f t="shared" si="108"/>
        <v>293.04029304029302</v>
      </c>
      <c r="AB153">
        <f t="shared" si="109"/>
        <v>35.243655867406353</v>
      </c>
      <c r="AC153">
        <f t="shared" si="110"/>
        <v>1.7981959714516951E-2</v>
      </c>
    </row>
    <row r="154" spans="1:29" hidden="1">
      <c r="A154">
        <v>12</v>
      </c>
      <c r="B154">
        <v>4</v>
      </c>
      <c r="C154" s="9">
        <v>4</v>
      </c>
      <c r="D154">
        <f t="shared" si="90"/>
        <v>1000</v>
      </c>
      <c r="E154">
        <f t="shared" si="91"/>
        <v>280</v>
      </c>
      <c r="F154">
        <f t="shared" si="92"/>
        <v>12.48</v>
      </c>
      <c r="G154">
        <f t="shared" si="93"/>
        <v>0.30840000000000001</v>
      </c>
      <c r="H154">
        <f t="shared" si="94"/>
        <v>56.448000000000008</v>
      </c>
      <c r="I154">
        <f t="shared" si="95"/>
        <v>201.60000000000002</v>
      </c>
      <c r="K154">
        <f t="shared" si="96"/>
        <v>136.80000000000001</v>
      </c>
      <c r="L154">
        <f t="shared" si="97"/>
        <v>38.304000000000002</v>
      </c>
      <c r="M154">
        <f t="shared" si="98"/>
        <v>4.032</v>
      </c>
      <c r="O154">
        <f t="shared" si="99"/>
        <v>4.032</v>
      </c>
      <c r="P154">
        <f t="shared" si="100"/>
        <v>3.9392640000000001</v>
      </c>
      <c r="R154">
        <f t="shared" si="112"/>
        <v>3.1576505576208174</v>
      </c>
      <c r="S154">
        <f t="shared" si="101"/>
        <v>3.6285097192224627</v>
      </c>
      <c r="T154">
        <f t="shared" si="102"/>
        <v>50.400000000000006</v>
      </c>
      <c r="U154">
        <f t="shared" si="103"/>
        <v>192</v>
      </c>
      <c r="V154">
        <f t="shared" si="104"/>
        <v>50.448000000000008</v>
      </c>
      <c r="W154">
        <f t="shared" si="105"/>
        <v>86.352000000000004</v>
      </c>
      <c r="X154">
        <f>I154*E154/'[1]Inverter Analysis'!$L$2</f>
        <v>135.26654831247924</v>
      </c>
      <c r="Y154">
        <f t="shared" si="106"/>
        <v>584.79532163742681</v>
      </c>
      <c r="Z154">
        <f t="shared" si="107"/>
        <v>1585.7913098636218</v>
      </c>
      <c r="AA154">
        <f t="shared" si="108"/>
        <v>396.82539682539681</v>
      </c>
      <c r="AB154">
        <f t="shared" si="109"/>
        <v>64.628665815881831</v>
      </c>
      <c r="AC154">
        <f t="shared" si="110"/>
        <v>9.6551583128404676E-3</v>
      </c>
    </row>
    <row r="155" spans="1:29" hidden="1">
      <c r="A155">
        <v>16</v>
      </c>
      <c r="B155">
        <v>3</v>
      </c>
      <c r="C155" s="9">
        <v>4</v>
      </c>
      <c r="D155">
        <f t="shared" si="90"/>
        <v>750</v>
      </c>
      <c r="E155">
        <f t="shared" si="91"/>
        <v>210</v>
      </c>
      <c r="F155">
        <f t="shared" si="92"/>
        <v>12.48</v>
      </c>
      <c r="G155">
        <f t="shared" si="93"/>
        <v>0.54826666666666679</v>
      </c>
      <c r="H155">
        <f t="shared" si="94"/>
        <v>56.448</v>
      </c>
      <c r="I155">
        <f t="shared" si="95"/>
        <v>268.8</v>
      </c>
      <c r="K155">
        <f t="shared" si="96"/>
        <v>182.4</v>
      </c>
      <c r="L155">
        <f t="shared" si="97"/>
        <v>38.304000000000002</v>
      </c>
      <c r="M155">
        <f t="shared" si="98"/>
        <v>4.032</v>
      </c>
      <c r="O155">
        <f t="shared" si="99"/>
        <v>4.032</v>
      </c>
      <c r="P155">
        <f t="shared" si="100"/>
        <v>3.9392640000000001</v>
      </c>
      <c r="R155">
        <f>M155*(($M$3-$L$3)/($M$3-$O$3))</f>
        <v>3.1576505576208174</v>
      </c>
      <c r="S155">
        <f t="shared" si="101"/>
        <v>3.6285097192224622</v>
      </c>
      <c r="T155">
        <f t="shared" si="102"/>
        <v>67.2</v>
      </c>
      <c r="U155">
        <f t="shared" si="103"/>
        <v>192</v>
      </c>
      <c r="V155">
        <f t="shared" si="104"/>
        <v>67.263999999999982</v>
      </c>
      <c r="W155">
        <f t="shared" si="105"/>
        <v>115.13600000000002</v>
      </c>
      <c r="X155">
        <f>I155*E155/'[1]Inverter Analysis'!$L$2</f>
        <v>135.26654831247924</v>
      </c>
      <c r="Y155">
        <f t="shared" si="106"/>
        <v>438.59649122807014</v>
      </c>
      <c r="Z155">
        <f t="shared" si="107"/>
        <v>1189.3434823977168</v>
      </c>
      <c r="AA155">
        <f t="shared" si="108"/>
        <v>297.61904761904759</v>
      </c>
      <c r="AB155">
        <f t="shared" si="109"/>
        <v>36.353624521433552</v>
      </c>
      <c r="AC155">
        <f t="shared" si="110"/>
        <v>1.7164725889494158E-2</v>
      </c>
    </row>
    <row r="156" spans="1:29">
      <c r="A156">
        <v>13</v>
      </c>
      <c r="B156">
        <v>2</v>
      </c>
      <c r="C156" s="9">
        <v>7</v>
      </c>
      <c r="D156">
        <f t="shared" si="90"/>
        <v>500</v>
      </c>
      <c r="E156">
        <f t="shared" si="91"/>
        <v>140</v>
      </c>
      <c r="F156">
        <f t="shared" si="92"/>
        <v>11.83</v>
      </c>
      <c r="G156">
        <f t="shared" si="93"/>
        <v>1.1693500000000001</v>
      </c>
      <c r="H156">
        <f t="shared" si="94"/>
        <v>53.508000000000003</v>
      </c>
      <c r="I156">
        <f t="shared" si="95"/>
        <v>382.2</v>
      </c>
      <c r="K156">
        <f t="shared" si="96"/>
        <v>259.35000000000002</v>
      </c>
      <c r="L156">
        <f t="shared" si="97"/>
        <v>36.308999999999997</v>
      </c>
      <c r="M156">
        <f t="shared" si="98"/>
        <v>3.8220000000000001</v>
      </c>
      <c r="O156">
        <f t="shared" si="99"/>
        <v>3.8220000000000001</v>
      </c>
      <c r="P156">
        <f t="shared" si="100"/>
        <v>3.7340939999999998</v>
      </c>
      <c r="R156" s="4">
        <f>O156*(($M$3-$L$3)/($M$3-$O$3))</f>
        <v>2.9931895910780666</v>
      </c>
      <c r="S156">
        <f t="shared" si="101"/>
        <v>1.9654427645788335</v>
      </c>
      <c r="T156">
        <f t="shared" si="102"/>
        <v>54.6</v>
      </c>
      <c r="U156">
        <f t="shared" si="103"/>
        <v>182</v>
      </c>
      <c r="V156">
        <f t="shared" si="104"/>
        <v>95.64100000000002</v>
      </c>
      <c r="W156">
        <f t="shared" si="105"/>
        <v>163.709</v>
      </c>
      <c r="X156">
        <f>I156*E156/'[1]Inverter Analysis'!$L$2</f>
        <v>128.22141558787095</v>
      </c>
      <c r="Y156">
        <f t="shared" si="106"/>
        <v>308.46346635820316</v>
      </c>
      <c r="Z156">
        <f t="shared" si="107"/>
        <v>836.46135025773447</v>
      </c>
      <c r="AA156">
        <f t="shared" si="108"/>
        <v>209.31449502878075</v>
      </c>
      <c r="AB156">
        <f t="shared" si="109"/>
        <v>17.981457075207302</v>
      </c>
      <c r="AC156">
        <f t="shared" si="110"/>
        <v>3.2894998304423051E-2</v>
      </c>
    </row>
    <row r="157" spans="1:29">
      <c r="A157">
        <v>10</v>
      </c>
      <c r="B157">
        <v>2</v>
      </c>
      <c r="C157" s="9">
        <v>9</v>
      </c>
      <c r="D157">
        <f t="shared" si="90"/>
        <v>500</v>
      </c>
      <c r="E157">
        <f t="shared" si="91"/>
        <v>140</v>
      </c>
      <c r="F157">
        <f t="shared" si="92"/>
        <v>11.7</v>
      </c>
      <c r="G157">
        <f t="shared" si="93"/>
        <v>1.1565000000000001</v>
      </c>
      <c r="H157">
        <f t="shared" si="94"/>
        <v>52.92</v>
      </c>
      <c r="I157">
        <f t="shared" si="95"/>
        <v>378</v>
      </c>
      <c r="K157">
        <f t="shared" si="96"/>
        <v>256.5</v>
      </c>
      <c r="L157">
        <f t="shared" si="97"/>
        <v>35.909999999999997</v>
      </c>
      <c r="M157">
        <f t="shared" si="98"/>
        <v>3.78</v>
      </c>
      <c r="O157">
        <f t="shared" si="99"/>
        <v>3.78</v>
      </c>
      <c r="P157">
        <f t="shared" si="100"/>
        <v>3.69306</v>
      </c>
      <c r="R157" s="4">
        <f>O157*(($M$3-$L$3)/($M$3-$O$3))</f>
        <v>2.9602973977695162</v>
      </c>
      <c r="S157">
        <f t="shared" si="101"/>
        <v>1.5118790496760259</v>
      </c>
      <c r="T157">
        <f t="shared" si="102"/>
        <v>42</v>
      </c>
      <c r="U157">
        <f t="shared" si="103"/>
        <v>180</v>
      </c>
      <c r="V157">
        <f t="shared" si="104"/>
        <v>94.589999999999975</v>
      </c>
      <c r="W157">
        <f t="shared" si="105"/>
        <v>161.91000000000003</v>
      </c>
      <c r="X157">
        <f>I157*E157/'[1]Inverter Analysis'!$L$2</f>
        <v>126.81238904294929</v>
      </c>
      <c r="Y157">
        <f t="shared" si="106"/>
        <v>311.89083820662768</v>
      </c>
      <c r="Z157">
        <f t="shared" si="107"/>
        <v>845.75536526059864</v>
      </c>
      <c r="AA157">
        <f t="shared" si="108"/>
        <v>211.64021164021165</v>
      </c>
      <c r="AB157">
        <f t="shared" si="109"/>
        <v>18.383264943184177</v>
      </c>
      <c r="AC157">
        <f t="shared" si="110"/>
        <v>3.1822421197106009E-2</v>
      </c>
    </row>
    <row r="158" spans="1:29" hidden="1">
      <c r="A158">
        <v>10</v>
      </c>
      <c r="B158">
        <v>3</v>
      </c>
      <c r="C158" s="9">
        <v>6</v>
      </c>
      <c r="D158">
        <f t="shared" si="90"/>
        <v>750</v>
      </c>
      <c r="E158">
        <f t="shared" si="91"/>
        <v>210</v>
      </c>
      <c r="F158">
        <f t="shared" si="92"/>
        <v>11.7</v>
      </c>
      <c r="G158">
        <f t="shared" si="93"/>
        <v>0.51400000000000012</v>
      </c>
      <c r="H158">
        <f t="shared" si="94"/>
        <v>52.92</v>
      </c>
      <c r="I158">
        <f t="shared" si="95"/>
        <v>252</v>
      </c>
      <c r="K158">
        <f t="shared" si="96"/>
        <v>171</v>
      </c>
      <c r="L158">
        <f t="shared" si="97"/>
        <v>35.909999999999997</v>
      </c>
      <c r="M158">
        <f t="shared" si="98"/>
        <v>3.78</v>
      </c>
      <c r="O158">
        <f t="shared" si="99"/>
        <v>3.78</v>
      </c>
      <c r="P158">
        <f t="shared" si="100"/>
        <v>3.69306</v>
      </c>
      <c r="R158">
        <f>O158*(($M$3-$L$3)/($M$3-$O$3))</f>
        <v>2.9602973977695162</v>
      </c>
      <c r="S158">
        <f t="shared" si="101"/>
        <v>2.2678185745140387</v>
      </c>
      <c r="T158">
        <f t="shared" si="102"/>
        <v>42</v>
      </c>
      <c r="U158">
        <f t="shared" si="103"/>
        <v>180</v>
      </c>
      <c r="V158">
        <f t="shared" si="104"/>
        <v>63.059999999999974</v>
      </c>
      <c r="W158">
        <f t="shared" si="105"/>
        <v>107.94000000000003</v>
      </c>
      <c r="X158">
        <f>I158*E158/'[1]Inverter Analysis'!$L$2</f>
        <v>126.81238904294929</v>
      </c>
      <c r="Y158">
        <f t="shared" si="106"/>
        <v>467.83625730994152</v>
      </c>
      <c r="Z158">
        <f t="shared" si="107"/>
        <v>1268.6330478908981</v>
      </c>
      <c r="AA158">
        <f t="shared" si="108"/>
        <v>317.46031746031747</v>
      </c>
      <c r="AB158">
        <f t="shared" si="109"/>
        <v>41.362346122164411</v>
      </c>
      <c r="AC158">
        <f t="shared" si="110"/>
        <v>1.414329830982489E-2</v>
      </c>
    </row>
    <row r="159" spans="1:29" hidden="1">
      <c r="A159">
        <v>15</v>
      </c>
      <c r="B159">
        <v>2</v>
      </c>
      <c r="C159" s="9">
        <v>6</v>
      </c>
      <c r="D159">
        <f t="shared" si="90"/>
        <v>500</v>
      </c>
      <c r="E159">
        <f t="shared" si="91"/>
        <v>140</v>
      </c>
      <c r="F159">
        <f t="shared" si="92"/>
        <v>11.7</v>
      </c>
      <c r="G159">
        <f t="shared" si="93"/>
        <v>1.1565000000000001</v>
      </c>
      <c r="H159">
        <f t="shared" si="94"/>
        <v>52.92</v>
      </c>
      <c r="I159">
        <f t="shared" si="95"/>
        <v>378</v>
      </c>
      <c r="K159">
        <f t="shared" si="96"/>
        <v>256.5</v>
      </c>
      <c r="L159">
        <f t="shared" si="97"/>
        <v>35.909999999999997</v>
      </c>
      <c r="M159">
        <f t="shared" si="98"/>
        <v>3.78</v>
      </c>
      <c r="O159">
        <f t="shared" si="99"/>
        <v>3.78</v>
      </c>
      <c r="P159">
        <f t="shared" si="100"/>
        <v>3.69306</v>
      </c>
      <c r="R159">
        <f>M159*(($M$3-$L$3)/($M$3-$O$3))</f>
        <v>2.9602973977695162</v>
      </c>
      <c r="S159">
        <f t="shared" si="101"/>
        <v>2.2678185745140387</v>
      </c>
      <c r="T159">
        <f t="shared" si="102"/>
        <v>63</v>
      </c>
      <c r="U159">
        <f t="shared" si="103"/>
        <v>180</v>
      </c>
      <c r="V159">
        <f t="shared" si="104"/>
        <v>94.589999999999975</v>
      </c>
      <c r="W159">
        <f t="shared" si="105"/>
        <v>161.91000000000003</v>
      </c>
      <c r="X159">
        <f>I159*E159/'[1]Inverter Analysis'!$L$2</f>
        <v>126.81238904294929</v>
      </c>
      <c r="Y159">
        <f t="shared" si="106"/>
        <v>311.89083820662768</v>
      </c>
      <c r="Z159">
        <f t="shared" si="107"/>
        <v>845.75536526059864</v>
      </c>
      <c r="AA159">
        <f t="shared" si="108"/>
        <v>211.64021164021165</v>
      </c>
      <c r="AB159">
        <f t="shared" si="109"/>
        <v>18.383264943184177</v>
      </c>
      <c r="AC159">
        <f t="shared" si="110"/>
        <v>3.1822421197106009E-2</v>
      </c>
    </row>
    <row r="160" spans="1:29" hidden="1">
      <c r="A160">
        <v>12</v>
      </c>
      <c r="B160">
        <v>3</v>
      </c>
      <c r="C160" s="9">
        <v>5</v>
      </c>
      <c r="D160">
        <f t="shared" si="90"/>
        <v>750</v>
      </c>
      <c r="E160">
        <f t="shared" si="91"/>
        <v>210</v>
      </c>
      <c r="F160">
        <f t="shared" si="92"/>
        <v>11.7</v>
      </c>
      <c r="G160">
        <f t="shared" si="93"/>
        <v>0.51400000000000012</v>
      </c>
      <c r="H160">
        <f t="shared" si="94"/>
        <v>52.92</v>
      </c>
      <c r="I160">
        <f t="shared" si="95"/>
        <v>252</v>
      </c>
      <c r="K160">
        <f t="shared" si="96"/>
        <v>171</v>
      </c>
      <c r="L160">
        <f t="shared" si="97"/>
        <v>35.909999999999997</v>
      </c>
      <c r="M160">
        <f t="shared" si="98"/>
        <v>3.78</v>
      </c>
      <c r="O160">
        <f t="shared" si="99"/>
        <v>3.78</v>
      </c>
      <c r="P160">
        <f t="shared" si="100"/>
        <v>3.69306</v>
      </c>
      <c r="R160">
        <f>O160*(($M$3-$L$3)/($M$3-$O$3))</f>
        <v>2.9602973977695162</v>
      </c>
      <c r="S160">
        <f t="shared" si="101"/>
        <v>2.7213822894168467</v>
      </c>
      <c r="T160">
        <f t="shared" si="102"/>
        <v>50.4</v>
      </c>
      <c r="U160">
        <f t="shared" si="103"/>
        <v>180</v>
      </c>
      <c r="V160">
        <f t="shared" si="104"/>
        <v>63.059999999999974</v>
      </c>
      <c r="W160">
        <f t="shared" si="105"/>
        <v>107.94000000000003</v>
      </c>
      <c r="X160">
        <f>I160*E160/'[1]Inverter Analysis'!$L$2</f>
        <v>126.81238904294929</v>
      </c>
      <c r="Y160">
        <f t="shared" si="106"/>
        <v>467.83625730994152</v>
      </c>
      <c r="Z160">
        <f t="shared" si="107"/>
        <v>1268.6330478908981</v>
      </c>
      <c r="AA160">
        <f t="shared" si="108"/>
        <v>317.46031746031747</v>
      </c>
      <c r="AB160">
        <f t="shared" si="109"/>
        <v>41.362346122164411</v>
      </c>
      <c r="AC160">
        <f t="shared" si="110"/>
        <v>1.414329830982489E-2</v>
      </c>
    </row>
    <row r="161" spans="1:29" hidden="1">
      <c r="A161">
        <v>15</v>
      </c>
      <c r="B161">
        <v>3</v>
      </c>
      <c r="C161" s="9">
        <v>4</v>
      </c>
      <c r="D161">
        <f t="shared" si="90"/>
        <v>750</v>
      </c>
      <c r="E161">
        <f t="shared" si="91"/>
        <v>210</v>
      </c>
      <c r="F161">
        <f t="shared" si="92"/>
        <v>11.7</v>
      </c>
      <c r="G161">
        <f t="shared" si="93"/>
        <v>0.51400000000000012</v>
      </c>
      <c r="H161">
        <f t="shared" si="94"/>
        <v>52.92</v>
      </c>
      <c r="I161">
        <f t="shared" si="95"/>
        <v>252</v>
      </c>
      <c r="K161">
        <f t="shared" si="96"/>
        <v>171</v>
      </c>
      <c r="L161">
        <f t="shared" si="97"/>
        <v>35.909999999999997</v>
      </c>
      <c r="M161">
        <f t="shared" si="98"/>
        <v>3.78</v>
      </c>
      <c r="O161">
        <f t="shared" si="99"/>
        <v>3.78</v>
      </c>
      <c r="P161">
        <f t="shared" si="100"/>
        <v>3.69306</v>
      </c>
      <c r="R161">
        <f>M161*(($M$3-$L$3)/($M$3-$O$3))</f>
        <v>2.9602973977695162</v>
      </c>
      <c r="S161">
        <f t="shared" si="101"/>
        <v>3.4017278617710582</v>
      </c>
      <c r="T161">
        <f t="shared" si="102"/>
        <v>63</v>
      </c>
      <c r="U161">
        <f t="shared" si="103"/>
        <v>180</v>
      </c>
      <c r="V161">
        <f t="shared" si="104"/>
        <v>63.059999999999974</v>
      </c>
      <c r="W161">
        <f t="shared" si="105"/>
        <v>107.94000000000003</v>
      </c>
      <c r="X161">
        <f>I161*E161/'[1]Inverter Analysis'!$L$2</f>
        <v>126.81238904294929</v>
      </c>
      <c r="Y161">
        <f t="shared" si="106"/>
        <v>467.83625730994152</v>
      </c>
      <c r="Z161">
        <f t="shared" si="107"/>
        <v>1268.6330478908981</v>
      </c>
      <c r="AA161">
        <f t="shared" si="108"/>
        <v>317.46031746031747</v>
      </c>
      <c r="AB161">
        <f t="shared" si="109"/>
        <v>41.362346122164411</v>
      </c>
      <c r="AC161">
        <f t="shared" si="110"/>
        <v>1.414329830982489E-2</v>
      </c>
    </row>
    <row r="162" spans="1:29">
      <c r="A162">
        <v>11</v>
      </c>
      <c r="B162">
        <v>2</v>
      </c>
      <c r="C162" s="9">
        <v>8</v>
      </c>
      <c r="D162">
        <f t="shared" si="90"/>
        <v>500</v>
      </c>
      <c r="E162">
        <f t="shared" si="91"/>
        <v>140</v>
      </c>
      <c r="F162">
        <f t="shared" si="92"/>
        <v>11.44</v>
      </c>
      <c r="G162">
        <f t="shared" si="93"/>
        <v>1.1308</v>
      </c>
      <c r="H162">
        <f t="shared" si="94"/>
        <v>51.744</v>
      </c>
      <c r="I162">
        <f t="shared" si="95"/>
        <v>369.6</v>
      </c>
      <c r="K162">
        <f t="shared" si="96"/>
        <v>250.8</v>
      </c>
      <c r="L162">
        <f t="shared" si="97"/>
        <v>35.112000000000002</v>
      </c>
      <c r="M162">
        <f t="shared" si="98"/>
        <v>3.6960000000000002</v>
      </c>
      <c r="O162">
        <f t="shared" si="99"/>
        <v>3.6960000000000002</v>
      </c>
      <c r="P162">
        <f t="shared" si="100"/>
        <v>3.610992</v>
      </c>
      <c r="R162" s="4">
        <f t="shared" ref="R162:R168" si="113">O162*(($M$3-$L$3)/($M$3-$O$3))</f>
        <v>2.8945130111524162</v>
      </c>
      <c r="S162">
        <f t="shared" si="101"/>
        <v>1.6630669546436285</v>
      </c>
      <c r="T162">
        <f t="shared" si="102"/>
        <v>46.2</v>
      </c>
      <c r="U162">
        <f t="shared" si="103"/>
        <v>176</v>
      </c>
      <c r="V162">
        <f t="shared" si="104"/>
        <v>92.488</v>
      </c>
      <c r="W162">
        <f t="shared" si="105"/>
        <v>158.31200000000001</v>
      </c>
      <c r="X162">
        <f>I162*E162/'[1]Inverter Analysis'!$L$2</f>
        <v>123.99433595310597</v>
      </c>
      <c r="Y162">
        <f t="shared" si="106"/>
        <v>318.97926634768737</v>
      </c>
      <c r="Z162">
        <f t="shared" si="107"/>
        <v>864.9770781074302</v>
      </c>
      <c r="AA162">
        <f t="shared" si="108"/>
        <v>216.45021645021643</v>
      </c>
      <c r="AB162">
        <f t="shared" si="109"/>
        <v>19.228363383237575</v>
      </c>
      <c r="AC162">
        <f t="shared" si="110"/>
        <v>2.9747721561089485E-2</v>
      </c>
    </row>
    <row r="163" spans="1:29" hidden="1">
      <c r="A163">
        <v>11</v>
      </c>
      <c r="B163">
        <v>4</v>
      </c>
      <c r="C163" s="9">
        <v>4</v>
      </c>
      <c r="D163">
        <f t="shared" si="90"/>
        <v>1000</v>
      </c>
      <c r="E163">
        <f t="shared" si="91"/>
        <v>280</v>
      </c>
      <c r="F163">
        <f t="shared" si="92"/>
        <v>11.44</v>
      </c>
      <c r="G163">
        <f t="shared" si="93"/>
        <v>0.28270000000000001</v>
      </c>
      <c r="H163">
        <f t="shared" si="94"/>
        <v>51.744</v>
      </c>
      <c r="I163">
        <f t="shared" si="95"/>
        <v>184.8</v>
      </c>
      <c r="K163">
        <f t="shared" si="96"/>
        <v>125.4</v>
      </c>
      <c r="L163">
        <f t="shared" si="97"/>
        <v>35.112000000000002</v>
      </c>
      <c r="M163">
        <f t="shared" si="98"/>
        <v>3.6960000000000002</v>
      </c>
      <c r="O163">
        <f t="shared" si="99"/>
        <v>3.6960000000000002</v>
      </c>
      <c r="P163">
        <f t="shared" si="100"/>
        <v>3.610992</v>
      </c>
      <c r="R163">
        <f t="shared" si="113"/>
        <v>2.8945130111524162</v>
      </c>
      <c r="S163">
        <f t="shared" si="101"/>
        <v>3.3261339092872571</v>
      </c>
      <c r="T163">
        <f t="shared" si="102"/>
        <v>46.2</v>
      </c>
      <c r="U163">
        <f t="shared" si="103"/>
        <v>176</v>
      </c>
      <c r="V163">
        <f t="shared" si="104"/>
        <v>46.244</v>
      </c>
      <c r="W163">
        <f t="shared" si="105"/>
        <v>79.156000000000006</v>
      </c>
      <c r="X163">
        <f>I163*E163/'[1]Inverter Analysis'!$L$2</f>
        <v>123.99433595310597</v>
      </c>
      <c r="Y163">
        <f t="shared" si="106"/>
        <v>637.95853269537474</v>
      </c>
      <c r="Z163">
        <f t="shared" si="107"/>
        <v>1729.9541562148604</v>
      </c>
      <c r="AA163">
        <f t="shared" si="108"/>
        <v>432.90043290043286</v>
      </c>
      <c r="AB163">
        <f t="shared" si="109"/>
        <v>76.9134535329503</v>
      </c>
      <c r="AC163">
        <f t="shared" si="110"/>
        <v>7.4369303902723713E-3</v>
      </c>
    </row>
    <row r="164" spans="1:29">
      <c r="A164">
        <v>12</v>
      </c>
      <c r="B164">
        <v>2</v>
      </c>
      <c r="C164" s="9">
        <v>7</v>
      </c>
      <c r="D164">
        <f t="shared" si="90"/>
        <v>500</v>
      </c>
      <c r="E164">
        <f t="shared" si="91"/>
        <v>140</v>
      </c>
      <c r="F164">
        <f t="shared" si="92"/>
        <v>10.92</v>
      </c>
      <c r="G164">
        <f t="shared" si="93"/>
        <v>1.0794000000000001</v>
      </c>
      <c r="H164">
        <f t="shared" si="94"/>
        <v>49.392000000000003</v>
      </c>
      <c r="I164">
        <f t="shared" si="95"/>
        <v>352.8</v>
      </c>
      <c r="K164">
        <f t="shared" si="96"/>
        <v>239.4</v>
      </c>
      <c r="L164">
        <f t="shared" si="97"/>
        <v>33.515999999999998</v>
      </c>
      <c r="M164">
        <f t="shared" si="98"/>
        <v>3.528</v>
      </c>
      <c r="O164">
        <f t="shared" si="99"/>
        <v>3.528</v>
      </c>
      <c r="P164">
        <f t="shared" si="100"/>
        <v>3.4468559999999999</v>
      </c>
      <c r="R164" s="4">
        <f t="shared" si="113"/>
        <v>2.7629442379182154</v>
      </c>
      <c r="S164">
        <f t="shared" si="101"/>
        <v>1.8142548596112309</v>
      </c>
      <c r="T164">
        <f t="shared" si="102"/>
        <v>50.4</v>
      </c>
      <c r="U164">
        <f t="shared" si="103"/>
        <v>168</v>
      </c>
      <c r="V164">
        <f t="shared" si="104"/>
        <v>88.283999999999992</v>
      </c>
      <c r="W164">
        <f t="shared" si="105"/>
        <v>151.11600000000001</v>
      </c>
      <c r="X164">
        <f>I164*E164/'[1]Inverter Analysis'!$L$2</f>
        <v>118.35822977341934</v>
      </c>
      <c r="Y164">
        <f t="shared" si="106"/>
        <v>334.16875522138679</v>
      </c>
      <c r="Z164">
        <f t="shared" si="107"/>
        <v>906.16646277921268</v>
      </c>
      <c r="AA164">
        <f t="shared" si="108"/>
        <v>226.75736961451247</v>
      </c>
      <c r="AB164">
        <f t="shared" si="109"/>
        <v>21.103237817430809</v>
      </c>
      <c r="AC164">
        <f t="shared" si="110"/>
        <v>2.5872807041439679E-2</v>
      </c>
    </row>
    <row r="165" spans="1:29">
      <c r="A165">
        <v>14</v>
      </c>
      <c r="B165">
        <v>2</v>
      </c>
      <c r="C165" s="9">
        <v>6</v>
      </c>
      <c r="D165">
        <f t="shared" si="90"/>
        <v>500</v>
      </c>
      <c r="E165">
        <f t="shared" si="91"/>
        <v>140</v>
      </c>
      <c r="F165">
        <f t="shared" si="92"/>
        <v>10.92</v>
      </c>
      <c r="G165">
        <f t="shared" si="93"/>
        <v>1.0794000000000001</v>
      </c>
      <c r="H165">
        <f t="shared" si="94"/>
        <v>49.392000000000003</v>
      </c>
      <c r="I165">
        <f t="shared" si="95"/>
        <v>352.8</v>
      </c>
      <c r="K165">
        <f t="shared" si="96"/>
        <v>239.4</v>
      </c>
      <c r="L165">
        <f t="shared" si="97"/>
        <v>33.515999999999998</v>
      </c>
      <c r="M165">
        <f t="shared" si="98"/>
        <v>3.528</v>
      </c>
      <c r="O165">
        <f t="shared" si="99"/>
        <v>3.528</v>
      </c>
      <c r="P165">
        <f t="shared" si="100"/>
        <v>3.4468559999999999</v>
      </c>
      <c r="R165" s="4">
        <f t="shared" si="113"/>
        <v>2.7629442379182154</v>
      </c>
      <c r="S165">
        <f t="shared" si="101"/>
        <v>2.1166306695464363</v>
      </c>
      <c r="T165">
        <f t="shared" si="102"/>
        <v>58.800000000000004</v>
      </c>
      <c r="U165">
        <f t="shared" si="103"/>
        <v>168</v>
      </c>
      <c r="V165">
        <f t="shared" si="104"/>
        <v>88.283999999999992</v>
      </c>
      <c r="W165">
        <f t="shared" si="105"/>
        <v>151.11600000000001</v>
      </c>
      <c r="X165">
        <f>I165*E165/'[1]Inverter Analysis'!$L$2</f>
        <v>118.35822977341934</v>
      </c>
      <c r="Y165">
        <f t="shared" si="106"/>
        <v>334.16875522138679</v>
      </c>
      <c r="Z165">
        <f t="shared" si="107"/>
        <v>906.16646277921268</v>
      </c>
      <c r="AA165">
        <f t="shared" si="108"/>
        <v>226.75736961451247</v>
      </c>
      <c r="AB165">
        <f t="shared" si="109"/>
        <v>21.103237817430809</v>
      </c>
      <c r="AC165">
        <f t="shared" si="110"/>
        <v>2.5872807041439679E-2</v>
      </c>
    </row>
    <row r="166" spans="1:29" hidden="1">
      <c r="A166">
        <v>14</v>
      </c>
      <c r="B166">
        <v>3</v>
      </c>
      <c r="C166" s="9">
        <v>4</v>
      </c>
      <c r="D166">
        <f t="shared" ref="D166:D194" si="114">B166*$K$3</f>
        <v>750</v>
      </c>
      <c r="E166">
        <f t="shared" ref="E166:E194" si="115">B166*$I$3</f>
        <v>210</v>
      </c>
      <c r="F166">
        <f t="shared" ref="F166:F194" si="116">A166*B166*C166*$T$3/1000</f>
        <v>10.92</v>
      </c>
      <c r="G166">
        <f t="shared" ref="G166:G194" si="117">((B166*$U$3^(-1))^(-1))*A166*C166</f>
        <v>0.47973333333333346</v>
      </c>
      <c r="H166">
        <f t="shared" ref="H166:H194" si="118">E166*I166/1000</f>
        <v>49.392000000000003</v>
      </c>
      <c r="I166">
        <f t="shared" ref="I166:I194" si="119">A166*C166*4.2</f>
        <v>235.20000000000002</v>
      </c>
      <c r="K166">
        <f t="shared" ref="K166:K194" si="120">C166*A166*$L$3</f>
        <v>159.6</v>
      </c>
      <c r="L166">
        <f t="shared" ref="L166:L194" si="121">E166*K166/1000</f>
        <v>33.515999999999998</v>
      </c>
      <c r="M166">
        <f t="shared" ref="M166:M194" si="122">$P$3/1000*I166*B166/1000</f>
        <v>3.528</v>
      </c>
      <c r="O166">
        <f t="shared" ref="O166:O194" si="123">$R$3/1000*I166*B166/1000</f>
        <v>3.528</v>
      </c>
      <c r="P166">
        <f t="shared" ref="P166:P194" si="124">$S$3/1000*I166*B166/1000</f>
        <v>3.4468559999999999</v>
      </c>
      <c r="R166">
        <f t="shared" si="113"/>
        <v>2.7629442379182154</v>
      </c>
      <c r="S166">
        <f t="shared" ref="S166:S194" si="125">$H$3/1000*B166*I166/277.8/C166</f>
        <v>3.1749460043196547</v>
      </c>
      <c r="T166">
        <f t="shared" ref="T166:T194" si="126">I166/C166</f>
        <v>58.800000000000004</v>
      </c>
      <c r="U166">
        <f t="shared" ref="U166:U194" si="127">(A166*B166*C166)</f>
        <v>168</v>
      </c>
      <c r="V166">
        <f t="shared" ref="V166:V194" si="128">K166-(G166*E166)</f>
        <v>58.855999999999966</v>
      </c>
      <c r="W166">
        <f t="shared" ref="W166:W194" si="129">G166*E166</f>
        <v>100.74400000000003</v>
      </c>
      <c r="X166">
        <f>I166*E166/'[1]Inverter Analysis'!$L$2</f>
        <v>118.35822977341934</v>
      </c>
      <c r="Y166">
        <f t="shared" ref="Y166:Y194" si="130">80000/K166</f>
        <v>501.25313283208021</v>
      </c>
      <c r="Z166">
        <f t="shared" ref="Z166:Z194" si="131">80000/V166</f>
        <v>1359.2496941688196</v>
      </c>
      <c r="AA166">
        <f t="shared" ref="AA166:AA194" si="132">80000/I166</f>
        <v>340.13605442176868</v>
      </c>
      <c r="AB166">
        <f t="shared" ref="AB166:AB194" si="133">(MAX(Y166:AA166)^2)*$U$3/1000</f>
        <v>47.48228508921936</v>
      </c>
      <c r="AC166">
        <f t="shared" ref="AC166:AC194" si="134">($V$3*F166/(AB166*1000))*10</f>
        <v>1.1499025351750961E-2</v>
      </c>
    </row>
    <row r="167" spans="1:29" hidden="1">
      <c r="A167">
        <v>11</v>
      </c>
      <c r="B167">
        <v>3</v>
      </c>
      <c r="C167" s="9">
        <v>5</v>
      </c>
      <c r="D167">
        <f t="shared" si="114"/>
        <v>750</v>
      </c>
      <c r="E167">
        <f t="shared" si="115"/>
        <v>210</v>
      </c>
      <c r="F167">
        <f t="shared" si="116"/>
        <v>10.725</v>
      </c>
      <c r="G167">
        <f t="shared" si="117"/>
        <v>0.47116666666666673</v>
      </c>
      <c r="H167">
        <f t="shared" si="118"/>
        <v>48.51</v>
      </c>
      <c r="I167">
        <f t="shared" si="119"/>
        <v>231</v>
      </c>
      <c r="K167">
        <f t="shared" si="120"/>
        <v>156.75</v>
      </c>
      <c r="L167">
        <f t="shared" si="121"/>
        <v>32.917499999999997</v>
      </c>
      <c r="M167">
        <f t="shared" si="122"/>
        <v>3.4649999999999999</v>
      </c>
      <c r="O167">
        <f t="shared" si="123"/>
        <v>3.4649999999999999</v>
      </c>
      <c r="P167">
        <f t="shared" si="124"/>
        <v>3.3853049999999998</v>
      </c>
      <c r="R167">
        <f t="shared" si="113"/>
        <v>2.71360594795539</v>
      </c>
      <c r="S167">
        <f t="shared" si="125"/>
        <v>2.4946004319654427</v>
      </c>
      <c r="T167">
        <f t="shared" si="126"/>
        <v>46.2</v>
      </c>
      <c r="U167">
        <f t="shared" si="127"/>
        <v>165</v>
      </c>
      <c r="V167">
        <f t="shared" si="128"/>
        <v>57.804999999999993</v>
      </c>
      <c r="W167">
        <f t="shared" si="129"/>
        <v>98.945000000000007</v>
      </c>
      <c r="X167">
        <f>I167*E167/'[1]Inverter Analysis'!$L$2</f>
        <v>116.24468995603685</v>
      </c>
      <c r="Y167">
        <f t="shared" si="130"/>
        <v>510.36682615629985</v>
      </c>
      <c r="Z167">
        <f t="shared" si="131"/>
        <v>1383.9633249718884</v>
      </c>
      <c r="AA167">
        <f t="shared" si="132"/>
        <v>346.32034632034635</v>
      </c>
      <c r="AB167">
        <f t="shared" si="133"/>
        <v>49.224610261088195</v>
      </c>
      <c r="AC167">
        <f t="shared" si="134"/>
        <v>1.0893941001375543E-2</v>
      </c>
    </row>
    <row r="168" spans="1:29" hidden="1">
      <c r="A168">
        <v>10</v>
      </c>
      <c r="B168">
        <v>2</v>
      </c>
      <c r="C168" s="9">
        <v>8</v>
      </c>
      <c r="D168">
        <f t="shared" si="114"/>
        <v>500</v>
      </c>
      <c r="E168">
        <f t="shared" si="115"/>
        <v>140</v>
      </c>
      <c r="F168">
        <f t="shared" si="116"/>
        <v>10.4</v>
      </c>
      <c r="G168">
        <f t="shared" si="117"/>
        <v>1.028</v>
      </c>
      <c r="H168">
        <f t="shared" si="118"/>
        <v>47.04</v>
      </c>
      <c r="I168">
        <f t="shared" si="119"/>
        <v>336</v>
      </c>
      <c r="K168">
        <f t="shared" si="120"/>
        <v>228</v>
      </c>
      <c r="L168">
        <f t="shared" si="121"/>
        <v>31.92</v>
      </c>
      <c r="M168">
        <f t="shared" si="122"/>
        <v>3.36</v>
      </c>
      <c r="O168">
        <f t="shared" si="123"/>
        <v>3.36</v>
      </c>
      <c r="P168">
        <f t="shared" si="124"/>
        <v>3.2827199999999999</v>
      </c>
      <c r="R168">
        <f t="shared" si="113"/>
        <v>2.6313754646840146</v>
      </c>
      <c r="S168">
        <f t="shared" si="125"/>
        <v>1.5118790496760259</v>
      </c>
      <c r="T168">
        <f t="shared" si="126"/>
        <v>42</v>
      </c>
      <c r="U168">
        <f t="shared" si="127"/>
        <v>160</v>
      </c>
      <c r="V168">
        <f t="shared" si="128"/>
        <v>84.079999999999984</v>
      </c>
      <c r="W168">
        <f t="shared" si="129"/>
        <v>143.92000000000002</v>
      </c>
      <c r="X168">
        <f>I168*E168/'[1]Inverter Analysis'!$L$2</f>
        <v>112.7221235937327</v>
      </c>
      <c r="Y168">
        <f t="shared" si="130"/>
        <v>350.87719298245617</v>
      </c>
      <c r="Z168">
        <f t="shared" si="131"/>
        <v>951.47478591817332</v>
      </c>
      <c r="AA168">
        <f t="shared" si="132"/>
        <v>238.0952380952381</v>
      </c>
      <c r="AB168">
        <f t="shared" si="133"/>
        <v>23.26631969371747</v>
      </c>
      <c r="AC168">
        <f t="shared" si="134"/>
        <v>2.2349903501945517E-2</v>
      </c>
    </row>
    <row r="169" spans="1:29" hidden="1">
      <c r="A169">
        <v>16</v>
      </c>
      <c r="B169">
        <v>2</v>
      </c>
      <c r="C169" s="9">
        <v>5</v>
      </c>
      <c r="D169">
        <f t="shared" si="114"/>
        <v>500</v>
      </c>
      <c r="E169">
        <f t="shared" si="115"/>
        <v>140</v>
      </c>
      <c r="F169">
        <f t="shared" si="116"/>
        <v>10.4</v>
      </c>
      <c r="G169">
        <f t="shared" si="117"/>
        <v>1.028</v>
      </c>
      <c r="H169">
        <f t="shared" si="118"/>
        <v>47.04</v>
      </c>
      <c r="I169">
        <f t="shared" si="119"/>
        <v>336</v>
      </c>
      <c r="K169">
        <f t="shared" si="120"/>
        <v>228</v>
      </c>
      <c r="L169">
        <f t="shared" si="121"/>
        <v>31.92</v>
      </c>
      <c r="M169">
        <f t="shared" si="122"/>
        <v>3.36</v>
      </c>
      <c r="O169">
        <f t="shared" si="123"/>
        <v>3.36</v>
      </c>
      <c r="P169">
        <f t="shared" si="124"/>
        <v>3.2827199999999999</v>
      </c>
      <c r="R169">
        <f>M169*(($M$3-$L$3)/($M$3-$O$3))</f>
        <v>2.6313754646840146</v>
      </c>
      <c r="S169">
        <f t="shared" si="125"/>
        <v>2.4190064794816415</v>
      </c>
      <c r="T169">
        <f t="shared" si="126"/>
        <v>67.2</v>
      </c>
      <c r="U169">
        <f t="shared" si="127"/>
        <v>160</v>
      </c>
      <c r="V169">
        <f t="shared" si="128"/>
        <v>84.079999999999984</v>
      </c>
      <c r="W169">
        <f t="shared" si="129"/>
        <v>143.92000000000002</v>
      </c>
      <c r="X169">
        <f>I169*E169/'[1]Inverter Analysis'!$L$2</f>
        <v>112.7221235937327</v>
      </c>
      <c r="Y169">
        <f t="shared" si="130"/>
        <v>350.87719298245617</v>
      </c>
      <c r="Z169">
        <f t="shared" si="131"/>
        <v>951.47478591817332</v>
      </c>
      <c r="AA169">
        <f t="shared" si="132"/>
        <v>238.0952380952381</v>
      </c>
      <c r="AB169">
        <f t="shared" si="133"/>
        <v>23.26631969371747</v>
      </c>
      <c r="AC169">
        <f t="shared" si="134"/>
        <v>2.2349903501945517E-2</v>
      </c>
    </row>
    <row r="170" spans="1:29" hidden="1">
      <c r="A170">
        <v>10</v>
      </c>
      <c r="B170">
        <v>4</v>
      </c>
      <c r="C170" s="9">
        <v>4</v>
      </c>
      <c r="D170">
        <f t="shared" si="114"/>
        <v>1000</v>
      </c>
      <c r="E170">
        <f t="shared" si="115"/>
        <v>280</v>
      </c>
      <c r="F170">
        <f t="shared" si="116"/>
        <v>10.4</v>
      </c>
      <c r="G170">
        <f t="shared" si="117"/>
        <v>0.25700000000000001</v>
      </c>
      <c r="H170">
        <f t="shared" si="118"/>
        <v>47.04</v>
      </c>
      <c r="I170">
        <f t="shared" si="119"/>
        <v>168</v>
      </c>
      <c r="K170">
        <f t="shared" si="120"/>
        <v>114</v>
      </c>
      <c r="L170">
        <f t="shared" si="121"/>
        <v>31.92</v>
      </c>
      <c r="M170">
        <f t="shared" si="122"/>
        <v>3.36</v>
      </c>
      <c r="O170">
        <f t="shared" si="123"/>
        <v>3.36</v>
      </c>
      <c r="P170">
        <f t="shared" si="124"/>
        <v>3.2827199999999999</v>
      </c>
      <c r="R170">
        <f>O170*(($M$3-$L$3)/($M$3-$O$3))</f>
        <v>2.6313754646840146</v>
      </c>
      <c r="S170">
        <f t="shared" si="125"/>
        <v>3.0237580993520519</v>
      </c>
      <c r="T170">
        <f t="shared" si="126"/>
        <v>42</v>
      </c>
      <c r="U170">
        <f t="shared" si="127"/>
        <v>160</v>
      </c>
      <c r="V170">
        <f t="shared" si="128"/>
        <v>42.039999999999992</v>
      </c>
      <c r="W170">
        <f t="shared" si="129"/>
        <v>71.960000000000008</v>
      </c>
      <c r="X170">
        <f>I170*E170/'[1]Inverter Analysis'!$L$2</f>
        <v>112.7221235937327</v>
      </c>
      <c r="Y170">
        <f t="shared" si="130"/>
        <v>701.75438596491233</v>
      </c>
      <c r="Z170">
        <f t="shared" si="131"/>
        <v>1902.9495718363466</v>
      </c>
      <c r="AA170">
        <f t="shared" si="132"/>
        <v>476.1904761904762</v>
      </c>
      <c r="AB170">
        <f t="shared" si="133"/>
        <v>93.065278774869881</v>
      </c>
      <c r="AC170">
        <f t="shared" si="134"/>
        <v>5.5874758754863793E-3</v>
      </c>
    </row>
    <row r="171" spans="1:29" hidden="1">
      <c r="A171">
        <v>13</v>
      </c>
      <c r="B171">
        <v>2</v>
      </c>
      <c r="C171" s="9">
        <v>6</v>
      </c>
      <c r="D171">
        <f t="shared" si="114"/>
        <v>500</v>
      </c>
      <c r="E171">
        <f t="shared" si="115"/>
        <v>140</v>
      </c>
      <c r="F171">
        <f t="shared" si="116"/>
        <v>10.14</v>
      </c>
      <c r="G171">
        <f t="shared" si="117"/>
        <v>1.0023</v>
      </c>
      <c r="H171">
        <f t="shared" si="118"/>
        <v>45.863999999999997</v>
      </c>
      <c r="I171">
        <f t="shared" si="119"/>
        <v>327.60000000000002</v>
      </c>
      <c r="K171">
        <f t="shared" si="120"/>
        <v>222.3</v>
      </c>
      <c r="L171">
        <f t="shared" si="121"/>
        <v>31.122</v>
      </c>
      <c r="M171">
        <f t="shared" si="122"/>
        <v>3.2759999999999998</v>
      </c>
      <c r="O171">
        <f t="shared" si="123"/>
        <v>3.2759999999999998</v>
      </c>
      <c r="P171">
        <f t="shared" si="124"/>
        <v>3.2006519999999998</v>
      </c>
      <c r="R171">
        <f>O171*(($M$3-$L$3)/($M$3-$O$3))</f>
        <v>2.5655910780669142</v>
      </c>
      <c r="S171">
        <f t="shared" si="125"/>
        <v>1.9654427645788335</v>
      </c>
      <c r="T171">
        <f t="shared" si="126"/>
        <v>54.6</v>
      </c>
      <c r="U171">
        <f t="shared" si="127"/>
        <v>156</v>
      </c>
      <c r="V171">
        <f t="shared" si="128"/>
        <v>81.978000000000009</v>
      </c>
      <c r="W171">
        <f t="shared" si="129"/>
        <v>140.322</v>
      </c>
      <c r="X171">
        <f>I171*E171/'[1]Inverter Analysis'!$L$2</f>
        <v>109.90407050388939</v>
      </c>
      <c r="Y171">
        <f t="shared" si="130"/>
        <v>359.87404408457036</v>
      </c>
      <c r="Z171">
        <f t="shared" si="131"/>
        <v>975.87157530069032</v>
      </c>
      <c r="AA171">
        <f t="shared" si="132"/>
        <v>244.20024420024419</v>
      </c>
      <c r="AB171">
        <f t="shared" si="133"/>
        <v>24.474761019032169</v>
      </c>
      <c r="AC171">
        <f t="shared" si="134"/>
        <v>2.0715217591123547E-2</v>
      </c>
    </row>
    <row r="172" spans="1:29" hidden="1">
      <c r="A172">
        <v>13</v>
      </c>
      <c r="B172">
        <v>3</v>
      </c>
      <c r="C172" s="9">
        <v>4</v>
      </c>
      <c r="D172">
        <f t="shared" si="114"/>
        <v>750</v>
      </c>
      <c r="E172">
        <f t="shared" si="115"/>
        <v>210</v>
      </c>
      <c r="F172">
        <f t="shared" si="116"/>
        <v>10.14</v>
      </c>
      <c r="G172">
        <f t="shared" si="117"/>
        <v>0.44546666666666679</v>
      </c>
      <c r="H172">
        <f t="shared" si="118"/>
        <v>45.863999999999997</v>
      </c>
      <c r="I172">
        <f t="shared" si="119"/>
        <v>218.4</v>
      </c>
      <c r="K172">
        <f t="shared" si="120"/>
        <v>148.20000000000002</v>
      </c>
      <c r="L172">
        <f t="shared" si="121"/>
        <v>31.122000000000003</v>
      </c>
      <c r="M172">
        <f t="shared" si="122"/>
        <v>3.2759999999999998</v>
      </c>
      <c r="O172">
        <f t="shared" si="123"/>
        <v>3.2759999999999998</v>
      </c>
      <c r="P172">
        <f t="shared" si="124"/>
        <v>3.2006519999999998</v>
      </c>
      <c r="R172">
        <f>O172*(($M$3-$L$3)/($M$3-$O$3))</f>
        <v>2.5655910780669142</v>
      </c>
      <c r="S172">
        <f t="shared" si="125"/>
        <v>2.9481641468682502</v>
      </c>
      <c r="T172">
        <f t="shared" si="126"/>
        <v>54.6</v>
      </c>
      <c r="U172">
        <f t="shared" si="127"/>
        <v>156</v>
      </c>
      <c r="V172">
        <f t="shared" si="128"/>
        <v>54.651999999999987</v>
      </c>
      <c r="W172">
        <f t="shared" si="129"/>
        <v>93.54800000000003</v>
      </c>
      <c r="X172">
        <f>I172*E172/'[1]Inverter Analysis'!$L$2</f>
        <v>109.90407050388939</v>
      </c>
      <c r="Y172">
        <f t="shared" si="130"/>
        <v>539.81106612685551</v>
      </c>
      <c r="Z172">
        <f t="shared" si="131"/>
        <v>1463.8073629510359</v>
      </c>
      <c r="AA172">
        <f t="shared" si="132"/>
        <v>366.30036630036631</v>
      </c>
      <c r="AB172">
        <f t="shared" si="133"/>
        <v>55.068212292822402</v>
      </c>
      <c r="AC172">
        <f t="shared" si="134"/>
        <v>9.2067633738326833E-3</v>
      </c>
    </row>
    <row r="173" spans="1:29" hidden="1">
      <c r="A173">
        <v>11</v>
      </c>
      <c r="B173">
        <v>2</v>
      </c>
      <c r="C173" s="9">
        <v>7</v>
      </c>
      <c r="D173">
        <f t="shared" si="114"/>
        <v>500</v>
      </c>
      <c r="E173">
        <f t="shared" si="115"/>
        <v>140</v>
      </c>
      <c r="F173">
        <f t="shared" si="116"/>
        <v>10.01</v>
      </c>
      <c r="G173">
        <f t="shared" si="117"/>
        <v>0.98945000000000005</v>
      </c>
      <c r="H173">
        <f t="shared" si="118"/>
        <v>45.27600000000001</v>
      </c>
      <c r="I173">
        <f t="shared" si="119"/>
        <v>323.40000000000003</v>
      </c>
      <c r="K173">
        <f t="shared" si="120"/>
        <v>219.45000000000002</v>
      </c>
      <c r="L173">
        <f t="shared" si="121"/>
        <v>30.723000000000003</v>
      </c>
      <c r="M173">
        <f t="shared" si="122"/>
        <v>3.2340000000000004</v>
      </c>
      <c r="O173">
        <f t="shared" si="123"/>
        <v>3.2340000000000004</v>
      </c>
      <c r="P173">
        <f t="shared" si="124"/>
        <v>3.1596180000000005</v>
      </c>
      <c r="R173">
        <f>O173*(($M$3-$L$3)/($M$3-$O$3))</f>
        <v>2.5326988847583642</v>
      </c>
      <c r="S173">
        <f t="shared" si="125"/>
        <v>1.6630669546436287</v>
      </c>
      <c r="T173">
        <f t="shared" si="126"/>
        <v>46.2</v>
      </c>
      <c r="U173">
        <f t="shared" si="127"/>
        <v>154</v>
      </c>
      <c r="V173">
        <f t="shared" si="128"/>
        <v>80.927000000000021</v>
      </c>
      <c r="W173">
        <f t="shared" si="129"/>
        <v>138.523</v>
      </c>
      <c r="X173">
        <f>I173*E173/'[1]Inverter Analysis'!$L$2</f>
        <v>108.49504395896774</v>
      </c>
      <c r="Y173">
        <f t="shared" si="130"/>
        <v>364.54773296878557</v>
      </c>
      <c r="Z173">
        <f t="shared" si="131"/>
        <v>988.54523212277707</v>
      </c>
      <c r="AA173">
        <f t="shared" si="132"/>
        <v>247.37167594310449</v>
      </c>
      <c r="AB173">
        <f t="shared" si="133"/>
        <v>25.114597071983752</v>
      </c>
      <c r="AC173">
        <f t="shared" si="134"/>
        <v>1.9928649405183008E-2</v>
      </c>
    </row>
    <row r="174" spans="1:29" hidden="1">
      <c r="A174">
        <v>10</v>
      </c>
      <c r="B174">
        <v>3</v>
      </c>
      <c r="C174" s="9">
        <v>5</v>
      </c>
      <c r="D174">
        <f t="shared" si="114"/>
        <v>750</v>
      </c>
      <c r="E174">
        <f t="shared" si="115"/>
        <v>210</v>
      </c>
      <c r="F174">
        <f t="shared" si="116"/>
        <v>9.75</v>
      </c>
      <c r="G174">
        <f t="shared" si="117"/>
        <v>0.4283333333333334</v>
      </c>
      <c r="H174">
        <f t="shared" si="118"/>
        <v>44.1</v>
      </c>
      <c r="I174">
        <f t="shared" si="119"/>
        <v>210</v>
      </c>
      <c r="K174">
        <f t="shared" si="120"/>
        <v>142.5</v>
      </c>
      <c r="L174">
        <f t="shared" si="121"/>
        <v>29.925000000000001</v>
      </c>
      <c r="M174">
        <f t="shared" si="122"/>
        <v>3.15</v>
      </c>
      <c r="O174">
        <f t="shared" si="123"/>
        <v>3.15</v>
      </c>
      <c r="P174">
        <f t="shared" si="124"/>
        <v>3.0775499999999996</v>
      </c>
      <c r="R174">
        <f>O174*(($M$3-$L$3)/($M$3-$O$3))</f>
        <v>2.4669144981412638</v>
      </c>
      <c r="S174">
        <f t="shared" si="125"/>
        <v>2.2678185745140391</v>
      </c>
      <c r="T174">
        <f t="shared" si="126"/>
        <v>42</v>
      </c>
      <c r="U174">
        <f t="shared" si="127"/>
        <v>150</v>
      </c>
      <c r="V174">
        <f t="shared" si="128"/>
        <v>52.549999999999983</v>
      </c>
      <c r="W174">
        <f t="shared" si="129"/>
        <v>89.950000000000017</v>
      </c>
      <c r="X174">
        <f>I174*E174/'[1]Inverter Analysis'!$L$2</f>
        <v>105.67699086912441</v>
      </c>
      <c r="Y174">
        <f t="shared" si="130"/>
        <v>561.40350877192986</v>
      </c>
      <c r="Z174">
        <f t="shared" si="131"/>
        <v>1522.3596574690775</v>
      </c>
      <c r="AA174">
        <f t="shared" si="132"/>
        <v>380.95238095238096</v>
      </c>
      <c r="AB174">
        <f t="shared" si="133"/>
        <v>59.561778415916741</v>
      </c>
      <c r="AC174">
        <f t="shared" si="134"/>
        <v>8.1847791144819982E-3</v>
      </c>
    </row>
    <row r="175" spans="1:29" hidden="1">
      <c r="A175">
        <v>15</v>
      </c>
      <c r="B175">
        <v>2</v>
      </c>
      <c r="C175" s="9">
        <v>5</v>
      </c>
      <c r="D175">
        <f t="shared" si="114"/>
        <v>500</v>
      </c>
      <c r="E175">
        <f t="shared" si="115"/>
        <v>140</v>
      </c>
      <c r="F175">
        <f t="shared" si="116"/>
        <v>9.75</v>
      </c>
      <c r="G175">
        <f t="shared" si="117"/>
        <v>0.96375</v>
      </c>
      <c r="H175">
        <f t="shared" si="118"/>
        <v>44.1</v>
      </c>
      <c r="I175">
        <f t="shared" si="119"/>
        <v>315</v>
      </c>
      <c r="K175">
        <f t="shared" si="120"/>
        <v>213.75</v>
      </c>
      <c r="L175">
        <f t="shared" si="121"/>
        <v>29.925000000000001</v>
      </c>
      <c r="M175">
        <f t="shared" si="122"/>
        <v>3.15</v>
      </c>
      <c r="O175">
        <f t="shared" si="123"/>
        <v>3.15</v>
      </c>
      <c r="P175">
        <f t="shared" si="124"/>
        <v>3.0775499999999996</v>
      </c>
      <c r="R175">
        <f>M175*(($M$3-$L$3)/($M$3-$O$3))</f>
        <v>2.4669144981412638</v>
      </c>
      <c r="S175">
        <f t="shared" si="125"/>
        <v>2.2678185745140391</v>
      </c>
      <c r="T175">
        <f t="shared" si="126"/>
        <v>63</v>
      </c>
      <c r="U175">
        <f t="shared" si="127"/>
        <v>150</v>
      </c>
      <c r="V175">
        <f t="shared" si="128"/>
        <v>78.824999999999989</v>
      </c>
      <c r="W175">
        <f t="shared" si="129"/>
        <v>134.92500000000001</v>
      </c>
      <c r="X175">
        <f>I175*E175/'[1]Inverter Analysis'!$L$2</f>
        <v>105.67699086912441</v>
      </c>
      <c r="Y175">
        <f t="shared" si="130"/>
        <v>374.26900584795322</v>
      </c>
      <c r="Z175">
        <f t="shared" si="131"/>
        <v>1014.9064383127181</v>
      </c>
      <c r="AA175">
        <f t="shared" si="132"/>
        <v>253.96825396825398</v>
      </c>
      <c r="AB175">
        <f t="shared" si="133"/>
        <v>26.471901518185206</v>
      </c>
      <c r="AC175">
        <f t="shared" si="134"/>
        <v>1.8415753007584506E-2</v>
      </c>
    </row>
    <row r="176" spans="1:29" hidden="1">
      <c r="A176">
        <v>12</v>
      </c>
      <c r="B176">
        <v>2</v>
      </c>
      <c r="C176" s="9">
        <v>6</v>
      </c>
      <c r="D176">
        <f t="shared" si="114"/>
        <v>500</v>
      </c>
      <c r="E176">
        <f t="shared" si="115"/>
        <v>140</v>
      </c>
      <c r="F176">
        <f t="shared" si="116"/>
        <v>9.36</v>
      </c>
      <c r="G176">
        <f t="shared" si="117"/>
        <v>0.92520000000000002</v>
      </c>
      <c r="H176">
        <f t="shared" si="118"/>
        <v>42.336000000000006</v>
      </c>
      <c r="I176">
        <f t="shared" si="119"/>
        <v>302.40000000000003</v>
      </c>
      <c r="K176">
        <f t="shared" si="120"/>
        <v>205.20000000000002</v>
      </c>
      <c r="L176">
        <f t="shared" si="121"/>
        <v>28.728000000000005</v>
      </c>
      <c r="M176">
        <f t="shared" si="122"/>
        <v>3.0240000000000005</v>
      </c>
      <c r="O176">
        <f t="shared" si="123"/>
        <v>3.0240000000000005</v>
      </c>
      <c r="P176">
        <f t="shared" si="124"/>
        <v>2.9544480000000002</v>
      </c>
      <c r="R176">
        <f t="shared" ref="R176:R182" si="135">O176*(($M$3-$L$3)/($M$3-$O$3))</f>
        <v>2.3682379182156135</v>
      </c>
      <c r="S176">
        <f t="shared" si="125"/>
        <v>1.8142548596112313</v>
      </c>
      <c r="T176">
        <f t="shared" si="126"/>
        <v>50.400000000000006</v>
      </c>
      <c r="U176">
        <f t="shared" si="127"/>
        <v>144</v>
      </c>
      <c r="V176">
        <f t="shared" si="128"/>
        <v>75.672000000000025</v>
      </c>
      <c r="W176">
        <f t="shared" si="129"/>
        <v>129.52799999999999</v>
      </c>
      <c r="X176">
        <f>I176*E176/'[1]Inverter Analysis'!$L$2</f>
        <v>101.44991123435945</v>
      </c>
      <c r="Y176">
        <f t="shared" si="130"/>
        <v>389.86354775828454</v>
      </c>
      <c r="Z176">
        <f t="shared" si="131"/>
        <v>1057.1942065757476</v>
      </c>
      <c r="AA176">
        <f t="shared" si="132"/>
        <v>264.5502645502645</v>
      </c>
      <c r="AB176">
        <f t="shared" si="133"/>
        <v>28.723851473725237</v>
      </c>
      <c r="AC176">
        <f t="shared" si="134"/>
        <v>1.6293079652918298E-2</v>
      </c>
    </row>
    <row r="177" spans="1:29" hidden="1">
      <c r="A177">
        <v>12</v>
      </c>
      <c r="B177">
        <v>3</v>
      </c>
      <c r="C177" s="9">
        <v>4</v>
      </c>
      <c r="D177">
        <f t="shared" si="114"/>
        <v>750</v>
      </c>
      <c r="E177">
        <f t="shared" si="115"/>
        <v>210</v>
      </c>
      <c r="F177">
        <f t="shared" si="116"/>
        <v>9.36</v>
      </c>
      <c r="G177">
        <f t="shared" si="117"/>
        <v>0.41120000000000012</v>
      </c>
      <c r="H177">
        <f t="shared" si="118"/>
        <v>42.336000000000006</v>
      </c>
      <c r="I177">
        <f t="shared" si="119"/>
        <v>201.60000000000002</v>
      </c>
      <c r="K177">
        <f t="shared" si="120"/>
        <v>136.80000000000001</v>
      </c>
      <c r="L177">
        <f t="shared" si="121"/>
        <v>28.728000000000005</v>
      </c>
      <c r="M177">
        <f t="shared" si="122"/>
        <v>3.0240000000000005</v>
      </c>
      <c r="O177">
        <f t="shared" si="123"/>
        <v>3.0240000000000005</v>
      </c>
      <c r="P177">
        <f t="shared" si="124"/>
        <v>2.9544480000000002</v>
      </c>
      <c r="R177">
        <f t="shared" si="135"/>
        <v>2.3682379182156135</v>
      </c>
      <c r="S177">
        <f t="shared" si="125"/>
        <v>2.7213822894168471</v>
      </c>
      <c r="T177">
        <f t="shared" si="126"/>
        <v>50.400000000000006</v>
      </c>
      <c r="U177">
        <f t="shared" si="127"/>
        <v>144</v>
      </c>
      <c r="V177">
        <f t="shared" si="128"/>
        <v>50.447999999999979</v>
      </c>
      <c r="W177">
        <f t="shared" si="129"/>
        <v>86.352000000000032</v>
      </c>
      <c r="X177">
        <f>I177*E177/'[1]Inverter Analysis'!$L$2</f>
        <v>101.44991123435945</v>
      </c>
      <c r="Y177">
        <f t="shared" si="130"/>
        <v>584.79532163742681</v>
      </c>
      <c r="Z177">
        <f t="shared" si="131"/>
        <v>1585.7913098636227</v>
      </c>
      <c r="AA177">
        <f t="shared" si="132"/>
        <v>396.82539682539681</v>
      </c>
      <c r="AB177">
        <f t="shared" si="133"/>
        <v>64.628665815881902</v>
      </c>
      <c r="AC177">
        <f t="shared" si="134"/>
        <v>7.2413687346303424E-3</v>
      </c>
    </row>
    <row r="178" spans="1:29" hidden="1">
      <c r="A178">
        <v>10</v>
      </c>
      <c r="B178">
        <v>2</v>
      </c>
      <c r="C178" s="9">
        <v>7</v>
      </c>
      <c r="D178">
        <f t="shared" si="114"/>
        <v>500</v>
      </c>
      <c r="E178">
        <f t="shared" si="115"/>
        <v>140</v>
      </c>
      <c r="F178">
        <f t="shared" si="116"/>
        <v>9.1</v>
      </c>
      <c r="G178">
        <f t="shared" si="117"/>
        <v>0.89949999999999997</v>
      </c>
      <c r="H178">
        <f t="shared" si="118"/>
        <v>41.16</v>
      </c>
      <c r="I178">
        <f t="shared" si="119"/>
        <v>294</v>
      </c>
      <c r="K178">
        <f t="shared" si="120"/>
        <v>199.5</v>
      </c>
      <c r="L178">
        <f t="shared" si="121"/>
        <v>27.93</v>
      </c>
      <c r="M178">
        <f t="shared" si="122"/>
        <v>2.94</v>
      </c>
      <c r="O178">
        <f t="shared" si="123"/>
        <v>2.94</v>
      </c>
      <c r="P178">
        <f t="shared" si="124"/>
        <v>2.8723799999999997</v>
      </c>
      <c r="R178">
        <f t="shared" si="135"/>
        <v>2.3024535315985126</v>
      </c>
      <c r="S178">
        <f t="shared" si="125"/>
        <v>1.5118790496760257</v>
      </c>
      <c r="T178">
        <f t="shared" si="126"/>
        <v>42</v>
      </c>
      <c r="U178">
        <f t="shared" si="127"/>
        <v>140</v>
      </c>
      <c r="V178">
        <f t="shared" si="128"/>
        <v>73.570000000000007</v>
      </c>
      <c r="W178">
        <f t="shared" si="129"/>
        <v>125.92999999999999</v>
      </c>
      <c r="X178">
        <f>I178*E178/'[1]Inverter Analysis'!$L$2</f>
        <v>98.631858144516116</v>
      </c>
      <c r="Y178">
        <f t="shared" si="130"/>
        <v>401.00250626566418</v>
      </c>
      <c r="Z178">
        <f t="shared" si="131"/>
        <v>1087.399755335055</v>
      </c>
      <c r="AA178">
        <f t="shared" si="132"/>
        <v>272.10884353741494</v>
      </c>
      <c r="AB178">
        <f t="shared" si="133"/>
        <v>30.388662457100352</v>
      </c>
      <c r="AC178">
        <f t="shared" si="134"/>
        <v>1.4972689260092414E-2</v>
      </c>
    </row>
    <row r="179" spans="1:29" hidden="1">
      <c r="A179">
        <v>14</v>
      </c>
      <c r="B179">
        <v>2</v>
      </c>
      <c r="C179" s="9">
        <v>5</v>
      </c>
      <c r="D179">
        <f t="shared" si="114"/>
        <v>500</v>
      </c>
      <c r="E179">
        <f t="shared" si="115"/>
        <v>140</v>
      </c>
      <c r="F179">
        <f t="shared" si="116"/>
        <v>9.1</v>
      </c>
      <c r="G179">
        <f t="shared" si="117"/>
        <v>0.89949999999999997</v>
      </c>
      <c r="H179">
        <f t="shared" si="118"/>
        <v>41.16</v>
      </c>
      <c r="I179">
        <f t="shared" si="119"/>
        <v>294</v>
      </c>
      <c r="K179">
        <f t="shared" si="120"/>
        <v>199.5</v>
      </c>
      <c r="L179">
        <f t="shared" si="121"/>
        <v>27.93</v>
      </c>
      <c r="M179">
        <f t="shared" si="122"/>
        <v>2.94</v>
      </c>
      <c r="O179">
        <f t="shared" si="123"/>
        <v>2.94</v>
      </c>
      <c r="P179">
        <f t="shared" si="124"/>
        <v>2.8723799999999997</v>
      </c>
      <c r="R179">
        <f t="shared" si="135"/>
        <v>2.3024535315985126</v>
      </c>
      <c r="S179">
        <f t="shared" si="125"/>
        <v>2.1166306695464359</v>
      </c>
      <c r="T179">
        <f t="shared" si="126"/>
        <v>58.8</v>
      </c>
      <c r="U179">
        <f t="shared" si="127"/>
        <v>140</v>
      </c>
      <c r="V179">
        <f t="shared" si="128"/>
        <v>73.570000000000007</v>
      </c>
      <c r="W179">
        <f t="shared" si="129"/>
        <v>125.92999999999999</v>
      </c>
      <c r="X179">
        <f>I179*E179/'[1]Inverter Analysis'!$L$2</f>
        <v>98.631858144516116</v>
      </c>
      <c r="Y179">
        <f t="shared" si="130"/>
        <v>401.00250626566418</v>
      </c>
      <c r="Z179">
        <f t="shared" si="131"/>
        <v>1087.399755335055</v>
      </c>
      <c r="AA179">
        <f t="shared" si="132"/>
        <v>272.10884353741494</v>
      </c>
      <c r="AB179">
        <f t="shared" si="133"/>
        <v>30.388662457100352</v>
      </c>
      <c r="AC179">
        <f t="shared" si="134"/>
        <v>1.4972689260092414E-2</v>
      </c>
    </row>
    <row r="180" spans="1:29" hidden="1">
      <c r="A180">
        <v>11</v>
      </c>
      <c r="B180">
        <v>3</v>
      </c>
      <c r="C180" s="9">
        <v>4</v>
      </c>
      <c r="D180">
        <f t="shared" si="114"/>
        <v>750</v>
      </c>
      <c r="E180">
        <f t="shared" si="115"/>
        <v>210</v>
      </c>
      <c r="F180">
        <f t="shared" si="116"/>
        <v>8.58</v>
      </c>
      <c r="G180">
        <f t="shared" si="117"/>
        <v>0.3769333333333334</v>
      </c>
      <c r="H180">
        <f t="shared" si="118"/>
        <v>38.808</v>
      </c>
      <c r="I180">
        <f t="shared" si="119"/>
        <v>184.8</v>
      </c>
      <c r="K180">
        <f t="shared" si="120"/>
        <v>125.4</v>
      </c>
      <c r="L180">
        <f t="shared" si="121"/>
        <v>26.334</v>
      </c>
      <c r="M180">
        <f t="shared" si="122"/>
        <v>2.7719999999999998</v>
      </c>
      <c r="O180">
        <f t="shared" si="123"/>
        <v>2.7719999999999998</v>
      </c>
      <c r="P180">
        <f t="shared" si="124"/>
        <v>2.7082440000000001</v>
      </c>
      <c r="R180">
        <f t="shared" si="135"/>
        <v>2.1708847583643118</v>
      </c>
      <c r="S180">
        <f t="shared" si="125"/>
        <v>2.4946004319654427</v>
      </c>
      <c r="T180">
        <f t="shared" si="126"/>
        <v>46.2</v>
      </c>
      <c r="U180">
        <f t="shared" si="127"/>
        <v>132</v>
      </c>
      <c r="V180">
        <f t="shared" si="128"/>
        <v>46.243999999999986</v>
      </c>
      <c r="W180">
        <f t="shared" si="129"/>
        <v>79.15600000000002</v>
      </c>
      <c r="X180">
        <f>I180*E180/'[1]Inverter Analysis'!$L$2</f>
        <v>92.995751964829481</v>
      </c>
      <c r="Y180">
        <f t="shared" si="130"/>
        <v>637.95853269537474</v>
      </c>
      <c r="Z180">
        <f t="shared" si="131"/>
        <v>1729.9541562148609</v>
      </c>
      <c r="AA180">
        <f t="shared" si="132"/>
        <v>432.90043290043286</v>
      </c>
      <c r="AB180">
        <f t="shared" si="133"/>
        <v>76.913453532950328</v>
      </c>
      <c r="AC180">
        <f t="shared" si="134"/>
        <v>5.5776977927042767E-3</v>
      </c>
    </row>
    <row r="181" spans="1:29" hidden="1">
      <c r="A181">
        <v>11</v>
      </c>
      <c r="B181">
        <v>2</v>
      </c>
      <c r="C181" s="9">
        <v>6</v>
      </c>
      <c r="D181">
        <f t="shared" si="114"/>
        <v>500</v>
      </c>
      <c r="E181">
        <f t="shared" si="115"/>
        <v>140</v>
      </c>
      <c r="F181">
        <f t="shared" si="116"/>
        <v>8.58</v>
      </c>
      <c r="G181">
        <f t="shared" si="117"/>
        <v>0.84810000000000008</v>
      </c>
      <c r="H181">
        <f t="shared" si="118"/>
        <v>38.808</v>
      </c>
      <c r="I181">
        <f t="shared" si="119"/>
        <v>277.2</v>
      </c>
      <c r="K181">
        <f t="shared" si="120"/>
        <v>188.1</v>
      </c>
      <c r="L181">
        <f t="shared" si="121"/>
        <v>26.334</v>
      </c>
      <c r="M181">
        <f t="shared" si="122"/>
        <v>2.7719999999999998</v>
      </c>
      <c r="O181">
        <f t="shared" si="123"/>
        <v>2.7719999999999998</v>
      </c>
      <c r="P181">
        <f t="shared" si="124"/>
        <v>2.7082439999999997</v>
      </c>
      <c r="R181">
        <f t="shared" si="135"/>
        <v>2.1708847583643118</v>
      </c>
      <c r="S181">
        <f t="shared" si="125"/>
        <v>1.6630669546436285</v>
      </c>
      <c r="T181">
        <f t="shared" si="126"/>
        <v>46.199999999999996</v>
      </c>
      <c r="U181">
        <f t="shared" si="127"/>
        <v>132</v>
      </c>
      <c r="V181">
        <f t="shared" si="128"/>
        <v>69.365999999999985</v>
      </c>
      <c r="W181">
        <f t="shared" si="129"/>
        <v>118.73400000000001</v>
      </c>
      <c r="X181">
        <f>I181*E181/'[1]Inverter Analysis'!$L$2</f>
        <v>92.995751964829481</v>
      </c>
      <c r="Y181">
        <f t="shared" si="130"/>
        <v>425.30568846358324</v>
      </c>
      <c r="Z181">
        <f t="shared" si="131"/>
        <v>1153.3027708099071</v>
      </c>
      <c r="AA181">
        <f t="shared" si="132"/>
        <v>288.60028860028859</v>
      </c>
      <c r="AB181">
        <f t="shared" si="133"/>
        <v>34.18375712575569</v>
      </c>
      <c r="AC181">
        <f t="shared" si="134"/>
        <v>1.2549820033584626E-2</v>
      </c>
    </row>
    <row r="182" spans="1:29" hidden="1">
      <c r="A182">
        <v>13</v>
      </c>
      <c r="B182">
        <v>2</v>
      </c>
      <c r="C182" s="9">
        <v>5</v>
      </c>
      <c r="D182">
        <f t="shared" si="114"/>
        <v>500</v>
      </c>
      <c r="E182">
        <f t="shared" si="115"/>
        <v>140</v>
      </c>
      <c r="F182">
        <f t="shared" si="116"/>
        <v>8.4499999999999993</v>
      </c>
      <c r="G182">
        <f t="shared" si="117"/>
        <v>0.83525000000000005</v>
      </c>
      <c r="H182">
        <f t="shared" si="118"/>
        <v>38.22</v>
      </c>
      <c r="I182">
        <f t="shared" si="119"/>
        <v>273</v>
      </c>
      <c r="K182">
        <f t="shared" si="120"/>
        <v>185.25</v>
      </c>
      <c r="L182">
        <f t="shared" si="121"/>
        <v>25.934999999999999</v>
      </c>
      <c r="M182">
        <f t="shared" si="122"/>
        <v>2.73</v>
      </c>
      <c r="O182">
        <f t="shared" si="123"/>
        <v>2.73</v>
      </c>
      <c r="P182">
        <f t="shared" si="124"/>
        <v>2.6672099999999999</v>
      </c>
      <c r="R182">
        <f t="shared" si="135"/>
        <v>2.1379925650557619</v>
      </c>
      <c r="S182">
        <f t="shared" si="125"/>
        <v>1.9654427645788335</v>
      </c>
      <c r="T182">
        <f t="shared" si="126"/>
        <v>54.6</v>
      </c>
      <c r="U182">
        <f t="shared" si="127"/>
        <v>130</v>
      </c>
      <c r="V182">
        <f t="shared" si="128"/>
        <v>68.314999999999998</v>
      </c>
      <c r="W182">
        <f t="shared" si="129"/>
        <v>116.935</v>
      </c>
      <c r="X182">
        <f>I182*E182/'[1]Inverter Analysis'!$L$2</f>
        <v>91.586725419907822</v>
      </c>
      <c r="Y182">
        <f t="shared" si="130"/>
        <v>431.84885290148446</v>
      </c>
      <c r="Z182">
        <f t="shared" si="131"/>
        <v>1171.0458903608285</v>
      </c>
      <c r="AA182">
        <f t="shared" si="132"/>
        <v>293.04029304029302</v>
      </c>
      <c r="AB182">
        <f t="shared" si="133"/>
        <v>35.243655867406325</v>
      </c>
      <c r="AC182">
        <f t="shared" si="134"/>
        <v>1.1987973143011308E-2</v>
      </c>
    </row>
    <row r="183" spans="1:29" hidden="1">
      <c r="A183">
        <v>16</v>
      </c>
      <c r="B183">
        <v>2</v>
      </c>
      <c r="C183" s="9">
        <v>4</v>
      </c>
      <c r="D183">
        <f t="shared" si="114"/>
        <v>500</v>
      </c>
      <c r="E183">
        <f t="shared" si="115"/>
        <v>140</v>
      </c>
      <c r="F183">
        <f t="shared" si="116"/>
        <v>8.32</v>
      </c>
      <c r="G183">
        <f t="shared" si="117"/>
        <v>0.82240000000000002</v>
      </c>
      <c r="H183">
        <f t="shared" si="118"/>
        <v>37.631999999999998</v>
      </c>
      <c r="I183">
        <f t="shared" si="119"/>
        <v>268.8</v>
      </c>
      <c r="K183">
        <f t="shared" si="120"/>
        <v>182.4</v>
      </c>
      <c r="L183">
        <f t="shared" si="121"/>
        <v>25.536000000000001</v>
      </c>
      <c r="M183">
        <f t="shared" si="122"/>
        <v>2.6880000000000002</v>
      </c>
      <c r="O183">
        <f t="shared" si="123"/>
        <v>2.6880000000000002</v>
      </c>
      <c r="P183">
        <f t="shared" si="124"/>
        <v>2.6261760000000001</v>
      </c>
      <c r="R183">
        <f>M183*(($M$3-$L$3)/($M$3-$O$3))</f>
        <v>2.1051003717472119</v>
      </c>
      <c r="S183">
        <f t="shared" si="125"/>
        <v>2.4190064794816415</v>
      </c>
      <c r="T183">
        <f t="shared" si="126"/>
        <v>67.2</v>
      </c>
      <c r="U183">
        <f t="shared" si="127"/>
        <v>128</v>
      </c>
      <c r="V183">
        <f t="shared" si="128"/>
        <v>67.26400000000001</v>
      </c>
      <c r="W183">
        <f t="shared" si="129"/>
        <v>115.136</v>
      </c>
      <c r="X183">
        <f>I183*E183/'[1]Inverter Analysis'!$L$2</f>
        <v>90.177698874986163</v>
      </c>
      <c r="Y183">
        <f t="shared" si="130"/>
        <v>438.59649122807014</v>
      </c>
      <c r="Z183">
        <f t="shared" si="131"/>
        <v>1189.3434823977163</v>
      </c>
      <c r="AA183">
        <f t="shared" si="132"/>
        <v>297.61904761904759</v>
      </c>
      <c r="AB183">
        <f t="shared" si="133"/>
        <v>36.353624521433531</v>
      </c>
      <c r="AC183">
        <f t="shared" si="134"/>
        <v>1.144315059299611E-2</v>
      </c>
    </row>
    <row r="184" spans="1:29" hidden="1">
      <c r="A184">
        <v>10</v>
      </c>
      <c r="B184">
        <v>2</v>
      </c>
      <c r="C184" s="9">
        <v>6</v>
      </c>
      <c r="D184">
        <f t="shared" si="114"/>
        <v>500</v>
      </c>
      <c r="E184">
        <f t="shared" si="115"/>
        <v>140</v>
      </c>
      <c r="F184">
        <f t="shared" si="116"/>
        <v>7.8</v>
      </c>
      <c r="G184">
        <f t="shared" si="117"/>
        <v>0.77100000000000002</v>
      </c>
      <c r="H184">
        <f t="shared" si="118"/>
        <v>35.28</v>
      </c>
      <c r="I184">
        <f t="shared" si="119"/>
        <v>252</v>
      </c>
      <c r="K184">
        <f t="shared" si="120"/>
        <v>171</v>
      </c>
      <c r="L184">
        <f t="shared" si="121"/>
        <v>23.94</v>
      </c>
      <c r="M184">
        <f t="shared" si="122"/>
        <v>2.52</v>
      </c>
      <c r="O184">
        <f t="shared" si="123"/>
        <v>2.52</v>
      </c>
      <c r="P184">
        <f t="shared" si="124"/>
        <v>2.46204</v>
      </c>
      <c r="R184">
        <f>O184*(($M$3-$L$3)/($M$3-$O$3))</f>
        <v>1.9735315985130111</v>
      </c>
      <c r="S184">
        <f t="shared" si="125"/>
        <v>1.5118790496760257</v>
      </c>
      <c r="T184">
        <f t="shared" si="126"/>
        <v>42</v>
      </c>
      <c r="U184">
        <f t="shared" si="127"/>
        <v>120</v>
      </c>
      <c r="V184">
        <f t="shared" si="128"/>
        <v>63.06</v>
      </c>
      <c r="W184">
        <f t="shared" si="129"/>
        <v>107.94</v>
      </c>
      <c r="X184">
        <f>I184*E184/'[1]Inverter Analysis'!$L$2</f>
        <v>84.541592695299528</v>
      </c>
      <c r="Y184">
        <f t="shared" si="130"/>
        <v>467.83625730994152</v>
      </c>
      <c r="Z184">
        <f t="shared" si="131"/>
        <v>1268.6330478908976</v>
      </c>
      <c r="AA184">
        <f t="shared" si="132"/>
        <v>317.46031746031747</v>
      </c>
      <c r="AB184">
        <f t="shared" si="133"/>
        <v>41.362346122164382</v>
      </c>
      <c r="AC184">
        <f t="shared" si="134"/>
        <v>9.4288655398832664E-3</v>
      </c>
    </row>
    <row r="185" spans="1:29" hidden="1">
      <c r="A185">
        <v>12</v>
      </c>
      <c r="B185">
        <v>2</v>
      </c>
      <c r="C185" s="9">
        <v>5</v>
      </c>
      <c r="D185">
        <f t="shared" si="114"/>
        <v>500</v>
      </c>
      <c r="E185">
        <f t="shared" si="115"/>
        <v>140</v>
      </c>
      <c r="F185">
        <f t="shared" si="116"/>
        <v>7.8</v>
      </c>
      <c r="G185">
        <f t="shared" si="117"/>
        <v>0.77100000000000002</v>
      </c>
      <c r="H185">
        <f t="shared" si="118"/>
        <v>35.28</v>
      </c>
      <c r="I185">
        <f t="shared" si="119"/>
        <v>252</v>
      </c>
      <c r="K185">
        <f t="shared" si="120"/>
        <v>171</v>
      </c>
      <c r="L185">
        <f t="shared" si="121"/>
        <v>23.94</v>
      </c>
      <c r="M185">
        <f t="shared" si="122"/>
        <v>2.52</v>
      </c>
      <c r="O185">
        <f t="shared" si="123"/>
        <v>2.52</v>
      </c>
      <c r="P185">
        <f t="shared" si="124"/>
        <v>2.46204</v>
      </c>
      <c r="R185">
        <f>O185*(($M$3-$L$3)/($M$3-$O$3))</f>
        <v>1.9735315985130111</v>
      </c>
      <c r="S185">
        <f t="shared" si="125"/>
        <v>1.8142548596112309</v>
      </c>
      <c r="T185">
        <f t="shared" si="126"/>
        <v>50.4</v>
      </c>
      <c r="U185">
        <f t="shared" si="127"/>
        <v>120</v>
      </c>
      <c r="V185">
        <f t="shared" si="128"/>
        <v>63.06</v>
      </c>
      <c r="W185">
        <f t="shared" si="129"/>
        <v>107.94</v>
      </c>
      <c r="X185">
        <f>I185*E185/'[1]Inverter Analysis'!$L$2</f>
        <v>84.541592695299528</v>
      </c>
      <c r="Y185">
        <f t="shared" si="130"/>
        <v>467.83625730994152</v>
      </c>
      <c r="Z185">
        <f t="shared" si="131"/>
        <v>1268.6330478908976</v>
      </c>
      <c r="AA185">
        <f t="shared" si="132"/>
        <v>317.46031746031747</v>
      </c>
      <c r="AB185">
        <f t="shared" si="133"/>
        <v>41.362346122164382</v>
      </c>
      <c r="AC185">
        <f t="shared" si="134"/>
        <v>9.4288655398832664E-3</v>
      </c>
    </row>
    <row r="186" spans="1:29" hidden="1">
      <c r="A186">
        <v>10</v>
      </c>
      <c r="B186">
        <v>3</v>
      </c>
      <c r="C186" s="9">
        <v>4</v>
      </c>
      <c r="D186">
        <f t="shared" si="114"/>
        <v>750</v>
      </c>
      <c r="E186">
        <f t="shared" si="115"/>
        <v>210</v>
      </c>
      <c r="F186">
        <f t="shared" si="116"/>
        <v>7.8</v>
      </c>
      <c r="G186">
        <f t="shared" si="117"/>
        <v>0.34266666666666673</v>
      </c>
      <c r="H186">
        <f t="shared" si="118"/>
        <v>35.28</v>
      </c>
      <c r="I186">
        <f t="shared" si="119"/>
        <v>168</v>
      </c>
      <c r="K186">
        <f t="shared" si="120"/>
        <v>114</v>
      </c>
      <c r="L186">
        <f t="shared" si="121"/>
        <v>23.94</v>
      </c>
      <c r="M186">
        <f t="shared" si="122"/>
        <v>2.52</v>
      </c>
      <c r="O186">
        <f t="shared" si="123"/>
        <v>2.52</v>
      </c>
      <c r="P186">
        <f t="shared" si="124"/>
        <v>2.46204</v>
      </c>
      <c r="R186">
        <f>O186*(($M$3-$L$3)/($M$3-$O$3))</f>
        <v>1.9735315985130111</v>
      </c>
      <c r="S186">
        <f t="shared" si="125"/>
        <v>2.2678185745140387</v>
      </c>
      <c r="T186">
        <f t="shared" si="126"/>
        <v>42</v>
      </c>
      <c r="U186">
        <f t="shared" si="127"/>
        <v>120</v>
      </c>
      <c r="V186">
        <f t="shared" si="128"/>
        <v>42.039999999999992</v>
      </c>
      <c r="W186">
        <f t="shared" si="129"/>
        <v>71.960000000000008</v>
      </c>
      <c r="X186">
        <f>I186*E186/'[1]Inverter Analysis'!$L$2</f>
        <v>84.541592695299528</v>
      </c>
      <c r="Y186">
        <f t="shared" si="130"/>
        <v>701.75438596491233</v>
      </c>
      <c r="Z186">
        <f t="shared" si="131"/>
        <v>1902.9495718363466</v>
      </c>
      <c r="AA186">
        <f t="shared" si="132"/>
        <v>476.1904761904762</v>
      </c>
      <c r="AB186">
        <f t="shared" si="133"/>
        <v>93.065278774869881</v>
      </c>
      <c r="AC186">
        <f t="shared" si="134"/>
        <v>4.1906069066147845E-3</v>
      </c>
    </row>
    <row r="187" spans="1:29" hidden="1">
      <c r="A187">
        <v>15</v>
      </c>
      <c r="B187">
        <v>2</v>
      </c>
      <c r="C187" s="9">
        <v>4</v>
      </c>
      <c r="D187">
        <f t="shared" si="114"/>
        <v>500</v>
      </c>
      <c r="E187">
        <f t="shared" si="115"/>
        <v>140</v>
      </c>
      <c r="F187">
        <f t="shared" si="116"/>
        <v>7.8</v>
      </c>
      <c r="G187">
        <f t="shared" si="117"/>
        <v>0.77100000000000002</v>
      </c>
      <c r="H187">
        <f t="shared" si="118"/>
        <v>35.28</v>
      </c>
      <c r="I187">
        <f t="shared" si="119"/>
        <v>252</v>
      </c>
      <c r="K187">
        <f t="shared" si="120"/>
        <v>171</v>
      </c>
      <c r="L187">
        <f t="shared" si="121"/>
        <v>23.94</v>
      </c>
      <c r="M187">
        <f t="shared" si="122"/>
        <v>2.52</v>
      </c>
      <c r="O187">
        <f t="shared" si="123"/>
        <v>2.52</v>
      </c>
      <c r="P187">
        <f t="shared" si="124"/>
        <v>2.46204</v>
      </c>
      <c r="R187">
        <f>M187*(($M$3-$L$3)/($M$3-$O$3))</f>
        <v>1.9735315985130111</v>
      </c>
      <c r="S187">
        <f t="shared" si="125"/>
        <v>2.2678185745140387</v>
      </c>
      <c r="T187">
        <f t="shared" si="126"/>
        <v>63</v>
      </c>
      <c r="U187">
        <f t="shared" si="127"/>
        <v>120</v>
      </c>
      <c r="V187">
        <f t="shared" si="128"/>
        <v>63.06</v>
      </c>
      <c r="W187">
        <f t="shared" si="129"/>
        <v>107.94</v>
      </c>
      <c r="X187">
        <f>I187*E187/'[1]Inverter Analysis'!$L$2</f>
        <v>84.541592695299528</v>
      </c>
      <c r="Y187">
        <f t="shared" si="130"/>
        <v>467.83625730994152</v>
      </c>
      <c r="Z187">
        <f t="shared" si="131"/>
        <v>1268.6330478908976</v>
      </c>
      <c r="AA187">
        <f t="shared" si="132"/>
        <v>317.46031746031747</v>
      </c>
      <c r="AB187">
        <f t="shared" si="133"/>
        <v>41.362346122164382</v>
      </c>
      <c r="AC187">
        <f t="shared" si="134"/>
        <v>9.4288655398832664E-3</v>
      </c>
    </row>
    <row r="188" spans="1:29" hidden="1">
      <c r="A188">
        <v>14</v>
      </c>
      <c r="B188">
        <v>2</v>
      </c>
      <c r="C188" s="9">
        <v>4</v>
      </c>
      <c r="D188">
        <f t="shared" si="114"/>
        <v>500</v>
      </c>
      <c r="E188">
        <f t="shared" si="115"/>
        <v>140</v>
      </c>
      <c r="F188">
        <f t="shared" si="116"/>
        <v>7.28</v>
      </c>
      <c r="G188">
        <f t="shared" si="117"/>
        <v>0.71960000000000002</v>
      </c>
      <c r="H188">
        <f t="shared" si="118"/>
        <v>32.927999999999997</v>
      </c>
      <c r="I188">
        <f t="shared" si="119"/>
        <v>235.20000000000002</v>
      </c>
      <c r="K188">
        <f t="shared" si="120"/>
        <v>159.6</v>
      </c>
      <c r="L188">
        <f t="shared" si="121"/>
        <v>22.344000000000001</v>
      </c>
      <c r="M188">
        <f t="shared" si="122"/>
        <v>2.3519999999999999</v>
      </c>
      <c r="O188">
        <f t="shared" si="123"/>
        <v>2.3519999999999999</v>
      </c>
      <c r="P188">
        <f t="shared" si="124"/>
        <v>2.2979039999999999</v>
      </c>
      <c r="R188">
        <f t="shared" ref="R188:R194" si="136">O188*(($M$3-$L$3)/($M$3-$O$3))</f>
        <v>1.8419628252788101</v>
      </c>
      <c r="S188">
        <f t="shared" si="125"/>
        <v>2.1166306695464363</v>
      </c>
      <c r="T188">
        <f t="shared" si="126"/>
        <v>58.800000000000004</v>
      </c>
      <c r="U188">
        <f t="shared" si="127"/>
        <v>112</v>
      </c>
      <c r="V188">
        <f t="shared" si="128"/>
        <v>58.855999999999995</v>
      </c>
      <c r="W188">
        <f t="shared" si="129"/>
        <v>100.744</v>
      </c>
      <c r="X188">
        <f>I188*E188/'[1]Inverter Analysis'!$L$2</f>
        <v>78.905486515612893</v>
      </c>
      <c r="Y188">
        <f t="shared" si="130"/>
        <v>501.25313283208021</v>
      </c>
      <c r="Z188">
        <f t="shared" si="131"/>
        <v>1359.2496941688189</v>
      </c>
      <c r="AA188">
        <f t="shared" si="132"/>
        <v>340.13605442176868</v>
      </c>
      <c r="AB188">
        <f t="shared" si="133"/>
        <v>47.48228508921931</v>
      </c>
      <c r="AC188">
        <f t="shared" si="134"/>
        <v>7.6660169011673147E-3</v>
      </c>
    </row>
    <row r="189" spans="1:29" hidden="1">
      <c r="A189">
        <v>11</v>
      </c>
      <c r="B189">
        <v>2</v>
      </c>
      <c r="C189" s="9">
        <v>5</v>
      </c>
      <c r="D189">
        <f t="shared" si="114"/>
        <v>500</v>
      </c>
      <c r="E189">
        <f t="shared" si="115"/>
        <v>140</v>
      </c>
      <c r="F189">
        <f t="shared" si="116"/>
        <v>7.15</v>
      </c>
      <c r="G189">
        <f t="shared" si="117"/>
        <v>0.70674999999999999</v>
      </c>
      <c r="H189">
        <f t="shared" si="118"/>
        <v>32.340000000000003</v>
      </c>
      <c r="I189">
        <f t="shared" si="119"/>
        <v>231</v>
      </c>
      <c r="K189">
        <f t="shared" si="120"/>
        <v>156.75</v>
      </c>
      <c r="L189">
        <f t="shared" si="121"/>
        <v>21.945</v>
      </c>
      <c r="M189">
        <f t="shared" si="122"/>
        <v>2.31</v>
      </c>
      <c r="O189">
        <f t="shared" si="123"/>
        <v>2.31</v>
      </c>
      <c r="P189">
        <f t="shared" si="124"/>
        <v>2.2568699999999997</v>
      </c>
      <c r="R189">
        <f t="shared" si="136"/>
        <v>1.8090706319702601</v>
      </c>
      <c r="S189">
        <f t="shared" si="125"/>
        <v>1.6630669546436283</v>
      </c>
      <c r="T189">
        <f t="shared" si="126"/>
        <v>46.2</v>
      </c>
      <c r="U189">
        <f t="shared" si="127"/>
        <v>110</v>
      </c>
      <c r="V189">
        <f t="shared" si="128"/>
        <v>57.805000000000007</v>
      </c>
      <c r="W189">
        <f t="shared" si="129"/>
        <v>98.944999999999993</v>
      </c>
      <c r="X189">
        <f>I189*E189/'[1]Inverter Analysis'!$L$2</f>
        <v>77.496459970691234</v>
      </c>
      <c r="Y189">
        <f t="shared" si="130"/>
        <v>510.36682615629985</v>
      </c>
      <c r="Z189">
        <f t="shared" si="131"/>
        <v>1383.9633249718881</v>
      </c>
      <c r="AA189">
        <f t="shared" si="132"/>
        <v>346.32034632034635</v>
      </c>
      <c r="AB189">
        <f t="shared" si="133"/>
        <v>49.224610261088174</v>
      </c>
      <c r="AC189">
        <f t="shared" si="134"/>
        <v>7.2626273342503659E-3</v>
      </c>
    </row>
    <row r="190" spans="1:29" hidden="1">
      <c r="A190">
        <v>13</v>
      </c>
      <c r="B190">
        <v>2</v>
      </c>
      <c r="C190" s="9">
        <v>4</v>
      </c>
      <c r="D190">
        <f t="shared" si="114"/>
        <v>500</v>
      </c>
      <c r="E190">
        <f t="shared" si="115"/>
        <v>140</v>
      </c>
      <c r="F190">
        <f t="shared" si="116"/>
        <v>6.76</v>
      </c>
      <c r="G190">
        <f t="shared" si="117"/>
        <v>0.66820000000000002</v>
      </c>
      <c r="H190">
        <f t="shared" si="118"/>
        <v>30.576000000000001</v>
      </c>
      <c r="I190">
        <f t="shared" si="119"/>
        <v>218.4</v>
      </c>
      <c r="K190">
        <f t="shared" si="120"/>
        <v>148.20000000000002</v>
      </c>
      <c r="L190">
        <f t="shared" si="121"/>
        <v>20.748000000000005</v>
      </c>
      <c r="M190">
        <f t="shared" si="122"/>
        <v>2.1840000000000002</v>
      </c>
      <c r="O190">
        <f t="shared" si="123"/>
        <v>2.1840000000000002</v>
      </c>
      <c r="P190">
        <f t="shared" si="124"/>
        <v>2.1337679999999999</v>
      </c>
      <c r="R190">
        <f t="shared" si="136"/>
        <v>1.7103940520446097</v>
      </c>
      <c r="S190">
        <f t="shared" si="125"/>
        <v>1.9654427645788337</v>
      </c>
      <c r="T190">
        <f t="shared" si="126"/>
        <v>54.6</v>
      </c>
      <c r="U190">
        <f t="shared" si="127"/>
        <v>104</v>
      </c>
      <c r="V190">
        <f t="shared" si="128"/>
        <v>54.652000000000015</v>
      </c>
      <c r="W190">
        <f t="shared" si="129"/>
        <v>93.548000000000002</v>
      </c>
      <c r="X190">
        <f>I190*E190/'[1]Inverter Analysis'!$L$2</f>
        <v>73.269380335926257</v>
      </c>
      <c r="Y190">
        <f t="shared" si="130"/>
        <v>539.81106612685551</v>
      </c>
      <c r="Z190">
        <f t="shared" si="131"/>
        <v>1463.8073629510352</v>
      </c>
      <c r="AA190">
        <f t="shared" si="132"/>
        <v>366.30036630036631</v>
      </c>
      <c r="AB190">
        <f t="shared" si="133"/>
        <v>55.068212292822359</v>
      </c>
      <c r="AC190">
        <f t="shared" si="134"/>
        <v>6.1378422492217918E-3</v>
      </c>
    </row>
    <row r="191" spans="1:29" hidden="1">
      <c r="A191">
        <v>10</v>
      </c>
      <c r="B191">
        <v>2</v>
      </c>
      <c r="C191" s="9">
        <v>5</v>
      </c>
      <c r="D191">
        <f t="shared" si="114"/>
        <v>500</v>
      </c>
      <c r="E191">
        <f t="shared" si="115"/>
        <v>140</v>
      </c>
      <c r="F191">
        <f t="shared" si="116"/>
        <v>6.5</v>
      </c>
      <c r="G191">
        <f t="shared" si="117"/>
        <v>0.64250000000000007</v>
      </c>
      <c r="H191">
        <f t="shared" si="118"/>
        <v>29.4</v>
      </c>
      <c r="I191">
        <f t="shared" si="119"/>
        <v>210</v>
      </c>
      <c r="K191">
        <f t="shared" si="120"/>
        <v>142.5</v>
      </c>
      <c r="L191">
        <f t="shared" si="121"/>
        <v>19.95</v>
      </c>
      <c r="M191">
        <f t="shared" si="122"/>
        <v>2.1</v>
      </c>
      <c r="O191">
        <f t="shared" si="123"/>
        <v>2.1</v>
      </c>
      <c r="P191">
        <f t="shared" si="124"/>
        <v>2.0516999999999999</v>
      </c>
      <c r="R191">
        <f t="shared" si="136"/>
        <v>1.6446096654275093</v>
      </c>
      <c r="S191">
        <f t="shared" si="125"/>
        <v>1.5118790496760259</v>
      </c>
      <c r="T191">
        <f t="shared" si="126"/>
        <v>42</v>
      </c>
      <c r="U191">
        <f t="shared" si="127"/>
        <v>100</v>
      </c>
      <c r="V191">
        <f t="shared" si="128"/>
        <v>52.549999999999983</v>
      </c>
      <c r="W191">
        <f t="shared" si="129"/>
        <v>89.950000000000017</v>
      </c>
      <c r="X191">
        <f>I191*E191/'[1]Inverter Analysis'!$L$2</f>
        <v>70.45132724608294</v>
      </c>
      <c r="Y191">
        <f t="shared" si="130"/>
        <v>561.40350877192986</v>
      </c>
      <c r="Z191">
        <f t="shared" si="131"/>
        <v>1522.3596574690775</v>
      </c>
      <c r="AA191">
        <f t="shared" si="132"/>
        <v>380.95238095238096</v>
      </c>
      <c r="AB191">
        <f t="shared" si="133"/>
        <v>59.561778415916741</v>
      </c>
      <c r="AC191">
        <f t="shared" si="134"/>
        <v>5.4565194096546652E-3</v>
      </c>
    </row>
    <row r="192" spans="1:29" hidden="1">
      <c r="A192">
        <v>12</v>
      </c>
      <c r="B192">
        <v>2</v>
      </c>
      <c r="C192" s="9">
        <v>4</v>
      </c>
      <c r="D192">
        <f t="shared" si="114"/>
        <v>500</v>
      </c>
      <c r="E192">
        <f t="shared" si="115"/>
        <v>140</v>
      </c>
      <c r="F192">
        <f t="shared" si="116"/>
        <v>6.24</v>
      </c>
      <c r="G192">
        <f t="shared" si="117"/>
        <v>0.61680000000000001</v>
      </c>
      <c r="H192">
        <f t="shared" si="118"/>
        <v>28.224000000000004</v>
      </c>
      <c r="I192">
        <f t="shared" si="119"/>
        <v>201.60000000000002</v>
      </c>
      <c r="K192">
        <f t="shared" si="120"/>
        <v>136.80000000000001</v>
      </c>
      <c r="L192">
        <f t="shared" si="121"/>
        <v>19.152000000000001</v>
      </c>
      <c r="M192">
        <f t="shared" si="122"/>
        <v>2.016</v>
      </c>
      <c r="O192">
        <f t="shared" si="123"/>
        <v>2.016</v>
      </c>
      <c r="P192">
        <f t="shared" si="124"/>
        <v>1.969632</v>
      </c>
      <c r="R192">
        <f t="shared" si="136"/>
        <v>1.5788252788104087</v>
      </c>
      <c r="S192">
        <f t="shared" si="125"/>
        <v>1.8142548596112313</v>
      </c>
      <c r="T192">
        <f t="shared" si="126"/>
        <v>50.400000000000006</v>
      </c>
      <c r="U192">
        <f t="shared" si="127"/>
        <v>96</v>
      </c>
      <c r="V192">
        <f t="shared" si="128"/>
        <v>50.448000000000008</v>
      </c>
      <c r="W192">
        <f t="shared" si="129"/>
        <v>86.352000000000004</v>
      </c>
      <c r="X192">
        <f>I192*E192/'[1]Inverter Analysis'!$L$2</f>
        <v>67.633274156239622</v>
      </c>
      <c r="Y192">
        <f t="shared" si="130"/>
        <v>584.79532163742681</v>
      </c>
      <c r="Z192">
        <f t="shared" si="131"/>
        <v>1585.7913098636218</v>
      </c>
      <c r="AA192">
        <f t="shared" si="132"/>
        <v>396.82539682539681</v>
      </c>
      <c r="AB192">
        <f t="shared" si="133"/>
        <v>64.628665815881831</v>
      </c>
      <c r="AC192">
        <f t="shared" si="134"/>
        <v>4.8275791564202338E-3</v>
      </c>
    </row>
    <row r="193" spans="1:29" hidden="1">
      <c r="A193">
        <v>11</v>
      </c>
      <c r="B193">
        <v>2</v>
      </c>
      <c r="C193" s="9">
        <v>4</v>
      </c>
      <c r="D193">
        <f t="shared" si="114"/>
        <v>500</v>
      </c>
      <c r="E193">
        <f t="shared" si="115"/>
        <v>140</v>
      </c>
      <c r="F193">
        <f t="shared" si="116"/>
        <v>5.72</v>
      </c>
      <c r="G193">
        <f t="shared" si="117"/>
        <v>0.56540000000000001</v>
      </c>
      <c r="H193">
        <f t="shared" si="118"/>
        <v>25.872</v>
      </c>
      <c r="I193">
        <f t="shared" si="119"/>
        <v>184.8</v>
      </c>
      <c r="K193">
        <f t="shared" si="120"/>
        <v>125.4</v>
      </c>
      <c r="L193">
        <f t="shared" si="121"/>
        <v>17.556000000000001</v>
      </c>
      <c r="M193">
        <f t="shared" si="122"/>
        <v>1.8480000000000001</v>
      </c>
      <c r="O193">
        <f t="shared" si="123"/>
        <v>1.8480000000000001</v>
      </c>
      <c r="P193">
        <f t="shared" si="124"/>
        <v>1.805496</v>
      </c>
      <c r="R193">
        <f t="shared" si="136"/>
        <v>1.4472565055762081</v>
      </c>
      <c r="S193">
        <f t="shared" si="125"/>
        <v>1.6630669546436285</v>
      </c>
      <c r="T193">
        <f t="shared" si="126"/>
        <v>46.2</v>
      </c>
      <c r="U193">
        <f t="shared" si="127"/>
        <v>88</v>
      </c>
      <c r="V193">
        <f t="shared" si="128"/>
        <v>46.244</v>
      </c>
      <c r="W193">
        <f t="shared" si="129"/>
        <v>79.156000000000006</v>
      </c>
      <c r="X193">
        <f>I193*E193/'[1]Inverter Analysis'!$L$2</f>
        <v>61.997167976552987</v>
      </c>
      <c r="Y193">
        <f t="shared" si="130"/>
        <v>637.95853269537474</v>
      </c>
      <c r="Z193">
        <f t="shared" si="131"/>
        <v>1729.9541562148604</v>
      </c>
      <c r="AA193">
        <f t="shared" si="132"/>
        <v>432.90043290043286</v>
      </c>
      <c r="AB193">
        <f t="shared" si="133"/>
        <v>76.9134535329503</v>
      </c>
      <c r="AC193">
        <f t="shared" si="134"/>
        <v>3.7184651951361856E-3</v>
      </c>
    </row>
    <row r="194" spans="1:29" hidden="1">
      <c r="A194">
        <v>10</v>
      </c>
      <c r="B194">
        <v>2</v>
      </c>
      <c r="C194" s="9">
        <v>4</v>
      </c>
      <c r="D194">
        <f t="shared" si="114"/>
        <v>500</v>
      </c>
      <c r="E194">
        <f t="shared" si="115"/>
        <v>140</v>
      </c>
      <c r="F194">
        <f t="shared" si="116"/>
        <v>5.2</v>
      </c>
      <c r="G194">
        <f t="shared" si="117"/>
        <v>0.51400000000000001</v>
      </c>
      <c r="H194">
        <f t="shared" si="118"/>
        <v>23.52</v>
      </c>
      <c r="I194">
        <f t="shared" si="119"/>
        <v>168</v>
      </c>
      <c r="K194">
        <f t="shared" si="120"/>
        <v>114</v>
      </c>
      <c r="L194">
        <f t="shared" si="121"/>
        <v>15.96</v>
      </c>
      <c r="M194">
        <f t="shared" si="122"/>
        <v>1.68</v>
      </c>
      <c r="O194">
        <f t="shared" si="123"/>
        <v>1.68</v>
      </c>
      <c r="P194">
        <f t="shared" si="124"/>
        <v>1.6413599999999999</v>
      </c>
      <c r="R194">
        <f t="shared" si="136"/>
        <v>1.3156877323420073</v>
      </c>
      <c r="S194">
        <f t="shared" si="125"/>
        <v>1.5118790496760259</v>
      </c>
      <c r="T194">
        <f t="shared" si="126"/>
        <v>42</v>
      </c>
      <c r="U194">
        <f t="shared" si="127"/>
        <v>80</v>
      </c>
      <c r="V194">
        <f t="shared" si="128"/>
        <v>42.039999999999992</v>
      </c>
      <c r="W194">
        <f t="shared" si="129"/>
        <v>71.960000000000008</v>
      </c>
      <c r="X194">
        <f>I194*E194/'[1]Inverter Analysis'!$L$2</f>
        <v>56.361061796866352</v>
      </c>
      <c r="Y194">
        <f t="shared" si="130"/>
        <v>701.75438596491233</v>
      </c>
      <c r="Z194">
        <f t="shared" si="131"/>
        <v>1902.9495718363466</v>
      </c>
      <c r="AA194">
        <f t="shared" si="132"/>
        <v>476.1904761904762</v>
      </c>
      <c r="AB194">
        <f t="shared" si="133"/>
        <v>93.065278774869881</v>
      </c>
      <c r="AC194">
        <f t="shared" si="134"/>
        <v>2.7937379377431897E-3</v>
      </c>
    </row>
    <row r="196" spans="1:29">
      <c r="J196" t="s">
        <v>84</v>
      </c>
      <c r="K196" t="s">
        <v>85</v>
      </c>
    </row>
    <row r="197" spans="1:29">
      <c r="F197" s="4">
        <v>29.5</v>
      </c>
      <c r="G197" s="4">
        <v>0.25</v>
      </c>
      <c r="I197" s="4" t="s">
        <v>86</v>
      </c>
      <c r="J197" s="4"/>
      <c r="K197" s="4">
        <v>814</v>
      </c>
      <c r="L197" s="4" t="s">
        <v>87</v>
      </c>
      <c r="M197" s="4"/>
      <c r="N197" s="4"/>
    </row>
    <row r="198" spans="1:29">
      <c r="I198" s="4"/>
      <c r="J198" s="4"/>
      <c r="K198" s="4">
        <f>K197/3600</f>
        <v>0.22611111111111112</v>
      </c>
      <c r="L198" s="4" t="s">
        <v>88</v>
      </c>
      <c r="M198" s="4"/>
      <c r="N198" s="4"/>
    </row>
    <row r="199" spans="1:29">
      <c r="I199" s="4" t="s">
        <v>89</v>
      </c>
      <c r="J199" s="4"/>
      <c r="K199" s="4">
        <f>K198*22</f>
        <v>4.9744444444444449</v>
      </c>
      <c r="L199" s="4" t="s">
        <v>90</v>
      </c>
      <c r="M199" s="4"/>
      <c r="N199" s="4"/>
    </row>
    <row r="200" spans="1:29">
      <c r="O200">
        <f>395/8/12</f>
        <v>4.114583333333333</v>
      </c>
    </row>
    <row r="201" spans="1:29">
      <c r="J201" t="s">
        <v>91</v>
      </c>
      <c r="K201" t="s">
        <v>92</v>
      </c>
    </row>
    <row r="202" spans="1:29">
      <c r="I202" s="4"/>
      <c r="J202" s="4"/>
      <c r="K202" s="4">
        <v>756</v>
      </c>
      <c r="L202" s="4"/>
    </row>
    <row r="203" spans="1:29">
      <c r="I203" s="4"/>
      <c r="J203" s="4"/>
      <c r="K203" s="4">
        <f>K202/3600</f>
        <v>0.21</v>
      </c>
      <c r="L203" s="4" t="s">
        <v>88</v>
      </c>
    </row>
    <row r="204" spans="1:29">
      <c r="I204" s="4" t="s">
        <v>89</v>
      </c>
      <c r="J204" s="4"/>
      <c r="K204" s="4">
        <f>K203*22</f>
        <v>4.62</v>
      </c>
      <c r="L204" s="4" t="s">
        <v>90</v>
      </c>
    </row>
    <row r="209" spans="12:12">
      <c r="L209">
        <f>4.3*3600/22</f>
        <v>703.63636363636363</v>
      </c>
    </row>
  </sheetData>
  <autoFilter ref="A5:AC194" xr:uid="{55043BF4-4D61-42D5-9C92-15152D91C6A3}">
    <filterColumn colId="8">
      <filters>
        <filter val="352.8"/>
        <filter val="369.6"/>
        <filter val="378"/>
        <filter val="382.2"/>
        <filter val="398"/>
        <filter val="403.2"/>
        <filter val="411.6"/>
        <filter val="415.8"/>
        <filter val="420"/>
      </filters>
    </filterColumn>
    <filterColumn colId="19">
      <colorFilter dxfId="54"/>
    </filterColumn>
    <sortState xmlns:xlrd2="http://schemas.microsoft.com/office/spreadsheetml/2017/richdata2" ref="A6:AC194">
      <sortCondition sortBy="cellColor" ref="I5:I194" dxfId="55"/>
    </sortState>
  </autoFilter>
  <mergeCells count="1">
    <mergeCell ref="U1:W1"/>
  </mergeCells>
  <conditionalFormatting sqref="H6:H194">
    <cfRule type="cellIs" dxfId="63" priority="2" operator="between">
      <formula>70</formula>
      <formula>85</formula>
    </cfRule>
    <cfRule type="cellIs" dxfId="62" priority="3" operator="lessThan">
      <formula>70</formula>
    </cfRule>
    <cfRule type="cellIs" dxfId="61" priority="4" operator="greaterThan">
      <formula>85</formula>
    </cfRule>
  </conditionalFormatting>
  <conditionalFormatting sqref="I6:J194">
    <cfRule type="cellIs" dxfId="60" priority="1" operator="greaterThan">
      <formula>605</formula>
    </cfRule>
  </conditionalFormatting>
  <conditionalFormatting sqref="I5:L194">
    <cfRule type="cellIs" dxfId="59" priority="7" operator="between">
      <formula>400</formula>
      <formula>605</formula>
    </cfRule>
    <cfRule type="cellIs" dxfId="58" priority="8" operator="lessThan">
      <formula>400</formula>
    </cfRule>
  </conditionalFormatting>
  <conditionalFormatting sqref="T6:T194">
    <cfRule type="cellIs" dxfId="57" priority="5" operator="lessThan">
      <formula>60</formula>
    </cfRule>
    <cfRule type="cellIs" dxfId="56" priority="6" operator="greaterThan">
      <formula>60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EC7D-DDAD-40B5-AD52-3B61F23F0F33}">
  <sheetPr filterMode="1"/>
  <dimension ref="A1:Z250"/>
  <sheetViews>
    <sheetView tabSelected="1" workbookViewId="0">
      <selection activeCell="O206" sqref="O206"/>
    </sheetView>
  </sheetViews>
  <sheetFormatPr defaultRowHeight="15"/>
  <cols>
    <col min="7" max="7" width="14.42578125" bestFit="1" customWidth="1"/>
    <col min="8" max="8" width="12.28515625" bestFit="1" customWidth="1"/>
    <col min="9" max="9" width="9.5703125" bestFit="1" customWidth="1"/>
    <col min="10" max="10" width="19" bestFit="1" customWidth="1"/>
    <col min="11" max="11" width="21" bestFit="1" customWidth="1"/>
    <col min="12" max="12" width="14.5703125" customWidth="1"/>
    <col min="13" max="13" width="18.28515625" customWidth="1"/>
    <col min="14" max="14" width="12.85546875" customWidth="1"/>
    <col min="15" max="15" width="29.28515625" bestFit="1" customWidth="1"/>
    <col min="16" max="16" width="18" customWidth="1"/>
    <col min="19" max="19" width="30.5703125" bestFit="1" customWidth="1"/>
    <col min="20" max="21" width="0" hidden="1" customWidth="1"/>
    <col min="22" max="22" width="33.42578125" hidden="1" customWidth="1"/>
    <col min="23" max="23" width="52.28515625" hidden="1" customWidth="1"/>
    <col min="24" max="24" width="33.42578125" hidden="1" customWidth="1"/>
    <col min="25" max="27" width="0" hidden="1" customWidth="1"/>
  </cols>
  <sheetData>
    <row r="1" spans="1:26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6" t="s">
        <v>36</v>
      </c>
      <c r="R1" s="26"/>
      <c r="S1" s="26"/>
    </row>
    <row r="2" spans="1:26">
      <c r="A2" s="1" t="s">
        <v>37</v>
      </c>
      <c r="B2" s="1" t="s">
        <v>38</v>
      </c>
      <c r="C2" s="1" t="s">
        <v>39</v>
      </c>
      <c r="D2" s="1"/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3</v>
      </c>
      <c r="K2" s="1" t="s">
        <v>45</v>
      </c>
      <c r="L2" s="1" t="s">
        <v>46</v>
      </c>
      <c r="M2" s="1" t="s">
        <v>47</v>
      </c>
      <c r="N2" s="1" t="s">
        <v>49</v>
      </c>
      <c r="O2" s="1" t="s">
        <v>75</v>
      </c>
      <c r="P2" s="1" t="s">
        <v>76</v>
      </c>
      <c r="Q2" s="1" t="s">
        <v>51</v>
      </c>
      <c r="R2" s="1" t="s">
        <v>52</v>
      </c>
      <c r="S2" s="1" t="s">
        <v>53</v>
      </c>
    </row>
    <row r="3" spans="1:26">
      <c r="A3" s="2" t="s">
        <v>66</v>
      </c>
      <c r="B3" s="2" t="s">
        <v>55</v>
      </c>
      <c r="C3" s="2">
        <v>21700</v>
      </c>
      <c r="D3" s="2"/>
      <c r="E3" s="2">
        <v>2024</v>
      </c>
      <c r="F3" s="2" t="s">
        <v>56</v>
      </c>
      <c r="G3" s="2" t="s">
        <v>57</v>
      </c>
      <c r="H3">
        <v>4500</v>
      </c>
      <c r="I3">
        <v>60</v>
      </c>
      <c r="J3" s="24">
        <v>100</v>
      </c>
      <c r="K3" s="2">
        <v>2.8</v>
      </c>
      <c r="L3" s="2">
        <v>4.2</v>
      </c>
      <c r="M3" s="2">
        <v>2.5</v>
      </c>
      <c r="N3">
        <v>4200</v>
      </c>
      <c r="O3">
        <v>4400</v>
      </c>
      <c r="P3">
        <v>2520</v>
      </c>
      <c r="Q3">
        <v>69</v>
      </c>
      <c r="R3">
        <v>8.0000000000000002E-3</v>
      </c>
      <c r="S3" s="4">
        <v>5</v>
      </c>
    </row>
    <row r="4" spans="1:26">
      <c r="A4" s="1" t="s">
        <v>58</v>
      </c>
    </row>
    <row r="5" spans="1:26">
      <c r="A5" s="3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80</v>
      </c>
      <c r="N5" s="1" t="s">
        <v>81</v>
      </c>
      <c r="O5" s="1" t="s">
        <v>83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20</v>
      </c>
      <c r="Y5" s="1" t="s">
        <v>22</v>
      </c>
      <c r="Z5" s="1" t="s">
        <v>23</v>
      </c>
    </row>
    <row r="6" spans="1:26" hidden="1">
      <c r="A6">
        <v>12</v>
      </c>
      <c r="B6" s="12">
        <v>6</v>
      </c>
      <c r="C6" s="12">
        <v>12</v>
      </c>
      <c r="D6">
        <f t="shared" ref="D6:D69" si="0">B6*$J$3</f>
        <v>600</v>
      </c>
      <c r="E6">
        <f t="shared" ref="E6:E69" si="1">B6*$I$3</f>
        <v>360</v>
      </c>
      <c r="F6">
        <f t="shared" ref="F6:F69" si="2">A6*B6*C6*$Q$3/1000</f>
        <v>59.616</v>
      </c>
      <c r="G6">
        <f t="shared" ref="G6:G69" si="3">((B6*$R$3^(-1))^(-1))*A6*C6</f>
        <v>0.192</v>
      </c>
      <c r="H6">
        <f>E6*I6/1000</f>
        <v>217.72800000000004</v>
      </c>
      <c r="I6">
        <f>A6*C6*4.2</f>
        <v>604.80000000000007</v>
      </c>
      <c r="J6">
        <f>C6*A6*$K$3</f>
        <v>403.2</v>
      </c>
      <c r="K6">
        <f>E6*J6/1000</f>
        <v>145.15199999999999</v>
      </c>
      <c r="L6">
        <f>$N$3/1000*I6*B6/1000</f>
        <v>15.240960000000003</v>
      </c>
      <c r="M6">
        <f>$O$3/1000*I6*B6/1000</f>
        <v>15.96672</v>
      </c>
      <c r="N6">
        <f t="shared" ref="N6:N69" si="4">$P$3/1000*I6*B6/1000</f>
        <v>9.1445760000000007</v>
      </c>
      <c r="O6">
        <f>M6*(($L$3-$K$3)/($L$3-$M$3))</f>
        <v>13.149063529411766</v>
      </c>
      <c r="P6">
        <f t="shared" ref="P6:P69" si="5">$H$3/1000*B6*I6/277.8/C6</f>
        <v>4.8984881209503248</v>
      </c>
      <c r="Q6">
        <f t="shared" ref="Q6:Q69" si="6">I6/C6</f>
        <v>50.400000000000006</v>
      </c>
      <c r="R6">
        <f t="shared" ref="R6:R69" si="7">(A6*B6*C6)</f>
        <v>864</v>
      </c>
      <c r="S6">
        <f t="shared" ref="S6:S69" si="8">J6-(G6*E6)</f>
        <v>334.08</v>
      </c>
      <c r="T6">
        <f t="shared" ref="T6:T69" si="9">G6*E6</f>
        <v>69.12</v>
      </c>
      <c r="U6">
        <f>I6*E6/'[1]Inverter Analysis'!$L$2</f>
        <v>521.74240063384855</v>
      </c>
      <c r="V6">
        <f t="shared" ref="V6:V69" si="10">80000/J6</f>
        <v>198.4126984126984</v>
      </c>
      <c r="W6">
        <f t="shared" ref="W6:W69" si="11">80000/S6</f>
        <v>239.46360153256705</v>
      </c>
      <c r="X6">
        <f>80000/I6</f>
        <v>132.27513227513225</v>
      </c>
      <c r="Y6">
        <f t="shared" ref="Y6:Y69" si="12">(MAX(V6:X6)^2)*$R$3/1000</f>
        <v>0.45874253167158441</v>
      </c>
      <c r="Z6">
        <f t="shared" ref="Z6:Z69" si="13">($S$3*F6/(Y6*1000))*10</f>
        <v>6.4977624575999995</v>
      </c>
    </row>
    <row r="7" spans="1:26" hidden="1">
      <c r="A7" s="8">
        <v>16</v>
      </c>
      <c r="B7" s="12">
        <v>6</v>
      </c>
      <c r="C7" s="12">
        <v>9</v>
      </c>
      <c r="D7">
        <f t="shared" si="0"/>
        <v>600</v>
      </c>
      <c r="E7">
        <f t="shared" si="1"/>
        <v>360</v>
      </c>
      <c r="F7">
        <f t="shared" si="2"/>
        <v>59.616</v>
      </c>
      <c r="G7">
        <f t="shared" si="3"/>
        <v>0.192</v>
      </c>
      <c r="H7">
        <f>E7*I7/1000</f>
        <v>217.72800000000004</v>
      </c>
      <c r="I7">
        <f t="shared" ref="I7:I69" si="14">A7*C7*4.2</f>
        <v>604.80000000000007</v>
      </c>
      <c r="J7">
        <f t="shared" ref="J7:J69" si="15">C7*A7*$K$3</f>
        <v>403.2</v>
      </c>
      <c r="K7">
        <f t="shared" ref="K7:K69" si="16">E7*J7/1000</f>
        <v>145.15199999999999</v>
      </c>
      <c r="L7">
        <f t="shared" ref="L7:L69" si="17">$N$3/1000*I7*B7/1000</f>
        <v>15.240960000000003</v>
      </c>
      <c r="M7">
        <f t="shared" ref="M7:M69" si="18">$O$3/1000*I7*B7/1000</f>
        <v>15.96672</v>
      </c>
      <c r="N7">
        <f t="shared" si="4"/>
        <v>9.1445760000000007</v>
      </c>
      <c r="O7">
        <f>M7*(($L$3-$K$3)/($L$3-$M$3))</f>
        <v>13.149063529411766</v>
      </c>
      <c r="P7">
        <f t="shared" si="5"/>
        <v>6.5313174946004331</v>
      </c>
      <c r="Q7">
        <f t="shared" si="6"/>
        <v>67.2</v>
      </c>
      <c r="R7">
        <f t="shared" si="7"/>
        <v>864</v>
      </c>
      <c r="S7">
        <f t="shared" si="8"/>
        <v>334.08</v>
      </c>
      <c r="T7">
        <f t="shared" si="9"/>
        <v>69.12</v>
      </c>
      <c r="U7">
        <f>I7*E7/'[1]Inverter Analysis'!$L$2</f>
        <v>521.74240063384855</v>
      </c>
      <c r="V7">
        <f t="shared" si="10"/>
        <v>198.4126984126984</v>
      </c>
      <c r="W7">
        <f t="shared" si="11"/>
        <v>239.46360153256705</v>
      </c>
      <c r="X7">
        <f t="shared" ref="X7:X69" si="19">80000/I7</f>
        <v>132.27513227513225</v>
      </c>
      <c r="Y7">
        <f t="shared" si="12"/>
        <v>0.45874253167158441</v>
      </c>
      <c r="Z7">
        <f t="shared" si="13"/>
        <v>6.4977624575999995</v>
      </c>
    </row>
    <row r="8" spans="1:26" hidden="1">
      <c r="A8">
        <v>13</v>
      </c>
      <c r="B8" s="12">
        <v>6</v>
      </c>
      <c r="C8" s="12">
        <v>11</v>
      </c>
      <c r="D8">
        <f t="shared" si="0"/>
        <v>600</v>
      </c>
      <c r="E8">
        <f t="shared" si="1"/>
        <v>360</v>
      </c>
      <c r="F8">
        <f t="shared" si="2"/>
        <v>59.201999999999998</v>
      </c>
      <c r="G8">
        <f t="shared" si="3"/>
        <v>0.19066666666666665</v>
      </c>
      <c r="H8">
        <f t="shared" ref="H8:H69" si="20">E8*I8/1000</f>
        <v>216.21600000000001</v>
      </c>
      <c r="I8">
        <f t="shared" si="14"/>
        <v>600.6</v>
      </c>
      <c r="J8">
        <f t="shared" si="15"/>
        <v>400.4</v>
      </c>
      <c r="K8">
        <f t="shared" si="16"/>
        <v>144.14400000000001</v>
      </c>
      <c r="L8">
        <f t="shared" si="17"/>
        <v>15.135119999999999</v>
      </c>
      <c r="M8">
        <f t="shared" si="18"/>
        <v>15.855840000000002</v>
      </c>
      <c r="N8">
        <f t="shared" si="4"/>
        <v>9.0810720000000007</v>
      </c>
      <c r="O8">
        <f t="shared" ref="O8:O70" si="21">M8*(($L$3-$K$3)/($L$3-$M$3))</f>
        <v>13.057750588235297</v>
      </c>
      <c r="P8">
        <f t="shared" si="5"/>
        <v>5.3066954643628508</v>
      </c>
      <c r="Q8">
        <f t="shared" si="6"/>
        <v>54.6</v>
      </c>
      <c r="R8">
        <f t="shared" si="7"/>
        <v>858</v>
      </c>
      <c r="S8">
        <f t="shared" si="8"/>
        <v>331.76</v>
      </c>
      <c r="T8">
        <f t="shared" si="9"/>
        <v>68.64</v>
      </c>
      <c r="U8">
        <f>I8*E8/'[1]Inverter Analysis'!$L$2</f>
        <v>518.1191895183357</v>
      </c>
      <c r="V8">
        <f>80000/J8</f>
        <v>199.80019980019981</v>
      </c>
      <c r="W8">
        <f t="shared" si="11"/>
        <v>241.13817217265495</v>
      </c>
      <c r="X8">
        <f t="shared" si="19"/>
        <v>133.20013320013319</v>
      </c>
      <c r="Y8">
        <f t="shared" si="12"/>
        <v>0.46518094463015186</v>
      </c>
      <c r="Z8">
        <f t="shared" si="13"/>
        <v>6.3633303001124988</v>
      </c>
    </row>
    <row r="9" spans="1:26" hidden="1">
      <c r="A9">
        <v>14</v>
      </c>
      <c r="B9" s="12">
        <v>6</v>
      </c>
      <c r="C9" s="12">
        <v>10</v>
      </c>
      <c r="D9">
        <f t="shared" si="0"/>
        <v>600</v>
      </c>
      <c r="E9">
        <f t="shared" si="1"/>
        <v>360</v>
      </c>
      <c r="F9">
        <f t="shared" si="2"/>
        <v>57.96</v>
      </c>
      <c r="G9">
        <f t="shared" si="3"/>
        <v>0.18666666666666665</v>
      </c>
      <c r="H9">
        <f t="shared" si="20"/>
        <v>211.68</v>
      </c>
      <c r="I9">
        <f t="shared" si="14"/>
        <v>588</v>
      </c>
      <c r="J9">
        <f t="shared" si="15"/>
        <v>392</v>
      </c>
      <c r="K9">
        <f t="shared" si="16"/>
        <v>141.12</v>
      </c>
      <c r="L9">
        <f t="shared" si="17"/>
        <v>14.817599999999999</v>
      </c>
      <c r="M9">
        <f t="shared" si="18"/>
        <v>15.523200000000001</v>
      </c>
      <c r="N9">
        <f t="shared" si="4"/>
        <v>8.8905599999999989</v>
      </c>
      <c r="O9">
        <f t="shared" si="21"/>
        <v>12.783811764705884</v>
      </c>
      <c r="P9">
        <f t="shared" si="5"/>
        <v>5.7149028077753776</v>
      </c>
      <c r="Q9">
        <f t="shared" si="6"/>
        <v>58.8</v>
      </c>
      <c r="R9">
        <f t="shared" si="7"/>
        <v>840</v>
      </c>
      <c r="S9">
        <f t="shared" si="8"/>
        <v>324.8</v>
      </c>
      <c r="T9">
        <f t="shared" si="9"/>
        <v>67.199999999999989</v>
      </c>
      <c r="U9">
        <f>I9*E9/'[1]Inverter Analysis'!$L$2</f>
        <v>507.24955617179717</v>
      </c>
      <c r="V9">
        <f t="shared" si="10"/>
        <v>204.08163265306123</v>
      </c>
      <c r="W9">
        <f t="shared" si="11"/>
        <v>246.30541871921181</v>
      </c>
      <c r="X9">
        <f>80000/I9</f>
        <v>136.05442176870747</v>
      </c>
      <c r="Y9">
        <f t="shared" si="12"/>
        <v>0.48533087432357008</v>
      </c>
      <c r="Z9">
        <f t="shared" si="13"/>
        <v>5.9711841000000012</v>
      </c>
    </row>
    <row r="10" spans="1:26" hidden="1">
      <c r="A10" s="8">
        <v>15</v>
      </c>
      <c r="B10" s="12">
        <v>6</v>
      </c>
      <c r="C10" s="12">
        <v>9</v>
      </c>
      <c r="D10">
        <f t="shared" si="0"/>
        <v>600</v>
      </c>
      <c r="E10">
        <f t="shared" si="1"/>
        <v>360</v>
      </c>
      <c r="F10">
        <f t="shared" si="2"/>
        <v>55.89</v>
      </c>
      <c r="G10">
        <f t="shared" si="3"/>
        <v>0.18</v>
      </c>
      <c r="H10">
        <f t="shared" si="20"/>
        <v>204.12</v>
      </c>
      <c r="I10">
        <f t="shared" si="14"/>
        <v>567</v>
      </c>
      <c r="J10">
        <f t="shared" si="15"/>
        <v>378</v>
      </c>
      <c r="K10">
        <f t="shared" si="16"/>
        <v>136.08000000000001</v>
      </c>
      <c r="L10">
        <f t="shared" si="17"/>
        <v>14.288400000000001</v>
      </c>
      <c r="M10">
        <f t="shared" si="18"/>
        <v>14.968800000000002</v>
      </c>
      <c r="N10">
        <f t="shared" si="4"/>
        <v>8.5730399999999989</v>
      </c>
      <c r="O10">
        <f t="shared" si="21"/>
        <v>12.327247058823533</v>
      </c>
      <c r="P10">
        <f t="shared" si="5"/>
        <v>6.1231101511879054</v>
      </c>
      <c r="Q10">
        <f t="shared" si="6"/>
        <v>63</v>
      </c>
      <c r="R10">
        <f t="shared" si="7"/>
        <v>810</v>
      </c>
      <c r="S10">
        <f t="shared" si="8"/>
        <v>313.2</v>
      </c>
      <c r="T10">
        <f t="shared" si="9"/>
        <v>64.8</v>
      </c>
      <c r="U10">
        <f>I10*E10/'[1]Inverter Analysis'!$L$2</f>
        <v>489.13350059423294</v>
      </c>
      <c r="V10">
        <f t="shared" si="10"/>
        <v>211.64021164021165</v>
      </c>
      <c r="W10">
        <f t="shared" si="11"/>
        <v>255.4278416347382</v>
      </c>
      <c r="X10">
        <f t="shared" si="19"/>
        <v>141.09347442680777</v>
      </c>
      <c r="Y10">
        <f t="shared" si="12"/>
        <v>0.52194705825744725</v>
      </c>
      <c r="Z10">
        <f t="shared" si="13"/>
        <v>5.3539912828124994</v>
      </c>
    </row>
    <row r="11" spans="1:26" hidden="1">
      <c r="A11">
        <v>11</v>
      </c>
      <c r="B11" s="12">
        <v>6</v>
      </c>
      <c r="C11" s="12">
        <v>12</v>
      </c>
      <c r="D11">
        <f t="shared" si="0"/>
        <v>600</v>
      </c>
      <c r="E11">
        <f t="shared" si="1"/>
        <v>360</v>
      </c>
      <c r="F11">
        <f t="shared" si="2"/>
        <v>54.648000000000003</v>
      </c>
      <c r="G11">
        <f t="shared" si="3"/>
        <v>0.17599999999999999</v>
      </c>
      <c r="H11">
        <f t="shared" si="20"/>
        <v>199.584</v>
      </c>
      <c r="I11">
        <f t="shared" si="14"/>
        <v>554.4</v>
      </c>
      <c r="J11">
        <f t="shared" si="15"/>
        <v>369.59999999999997</v>
      </c>
      <c r="K11">
        <f t="shared" si="16"/>
        <v>133.05600000000001</v>
      </c>
      <c r="L11">
        <f t="shared" si="17"/>
        <v>13.970880000000001</v>
      </c>
      <c r="M11">
        <f t="shared" si="18"/>
        <v>14.63616</v>
      </c>
      <c r="N11">
        <f t="shared" si="4"/>
        <v>8.3825280000000006</v>
      </c>
      <c r="O11">
        <f t="shared" si="21"/>
        <v>12.05330823529412</v>
      </c>
      <c r="P11">
        <f t="shared" si="5"/>
        <v>4.4902807775377971</v>
      </c>
      <c r="Q11">
        <f t="shared" si="6"/>
        <v>46.199999999999996</v>
      </c>
      <c r="R11">
        <f t="shared" si="7"/>
        <v>792</v>
      </c>
      <c r="S11">
        <f t="shared" si="8"/>
        <v>306.23999999999995</v>
      </c>
      <c r="T11">
        <f t="shared" si="9"/>
        <v>63.36</v>
      </c>
      <c r="U11">
        <f>I11*E11/'[1]Inverter Analysis'!$L$2</f>
        <v>478.26386724769446</v>
      </c>
      <c r="V11">
        <f>80000/J11</f>
        <v>216.45021645021646</v>
      </c>
      <c r="W11">
        <f t="shared" si="11"/>
        <v>261.23301985370955</v>
      </c>
      <c r="X11">
        <f>80000/I11</f>
        <v>144.3001443001443</v>
      </c>
      <c r="Y11">
        <f t="shared" si="12"/>
        <v>0.54594152529510898</v>
      </c>
      <c r="Z11">
        <f t="shared" si="13"/>
        <v>5.0049316151999976</v>
      </c>
    </row>
    <row r="12" spans="1:26" hidden="1">
      <c r="A12">
        <v>12</v>
      </c>
      <c r="B12" s="12">
        <v>6</v>
      </c>
      <c r="C12" s="12">
        <v>11</v>
      </c>
      <c r="D12">
        <f t="shared" si="0"/>
        <v>600</v>
      </c>
      <c r="E12">
        <f t="shared" si="1"/>
        <v>360</v>
      </c>
      <c r="F12">
        <f t="shared" si="2"/>
        <v>54.648000000000003</v>
      </c>
      <c r="G12">
        <f t="shared" si="3"/>
        <v>0.17599999999999999</v>
      </c>
      <c r="H12">
        <f t="shared" si="20"/>
        <v>199.584</v>
      </c>
      <c r="I12">
        <f t="shared" si="14"/>
        <v>554.4</v>
      </c>
      <c r="J12">
        <f t="shared" si="15"/>
        <v>369.59999999999997</v>
      </c>
      <c r="K12">
        <f t="shared" si="16"/>
        <v>133.05600000000001</v>
      </c>
      <c r="L12">
        <f t="shared" si="17"/>
        <v>13.970880000000001</v>
      </c>
      <c r="M12">
        <f t="shared" si="18"/>
        <v>14.63616</v>
      </c>
      <c r="N12">
        <f t="shared" si="4"/>
        <v>8.3825280000000006</v>
      </c>
      <c r="O12">
        <f t="shared" si="21"/>
        <v>12.05330823529412</v>
      </c>
      <c r="P12">
        <f t="shared" si="5"/>
        <v>4.8984881209503239</v>
      </c>
      <c r="Q12">
        <f t="shared" si="6"/>
        <v>50.4</v>
      </c>
      <c r="R12">
        <f t="shared" si="7"/>
        <v>792</v>
      </c>
      <c r="S12">
        <f t="shared" si="8"/>
        <v>306.23999999999995</v>
      </c>
      <c r="T12">
        <f t="shared" si="9"/>
        <v>63.36</v>
      </c>
      <c r="U12">
        <f>I12*E12/'[1]Inverter Analysis'!$L$2</f>
        <v>478.26386724769446</v>
      </c>
      <c r="V12">
        <f t="shared" si="10"/>
        <v>216.45021645021646</v>
      </c>
      <c r="W12">
        <f t="shared" si="11"/>
        <v>261.23301985370955</v>
      </c>
      <c r="X12">
        <f t="shared" si="19"/>
        <v>144.3001443001443</v>
      </c>
      <c r="Y12">
        <f t="shared" si="12"/>
        <v>0.54594152529510898</v>
      </c>
      <c r="Z12">
        <f t="shared" si="13"/>
        <v>5.0049316151999976</v>
      </c>
    </row>
    <row r="13" spans="1:26" hidden="1">
      <c r="A13">
        <v>13</v>
      </c>
      <c r="B13" s="12">
        <v>6</v>
      </c>
      <c r="C13" s="12">
        <v>10</v>
      </c>
      <c r="D13">
        <f t="shared" si="0"/>
        <v>600</v>
      </c>
      <c r="E13">
        <f t="shared" si="1"/>
        <v>360</v>
      </c>
      <c r="F13">
        <f t="shared" si="2"/>
        <v>53.82</v>
      </c>
      <c r="G13">
        <f t="shared" si="3"/>
        <v>0.17333333333333334</v>
      </c>
      <c r="H13">
        <f t="shared" si="20"/>
        <v>196.56</v>
      </c>
      <c r="I13">
        <f t="shared" si="14"/>
        <v>546</v>
      </c>
      <c r="J13">
        <f t="shared" si="15"/>
        <v>364</v>
      </c>
      <c r="K13">
        <f t="shared" si="16"/>
        <v>131.04</v>
      </c>
      <c r="L13">
        <f t="shared" si="17"/>
        <v>13.7592</v>
      </c>
      <c r="M13">
        <f t="shared" si="18"/>
        <v>14.414400000000002</v>
      </c>
      <c r="N13">
        <f t="shared" si="4"/>
        <v>8.2555200000000006</v>
      </c>
      <c r="O13">
        <f t="shared" si="21"/>
        <v>11.870682352941179</v>
      </c>
      <c r="P13">
        <f t="shared" si="5"/>
        <v>5.3066954643628508</v>
      </c>
      <c r="Q13">
        <f t="shared" si="6"/>
        <v>54.6</v>
      </c>
      <c r="R13">
        <f t="shared" si="7"/>
        <v>780</v>
      </c>
      <c r="S13">
        <f t="shared" si="8"/>
        <v>301.60000000000002</v>
      </c>
      <c r="T13">
        <f t="shared" si="9"/>
        <v>62.400000000000006</v>
      </c>
      <c r="U13">
        <f>I13*E13/'[1]Inverter Analysis'!$L$2</f>
        <v>471.01744501666877</v>
      </c>
      <c r="V13">
        <f t="shared" si="10"/>
        <v>219.78021978021977</v>
      </c>
      <c r="W13">
        <f t="shared" si="11"/>
        <v>265.25198938992042</v>
      </c>
      <c r="X13">
        <f t="shared" si="19"/>
        <v>146.52014652014651</v>
      </c>
      <c r="Y13">
        <f t="shared" si="12"/>
        <v>0.56286894300248369</v>
      </c>
      <c r="Z13">
        <f t="shared" si="13"/>
        <v>4.7808642375000003</v>
      </c>
    </row>
    <row r="14" spans="1:26" hidden="1">
      <c r="A14" s="8">
        <v>16</v>
      </c>
      <c r="B14" s="12">
        <v>6</v>
      </c>
      <c r="C14" s="12">
        <v>8</v>
      </c>
      <c r="D14">
        <f t="shared" si="0"/>
        <v>600</v>
      </c>
      <c r="E14">
        <f t="shared" si="1"/>
        <v>360</v>
      </c>
      <c r="F14">
        <f t="shared" si="2"/>
        <v>52.991999999999997</v>
      </c>
      <c r="G14">
        <f t="shared" si="3"/>
        <v>0.17066666666666666</v>
      </c>
      <c r="H14">
        <f t="shared" si="20"/>
        <v>193.536</v>
      </c>
      <c r="I14">
        <f t="shared" si="14"/>
        <v>537.6</v>
      </c>
      <c r="J14">
        <f t="shared" si="15"/>
        <v>358.4</v>
      </c>
      <c r="K14">
        <f t="shared" si="16"/>
        <v>129.02399999999997</v>
      </c>
      <c r="L14">
        <f t="shared" si="17"/>
        <v>13.54752</v>
      </c>
      <c r="M14">
        <f t="shared" si="18"/>
        <v>14.192640000000003</v>
      </c>
      <c r="N14">
        <f t="shared" si="4"/>
        <v>8.1285120000000006</v>
      </c>
      <c r="O14">
        <f t="shared" si="21"/>
        <v>11.688056470588238</v>
      </c>
      <c r="P14">
        <f t="shared" si="5"/>
        <v>6.5313174946004322</v>
      </c>
      <c r="Q14">
        <f t="shared" si="6"/>
        <v>67.2</v>
      </c>
      <c r="R14">
        <f t="shared" si="7"/>
        <v>768</v>
      </c>
      <c r="S14">
        <f t="shared" si="8"/>
        <v>296.95999999999998</v>
      </c>
      <c r="T14">
        <f t="shared" si="9"/>
        <v>61.44</v>
      </c>
      <c r="U14">
        <f>I14*E14/'[1]Inverter Analysis'!$L$2</f>
        <v>463.77102278564308</v>
      </c>
      <c r="V14">
        <f t="shared" si="10"/>
        <v>223.21428571428572</v>
      </c>
      <c r="W14">
        <f t="shared" si="11"/>
        <v>269.39655172413796</v>
      </c>
      <c r="X14">
        <f t="shared" si="19"/>
        <v>148.8095238095238</v>
      </c>
      <c r="Y14">
        <f t="shared" si="12"/>
        <v>0.58059601664684912</v>
      </c>
      <c r="Z14">
        <f t="shared" si="13"/>
        <v>4.5635862527999986</v>
      </c>
    </row>
    <row r="15" spans="1:26" hidden="1">
      <c r="A15">
        <v>14</v>
      </c>
      <c r="B15" s="12">
        <v>6</v>
      </c>
      <c r="C15" s="12">
        <v>9</v>
      </c>
      <c r="D15">
        <f t="shared" si="0"/>
        <v>600</v>
      </c>
      <c r="E15">
        <f t="shared" si="1"/>
        <v>360</v>
      </c>
      <c r="F15">
        <f t="shared" si="2"/>
        <v>52.164000000000001</v>
      </c>
      <c r="G15">
        <f t="shared" si="3"/>
        <v>0.16799999999999998</v>
      </c>
      <c r="H15">
        <f t="shared" si="20"/>
        <v>190.51200000000003</v>
      </c>
      <c r="I15">
        <f t="shared" si="14"/>
        <v>529.20000000000005</v>
      </c>
      <c r="J15">
        <f t="shared" si="15"/>
        <v>352.79999999999995</v>
      </c>
      <c r="K15">
        <f t="shared" si="16"/>
        <v>127.00799999999998</v>
      </c>
      <c r="L15">
        <f t="shared" si="17"/>
        <v>13.335840000000003</v>
      </c>
      <c r="M15">
        <f t="shared" si="18"/>
        <v>13.970880000000003</v>
      </c>
      <c r="N15">
        <f t="shared" si="4"/>
        <v>8.0015040000000006</v>
      </c>
      <c r="O15">
        <f t="shared" si="21"/>
        <v>11.505430588235297</v>
      </c>
      <c r="P15">
        <f t="shared" si="5"/>
        <v>5.7149028077753776</v>
      </c>
      <c r="Q15">
        <f t="shared" si="6"/>
        <v>58.800000000000004</v>
      </c>
      <c r="R15">
        <f t="shared" si="7"/>
        <v>756</v>
      </c>
      <c r="S15">
        <f t="shared" si="8"/>
        <v>292.31999999999994</v>
      </c>
      <c r="T15">
        <f t="shared" si="9"/>
        <v>60.48</v>
      </c>
      <c r="U15">
        <f>I15*E15/'[1]Inverter Analysis'!$L$2</f>
        <v>456.52460055461751</v>
      </c>
      <c r="V15">
        <f t="shared" si="10"/>
        <v>226.7573696145125</v>
      </c>
      <c r="W15">
        <f t="shared" si="11"/>
        <v>273.672687465791</v>
      </c>
      <c r="X15">
        <f t="shared" si="19"/>
        <v>151.17157974300829</v>
      </c>
      <c r="Y15">
        <f t="shared" si="12"/>
        <v>0.59917391891798821</v>
      </c>
      <c r="Z15">
        <f t="shared" si="13"/>
        <v>4.3529932088999965</v>
      </c>
    </row>
    <row r="16" spans="1:26" hidden="1">
      <c r="A16">
        <v>11</v>
      </c>
      <c r="B16" s="12">
        <v>6</v>
      </c>
      <c r="C16" s="12">
        <v>11</v>
      </c>
      <c r="D16">
        <f t="shared" si="0"/>
        <v>600</v>
      </c>
      <c r="E16">
        <f t="shared" si="1"/>
        <v>360</v>
      </c>
      <c r="F16">
        <f t="shared" si="2"/>
        <v>50.094000000000001</v>
      </c>
      <c r="G16">
        <f t="shared" si="3"/>
        <v>0.16133333333333333</v>
      </c>
      <c r="H16">
        <f t="shared" si="20"/>
        <v>182.95200000000003</v>
      </c>
      <c r="I16">
        <f t="shared" si="14"/>
        <v>508.20000000000005</v>
      </c>
      <c r="J16">
        <f t="shared" si="15"/>
        <v>338.79999999999995</v>
      </c>
      <c r="K16">
        <f t="shared" si="16"/>
        <v>121.96799999999999</v>
      </c>
      <c r="L16">
        <f t="shared" si="17"/>
        <v>12.80664</v>
      </c>
      <c r="M16">
        <f t="shared" si="18"/>
        <v>13.416480000000004</v>
      </c>
      <c r="N16">
        <f t="shared" si="4"/>
        <v>7.6839840000000015</v>
      </c>
      <c r="O16">
        <f t="shared" si="21"/>
        <v>11.048865882352946</v>
      </c>
      <c r="P16">
        <f t="shared" si="5"/>
        <v>4.4902807775377971</v>
      </c>
      <c r="Q16">
        <f t="shared" si="6"/>
        <v>46.2</v>
      </c>
      <c r="R16">
        <f t="shared" si="7"/>
        <v>726</v>
      </c>
      <c r="S16">
        <f t="shared" si="8"/>
        <v>280.71999999999997</v>
      </c>
      <c r="T16">
        <f t="shared" si="9"/>
        <v>58.08</v>
      </c>
      <c r="U16">
        <f>I16*E16/'[1]Inverter Analysis'!$L$2</f>
        <v>438.40854497705334</v>
      </c>
      <c r="V16">
        <f t="shared" si="10"/>
        <v>236.12750885478161</v>
      </c>
      <c r="W16">
        <f t="shared" si="11"/>
        <v>284.98147620404677</v>
      </c>
      <c r="X16">
        <f t="shared" si="19"/>
        <v>157.41833923652104</v>
      </c>
      <c r="Y16">
        <f t="shared" si="12"/>
        <v>0.64971553423550144</v>
      </c>
      <c r="Z16">
        <f t="shared" si="13"/>
        <v>3.8550717475874992</v>
      </c>
    </row>
    <row r="17" spans="1:26" hidden="1">
      <c r="A17">
        <v>10</v>
      </c>
      <c r="B17" s="12">
        <v>6</v>
      </c>
      <c r="C17" s="12">
        <v>12</v>
      </c>
      <c r="D17">
        <f t="shared" si="0"/>
        <v>600</v>
      </c>
      <c r="E17">
        <f t="shared" si="1"/>
        <v>360</v>
      </c>
      <c r="F17">
        <f t="shared" si="2"/>
        <v>49.68</v>
      </c>
      <c r="G17">
        <f t="shared" si="3"/>
        <v>0.15999999999999998</v>
      </c>
      <c r="H17">
        <f t="shared" si="20"/>
        <v>181.44</v>
      </c>
      <c r="I17">
        <f t="shared" si="14"/>
        <v>504</v>
      </c>
      <c r="J17">
        <f t="shared" si="15"/>
        <v>336</v>
      </c>
      <c r="K17">
        <f t="shared" si="16"/>
        <v>120.96</v>
      </c>
      <c r="L17">
        <f t="shared" si="17"/>
        <v>12.700800000000001</v>
      </c>
      <c r="M17">
        <f t="shared" si="18"/>
        <v>13.305600000000002</v>
      </c>
      <c r="N17">
        <f t="shared" si="4"/>
        <v>7.6204799999999997</v>
      </c>
      <c r="O17">
        <f t="shared" si="21"/>
        <v>10.957552941176473</v>
      </c>
      <c r="P17">
        <f t="shared" si="5"/>
        <v>4.0820734341252694</v>
      </c>
      <c r="Q17">
        <f t="shared" si="6"/>
        <v>42</v>
      </c>
      <c r="R17">
        <f t="shared" si="7"/>
        <v>720</v>
      </c>
      <c r="S17">
        <f t="shared" si="8"/>
        <v>278.39999999999998</v>
      </c>
      <c r="T17">
        <f t="shared" si="9"/>
        <v>57.599999999999994</v>
      </c>
      <c r="U17">
        <f>I17*E17/'[1]Inverter Analysis'!$L$2</f>
        <v>434.78533386154038</v>
      </c>
      <c r="V17">
        <f t="shared" si="10"/>
        <v>238.0952380952381</v>
      </c>
      <c r="W17">
        <f t="shared" si="11"/>
        <v>287.35632183908046</v>
      </c>
      <c r="X17">
        <f t="shared" si="19"/>
        <v>158.73015873015873</v>
      </c>
      <c r="Y17">
        <f t="shared" si="12"/>
        <v>0.66058924560708154</v>
      </c>
      <c r="Z17">
        <f t="shared" si="13"/>
        <v>3.7602791999999994</v>
      </c>
    </row>
    <row r="18" spans="1:26" hidden="1">
      <c r="A18">
        <v>12</v>
      </c>
      <c r="B18" s="12">
        <v>6</v>
      </c>
      <c r="C18" s="12">
        <v>10</v>
      </c>
      <c r="D18">
        <f t="shared" si="0"/>
        <v>600</v>
      </c>
      <c r="E18">
        <f t="shared" si="1"/>
        <v>360</v>
      </c>
      <c r="F18">
        <f t="shared" si="2"/>
        <v>49.68</v>
      </c>
      <c r="G18">
        <f t="shared" si="3"/>
        <v>0.16</v>
      </c>
      <c r="H18">
        <f t="shared" si="20"/>
        <v>181.44</v>
      </c>
      <c r="I18">
        <f t="shared" si="14"/>
        <v>504</v>
      </c>
      <c r="J18">
        <f t="shared" si="15"/>
        <v>336</v>
      </c>
      <c r="K18">
        <f t="shared" si="16"/>
        <v>120.96</v>
      </c>
      <c r="L18">
        <f t="shared" si="17"/>
        <v>12.700800000000001</v>
      </c>
      <c r="M18">
        <f t="shared" si="18"/>
        <v>13.305600000000002</v>
      </c>
      <c r="N18">
        <f t="shared" si="4"/>
        <v>7.6204799999999997</v>
      </c>
      <c r="O18">
        <f t="shared" si="21"/>
        <v>10.957552941176473</v>
      </c>
      <c r="P18">
        <f t="shared" si="5"/>
        <v>4.8984881209503239</v>
      </c>
      <c r="Q18">
        <f t="shared" si="6"/>
        <v>50.4</v>
      </c>
      <c r="R18">
        <f t="shared" si="7"/>
        <v>720</v>
      </c>
      <c r="S18">
        <f t="shared" si="8"/>
        <v>278.39999999999998</v>
      </c>
      <c r="T18">
        <f t="shared" si="9"/>
        <v>57.6</v>
      </c>
      <c r="U18">
        <f>I18*E18/'[1]Inverter Analysis'!$L$2</f>
        <v>434.78533386154038</v>
      </c>
      <c r="V18">
        <f t="shared" si="10"/>
        <v>238.0952380952381</v>
      </c>
      <c r="W18">
        <f t="shared" si="11"/>
        <v>287.35632183908046</v>
      </c>
      <c r="X18">
        <f t="shared" si="19"/>
        <v>158.73015873015873</v>
      </c>
      <c r="Y18">
        <f t="shared" si="12"/>
        <v>0.66058924560708154</v>
      </c>
      <c r="Z18">
        <f t="shared" si="13"/>
        <v>3.7602791999999994</v>
      </c>
    </row>
    <row r="19" spans="1:26" hidden="1">
      <c r="A19" s="8">
        <v>15</v>
      </c>
      <c r="B19" s="12">
        <v>6</v>
      </c>
      <c r="C19" s="12">
        <v>8</v>
      </c>
      <c r="D19">
        <f t="shared" si="0"/>
        <v>600</v>
      </c>
      <c r="E19">
        <f t="shared" si="1"/>
        <v>360</v>
      </c>
      <c r="F19">
        <f t="shared" si="2"/>
        <v>49.68</v>
      </c>
      <c r="G19">
        <f t="shared" si="3"/>
        <v>0.16</v>
      </c>
      <c r="H19">
        <f t="shared" si="20"/>
        <v>181.44</v>
      </c>
      <c r="I19">
        <f t="shared" si="14"/>
        <v>504</v>
      </c>
      <c r="J19">
        <f t="shared" si="15"/>
        <v>336</v>
      </c>
      <c r="K19">
        <f t="shared" si="16"/>
        <v>120.96</v>
      </c>
      <c r="L19">
        <f t="shared" si="17"/>
        <v>12.700800000000001</v>
      </c>
      <c r="M19">
        <f t="shared" si="18"/>
        <v>13.305600000000002</v>
      </c>
      <c r="N19">
        <f t="shared" si="4"/>
        <v>7.6204799999999997</v>
      </c>
      <c r="O19">
        <f t="shared" si="21"/>
        <v>10.957552941176473</v>
      </c>
      <c r="P19">
        <f t="shared" si="5"/>
        <v>6.1231101511879045</v>
      </c>
      <c r="Q19">
        <f t="shared" si="6"/>
        <v>63</v>
      </c>
      <c r="R19">
        <f t="shared" si="7"/>
        <v>720</v>
      </c>
      <c r="S19">
        <f t="shared" si="8"/>
        <v>278.39999999999998</v>
      </c>
      <c r="T19">
        <f t="shared" si="9"/>
        <v>57.6</v>
      </c>
      <c r="U19">
        <f>I19*E19/'[1]Inverter Analysis'!$L$2</f>
        <v>434.78533386154038</v>
      </c>
      <c r="V19">
        <f t="shared" si="10"/>
        <v>238.0952380952381</v>
      </c>
      <c r="W19">
        <f t="shared" si="11"/>
        <v>287.35632183908046</v>
      </c>
      <c r="X19">
        <f t="shared" si="19"/>
        <v>158.73015873015873</v>
      </c>
      <c r="Y19">
        <f t="shared" si="12"/>
        <v>0.66058924560708154</v>
      </c>
      <c r="Z19">
        <f t="shared" si="13"/>
        <v>3.7602791999999994</v>
      </c>
    </row>
    <row r="20" spans="1:26" hidden="1">
      <c r="A20">
        <v>12</v>
      </c>
      <c r="B20" s="9">
        <v>5</v>
      </c>
      <c r="C20">
        <v>12</v>
      </c>
      <c r="D20">
        <f t="shared" si="0"/>
        <v>500</v>
      </c>
      <c r="E20">
        <f t="shared" si="1"/>
        <v>300</v>
      </c>
      <c r="F20">
        <f t="shared" si="2"/>
        <v>49.68</v>
      </c>
      <c r="G20">
        <f t="shared" si="3"/>
        <v>0.23040000000000002</v>
      </c>
      <c r="H20">
        <f t="shared" si="20"/>
        <v>181.44000000000003</v>
      </c>
      <c r="I20">
        <f t="shared" si="14"/>
        <v>604.80000000000007</v>
      </c>
      <c r="J20">
        <f t="shared" si="15"/>
        <v>403.2</v>
      </c>
      <c r="K20">
        <f t="shared" si="16"/>
        <v>120.96</v>
      </c>
      <c r="L20">
        <f t="shared" si="17"/>
        <v>12.700800000000001</v>
      </c>
      <c r="M20">
        <f t="shared" si="18"/>
        <v>13.305600000000002</v>
      </c>
      <c r="N20">
        <f t="shared" si="4"/>
        <v>7.6204800000000015</v>
      </c>
      <c r="O20">
        <f t="shared" si="21"/>
        <v>10.957552941176473</v>
      </c>
      <c r="P20">
        <f t="shared" si="5"/>
        <v>4.0820734341252702</v>
      </c>
      <c r="Q20">
        <f t="shared" si="6"/>
        <v>50.400000000000006</v>
      </c>
      <c r="R20">
        <f t="shared" si="7"/>
        <v>720</v>
      </c>
      <c r="S20">
        <f t="shared" si="8"/>
        <v>334.08</v>
      </c>
      <c r="T20">
        <f t="shared" si="9"/>
        <v>69.12</v>
      </c>
      <c r="U20">
        <f>I20*E20/'[1]Inverter Analysis'!$L$2</f>
        <v>434.78533386154049</v>
      </c>
      <c r="V20">
        <f t="shared" si="10"/>
        <v>198.4126984126984</v>
      </c>
      <c r="W20">
        <f t="shared" si="11"/>
        <v>239.46360153256705</v>
      </c>
      <c r="X20">
        <f t="shared" si="19"/>
        <v>132.27513227513225</v>
      </c>
      <c r="Y20">
        <f t="shared" si="12"/>
        <v>0.45874253167158441</v>
      </c>
      <c r="Z20">
        <f t="shared" si="13"/>
        <v>5.4148020480000003</v>
      </c>
    </row>
    <row r="21" spans="1:26" hidden="1">
      <c r="A21" s="8">
        <v>16</v>
      </c>
      <c r="B21" s="9">
        <v>5</v>
      </c>
      <c r="C21" s="12">
        <v>9</v>
      </c>
      <c r="D21">
        <f t="shared" si="0"/>
        <v>500</v>
      </c>
      <c r="E21">
        <f t="shared" si="1"/>
        <v>300</v>
      </c>
      <c r="F21">
        <f t="shared" si="2"/>
        <v>49.68</v>
      </c>
      <c r="G21">
        <f t="shared" si="3"/>
        <v>0.23040000000000002</v>
      </c>
      <c r="H21">
        <f t="shared" si="20"/>
        <v>181.44000000000003</v>
      </c>
      <c r="I21">
        <f t="shared" si="14"/>
        <v>604.80000000000007</v>
      </c>
      <c r="J21">
        <f t="shared" si="15"/>
        <v>403.2</v>
      </c>
      <c r="K21">
        <f t="shared" si="16"/>
        <v>120.96</v>
      </c>
      <c r="L21">
        <f t="shared" si="17"/>
        <v>12.700800000000001</v>
      </c>
      <c r="M21">
        <f t="shared" si="18"/>
        <v>13.305600000000002</v>
      </c>
      <c r="N21">
        <f t="shared" si="4"/>
        <v>7.6204800000000015</v>
      </c>
      <c r="O21">
        <f t="shared" si="21"/>
        <v>10.957552941176473</v>
      </c>
      <c r="P21">
        <f t="shared" si="5"/>
        <v>5.4427645788336934</v>
      </c>
      <c r="Q21">
        <f t="shared" si="6"/>
        <v>67.2</v>
      </c>
      <c r="R21">
        <f t="shared" si="7"/>
        <v>720</v>
      </c>
      <c r="S21">
        <f t="shared" si="8"/>
        <v>334.08</v>
      </c>
      <c r="T21">
        <f t="shared" si="9"/>
        <v>69.12</v>
      </c>
      <c r="U21">
        <f>I21*E21/'[1]Inverter Analysis'!$L$2</f>
        <v>434.78533386154049</v>
      </c>
      <c r="V21">
        <f t="shared" si="10"/>
        <v>198.4126984126984</v>
      </c>
      <c r="W21">
        <f t="shared" si="11"/>
        <v>239.46360153256705</v>
      </c>
      <c r="X21">
        <f t="shared" si="19"/>
        <v>132.27513227513225</v>
      </c>
      <c r="Y21">
        <f t="shared" si="12"/>
        <v>0.45874253167158441</v>
      </c>
      <c r="Z21">
        <f t="shared" si="13"/>
        <v>5.4148020480000003</v>
      </c>
    </row>
    <row r="22" spans="1:26" hidden="1">
      <c r="A22">
        <v>13</v>
      </c>
      <c r="B22" s="9">
        <v>5</v>
      </c>
      <c r="C22" s="12">
        <v>11</v>
      </c>
      <c r="D22">
        <f t="shared" si="0"/>
        <v>500</v>
      </c>
      <c r="E22">
        <f t="shared" si="1"/>
        <v>300</v>
      </c>
      <c r="F22">
        <f t="shared" si="2"/>
        <v>49.335000000000001</v>
      </c>
      <c r="G22">
        <f t="shared" si="3"/>
        <v>0.22880000000000003</v>
      </c>
      <c r="H22">
        <f t="shared" si="20"/>
        <v>180.18</v>
      </c>
      <c r="I22">
        <f t="shared" si="14"/>
        <v>600.6</v>
      </c>
      <c r="J22">
        <f t="shared" si="15"/>
        <v>400.4</v>
      </c>
      <c r="K22">
        <f t="shared" si="16"/>
        <v>120.12</v>
      </c>
      <c r="L22">
        <f t="shared" si="17"/>
        <v>12.6126</v>
      </c>
      <c r="M22">
        <f t="shared" si="18"/>
        <v>13.213200000000001</v>
      </c>
      <c r="N22">
        <f t="shared" si="4"/>
        <v>7.5675600000000012</v>
      </c>
      <c r="O22">
        <f t="shared" si="21"/>
        <v>10.881458823529414</v>
      </c>
      <c r="P22">
        <f t="shared" si="5"/>
        <v>4.4222462203023758</v>
      </c>
      <c r="Q22">
        <f t="shared" si="6"/>
        <v>54.6</v>
      </c>
      <c r="R22">
        <f t="shared" si="7"/>
        <v>715</v>
      </c>
      <c r="S22">
        <f t="shared" si="8"/>
        <v>331.76</v>
      </c>
      <c r="T22">
        <f t="shared" si="9"/>
        <v>68.640000000000015</v>
      </c>
      <c r="U22">
        <f>I22*E22/'[1]Inverter Analysis'!$L$2</f>
        <v>431.76599126527969</v>
      </c>
      <c r="V22">
        <f t="shared" si="10"/>
        <v>199.80019980019981</v>
      </c>
      <c r="W22">
        <f t="shared" si="11"/>
        <v>241.13817217265495</v>
      </c>
      <c r="X22">
        <f t="shared" si="19"/>
        <v>133.20013320013319</v>
      </c>
      <c r="Y22">
        <f t="shared" si="12"/>
        <v>0.46518094463015186</v>
      </c>
      <c r="Z22">
        <f t="shared" si="13"/>
        <v>5.3027752500937488</v>
      </c>
    </row>
    <row r="23" spans="1:26" hidden="1">
      <c r="A23">
        <v>13</v>
      </c>
      <c r="B23" s="12">
        <v>6</v>
      </c>
      <c r="C23" s="12">
        <v>9</v>
      </c>
      <c r="D23">
        <f t="shared" si="0"/>
        <v>600</v>
      </c>
      <c r="E23">
        <f t="shared" si="1"/>
        <v>360</v>
      </c>
      <c r="F23">
        <f t="shared" si="2"/>
        <v>48.438000000000002</v>
      </c>
      <c r="G23">
        <f t="shared" si="3"/>
        <v>0.156</v>
      </c>
      <c r="H23">
        <f t="shared" si="20"/>
        <v>176.904</v>
      </c>
      <c r="I23">
        <f t="shared" si="14"/>
        <v>491.40000000000003</v>
      </c>
      <c r="J23">
        <f t="shared" si="15"/>
        <v>327.59999999999997</v>
      </c>
      <c r="K23">
        <f t="shared" si="16"/>
        <v>117.93599999999998</v>
      </c>
      <c r="L23">
        <f t="shared" si="17"/>
        <v>12.383280000000001</v>
      </c>
      <c r="M23">
        <f t="shared" si="18"/>
        <v>12.972960000000002</v>
      </c>
      <c r="N23">
        <f t="shared" si="4"/>
        <v>7.4299680000000006</v>
      </c>
      <c r="O23">
        <f>M23*(($L$3-$K$3)/($L$3-$M$3))</f>
        <v>10.683614117647062</v>
      </c>
      <c r="P23">
        <f t="shared" si="5"/>
        <v>5.3066954643628508</v>
      </c>
      <c r="Q23">
        <f t="shared" si="6"/>
        <v>54.6</v>
      </c>
      <c r="R23">
        <f t="shared" si="7"/>
        <v>702</v>
      </c>
      <c r="S23">
        <f t="shared" si="8"/>
        <v>271.43999999999994</v>
      </c>
      <c r="T23">
        <f t="shared" si="9"/>
        <v>56.16</v>
      </c>
      <c r="U23">
        <f>I23*E23/'[1]Inverter Analysis'!$L$2</f>
        <v>423.9157005150019</v>
      </c>
      <c r="V23">
        <f t="shared" si="10"/>
        <v>244.20024420024421</v>
      </c>
      <c r="W23">
        <f t="shared" si="11"/>
        <v>294.72443265546718</v>
      </c>
      <c r="X23">
        <f t="shared" si="19"/>
        <v>162.80016280016278</v>
      </c>
      <c r="Y23">
        <f t="shared" si="12"/>
        <v>0.69489992963269609</v>
      </c>
      <c r="Z23">
        <f t="shared" si="13"/>
        <v>3.4852500291374988</v>
      </c>
    </row>
    <row r="24" spans="1:26" hidden="1">
      <c r="A24">
        <v>14</v>
      </c>
      <c r="B24" s="9">
        <v>5</v>
      </c>
      <c r="C24" s="12">
        <v>10</v>
      </c>
      <c r="D24">
        <f t="shared" si="0"/>
        <v>500</v>
      </c>
      <c r="E24">
        <f t="shared" si="1"/>
        <v>300</v>
      </c>
      <c r="F24">
        <f t="shared" si="2"/>
        <v>48.3</v>
      </c>
      <c r="G24">
        <f t="shared" si="3"/>
        <v>0.224</v>
      </c>
      <c r="H24">
        <f t="shared" si="20"/>
        <v>176.4</v>
      </c>
      <c r="I24">
        <f t="shared" si="14"/>
        <v>588</v>
      </c>
      <c r="J24">
        <f t="shared" si="15"/>
        <v>392</v>
      </c>
      <c r="K24">
        <f t="shared" si="16"/>
        <v>117.6</v>
      </c>
      <c r="L24">
        <f t="shared" si="17"/>
        <v>12.348000000000001</v>
      </c>
      <c r="M24">
        <f t="shared" si="18"/>
        <v>12.936000000000002</v>
      </c>
      <c r="N24">
        <f t="shared" si="4"/>
        <v>7.4088000000000003</v>
      </c>
      <c r="O24">
        <f t="shared" si="21"/>
        <v>10.653176470588237</v>
      </c>
      <c r="P24">
        <f t="shared" si="5"/>
        <v>4.7624190064794814</v>
      </c>
      <c r="Q24">
        <f t="shared" si="6"/>
        <v>58.8</v>
      </c>
      <c r="R24">
        <f t="shared" si="7"/>
        <v>700</v>
      </c>
      <c r="S24">
        <f t="shared" si="8"/>
        <v>324.8</v>
      </c>
      <c r="T24">
        <f t="shared" si="9"/>
        <v>67.2</v>
      </c>
      <c r="U24">
        <f>I24*E24/'[1]Inverter Analysis'!$L$2</f>
        <v>422.70796347649764</v>
      </c>
      <c r="V24">
        <f t="shared" si="10"/>
        <v>204.08163265306123</v>
      </c>
      <c r="W24">
        <f t="shared" si="11"/>
        <v>246.30541871921181</v>
      </c>
      <c r="X24">
        <f t="shared" si="19"/>
        <v>136.05442176870747</v>
      </c>
      <c r="Y24">
        <f t="shared" si="12"/>
        <v>0.48533087432357008</v>
      </c>
      <c r="Z24">
        <f t="shared" si="13"/>
        <v>4.9759867500000006</v>
      </c>
    </row>
    <row r="25" spans="1:26" hidden="1">
      <c r="A25" s="8">
        <v>15</v>
      </c>
      <c r="B25" s="9">
        <v>5</v>
      </c>
      <c r="C25" s="12">
        <v>9</v>
      </c>
      <c r="D25">
        <f t="shared" si="0"/>
        <v>500</v>
      </c>
      <c r="E25">
        <f t="shared" si="1"/>
        <v>300</v>
      </c>
      <c r="F25">
        <f t="shared" si="2"/>
        <v>46.575000000000003</v>
      </c>
      <c r="G25">
        <f t="shared" si="3"/>
        <v>0.216</v>
      </c>
      <c r="H25">
        <f t="shared" si="20"/>
        <v>170.1</v>
      </c>
      <c r="I25">
        <f t="shared" si="14"/>
        <v>567</v>
      </c>
      <c r="J25">
        <f t="shared" si="15"/>
        <v>378</v>
      </c>
      <c r="K25">
        <f t="shared" si="16"/>
        <v>113.4</v>
      </c>
      <c r="L25">
        <f t="shared" si="17"/>
        <v>11.907</v>
      </c>
      <c r="M25">
        <f t="shared" si="18"/>
        <v>12.474</v>
      </c>
      <c r="N25">
        <f t="shared" si="4"/>
        <v>7.1441999999999997</v>
      </c>
      <c r="O25">
        <f t="shared" si="21"/>
        <v>10.272705882352943</v>
      </c>
      <c r="P25">
        <f t="shared" si="5"/>
        <v>5.1025917926565869</v>
      </c>
      <c r="Q25">
        <f t="shared" si="6"/>
        <v>63</v>
      </c>
      <c r="R25">
        <f t="shared" si="7"/>
        <v>675</v>
      </c>
      <c r="S25">
        <f t="shared" si="8"/>
        <v>313.2</v>
      </c>
      <c r="T25">
        <f t="shared" si="9"/>
        <v>64.8</v>
      </c>
      <c r="U25">
        <f>I25*E25/'[1]Inverter Analysis'!$L$2</f>
        <v>407.61125049519416</v>
      </c>
      <c r="V25">
        <f t="shared" si="10"/>
        <v>211.64021164021165</v>
      </c>
      <c r="W25">
        <f t="shared" si="11"/>
        <v>255.4278416347382</v>
      </c>
      <c r="X25">
        <f t="shared" si="19"/>
        <v>141.09347442680777</v>
      </c>
      <c r="Y25">
        <f t="shared" si="12"/>
        <v>0.52194705825744725</v>
      </c>
      <c r="Z25">
        <f t="shared" si="13"/>
        <v>4.4616594023437486</v>
      </c>
    </row>
    <row r="26" spans="1:26" hidden="1">
      <c r="A26">
        <v>14</v>
      </c>
      <c r="B26" s="12">
        <v>6</v>
      </c>
      <c r="C26" s="12">
        <v>8</v>
      </c>
      <c r="D26">
        <f t="shared" si="0"/>
        <v>600</v>
      </c>
      <c r="E26">
        <f t="shared" si="1"/>
        <v>360</v>
      </c>
      <c r="F26">
        <f t="shared" si="2"/>
        <v>46.368000000000002</v>
      </c>
      <c r="G26">
        <f t="shared" si="3"/>
        <v>0.14933333333333332</v>
      </c>
      <c r="H26">
        <f t="shared" si="20"/>
        <v>169.34399999999999</v>
      </c>
      <c r="I26">
        <f t="shared" si="14"/>
        <v>470.40000000000003</v>
      </c>
      <c r="J26">
        <f t="shared" si="15"/>
        <v>313.59999999999997</v>
      </c>
      <c r="K26">
        <f t="shared" si="16"/>
        <v>112.89599999999999</v>
      </c>
      <c r="L26">
        <f t="shared" si="17"/>
        <v>11.854080000000002</v>
      </c>
      <c r="M26">
        <f t="shared" si="18"/>
        <v>12.418560000000001</v>
      </c>
      <c r="N26">
        <f t="shared" si="4"/>
        <v>7.1124480000000005</v>
      </c>
      <c r="O26">
        <f t="shared" si="21"/>
        <v>10.227049411764709</v>
      </c>
      <c r="P26">
        <f t="shared" si="5"/>
        <v>5.7149028077753785</v>
      </c>
      <c r="Q26">
        <f t="shared" si="6"/>
        <v>58.800000000000004</v>
      </c>
      <c r="R26">
        <f t="shared" si="7"/>
        <v>672</v>
      </c>
      <c r="S26">
        <f t="shared" si="8"/>
        <v>259.83999999999997</v>
      </c>
      <c r="T26">
        <f t="shared" si="9"/>
        <v>53.759999999999991</v>
      </c>
      <c r="U26">
        <f>I26*E26/'[1]Inverter Analysis'!$L$2</f>
        <v>405.79964493743773</v>
      </c>
      <c r="V26">
        <f t="shared" si="10"/>
        <v>255.10204081632656</v>
      </c>
      <c r="W26">
        <f t="shared" si="11"/>
        <v>307.88177339901483</v>
      </c>
      <c r="X26">
        <f t="shared" si="19"/>
        <v>170.06802721088434</v>
      </c>
      <c r="Y26">
        <f t="shared" si="12"/>
        <v>0.75832949113057857</v>
      </c>
      <c r="Z26">
        <f t="shared" si="13"/>
        <v>3.0572462591999989</v>
      </c>
    </row>
    <row r="27" spans="1:26" hidden="1">
      <c r="A27" s="8">
        <v>16</v>
      </c>
      <c r="B27" s="12">
        <v>6</v>
      </c>
      <c r="C27" s="12">
        <v>7</v>
      </c>
      <c r="D27">
        <f t="shared" si="0"/>
        <v>600</v>
      </c>
      <c r="E27">
        <f t="shared" si="1"/>
        <v>360</v>
      </c>
      <c r="F27">
        <f t="shared" si="2"/>
        <v>46.368000000000002</v>
      </c>
      <c r="G27">
        <f t="shared" si="3"/>
        <v>0.14933333333333332</v>
      </c>
      <c r="H27">
        <f t="shared" si="20"/>
        <v>169.34399999999999</v>
      </c>
      <c r="I27">
        <f t="shared" si="14"/>
        <v>470.40000000000003</v>
      </c>
      <c r="J27">
        <f t="shared" si="15"/>
        <v>313.59999999999997</v>
      </c>
      <c r="K27">
        <f t="shared" si="16"/>
        <v>112.89599999999999</v>
      </c>
      <c r="L27">
        <f t="shared" si="17"/>
        <v>11.854080000000002</v>
      </c>
      <c r="M27">
        <f t="shared" si="18"/>
        <v>12.418560000000001</v>
      </c>
      <c r="N27">
        <f t="shared" si="4"/>
        <v>7.1124480000000005</v>
      </c>
      <c r="O27">
        <f t="shared" si="21"/>
        <v>10.227049411764709</v>
      </c>
      <c r="P27">
        <f t="shared" si="5"/>
        <v>6.5313174946004322</v>
      </c>
      <c r="Q27">
        <f t="shared" si="6"/>
        <v>67.2</v>
      </c>
      <c r="R27">
        <f t="shared" si="7"/>
        <v>672</v>
      </c>
      <c r="S27">
        <f t="shared" si="8"/>
        <v>259.83999999999997</v>
      </c>
      <c r="T27">
        <f t="shared" si="9"/>
        <v>53.759999999999991</v>
      </c>
      <c r="U27">
        <f>I27*E27/'[1]Inverter Analysis'!$L$2</f>
        <v>405.79964493743773</v>
      </c>
      <c r="V27">
        <f t="shared" si="10"/>
        <v>255.10204081632656</v>
      </c>
      <c r="W27">
        <f t="shared" si="11"/>
        <v>307.88177339901483</v>
      </c>
      <c r="X27">
        <f t="shared" si="19"/>
        <v>170.06802721088434</v>
      </c>
      <c r="Y27">
        <f t="shared" si="12"/>
        <v>0.75832949113057857</v>
      </c>
      <c r="Z27">
        <f t="shared" si="13"/>
        <v>3.0572462591999989</v>
      </c>
    </row>
    <row r="28" spans="1:26" hidden="1">
      <c r="A28">
        <v>10</v>
      </c>
      <c r="B28" s="12">
        <v>6</v>
      </c>
      <c r="C28" s="12">
        <v>11</v>
      </c>
      <c r="D28">
        <f t="shared" si="0"/>
        <v>600</v>
      </c>
      <c r="E28">
        <f t="shared" si="1"/>
        <v>360</v>
      </c>
      <c r="F28">
        <f t="shared" si="2"/>
        <v>45.54</v>
      </c>
      <c r="G28">
        <f t="shared" si="3"/>
        <v>0.14666666666666667</v>
      </c>
      <c r="H28">
        <f t="shared" si="20"/>
        <v>166.32</v>
      </c>
      <c r="I28">
        <f t="shared" si="14"/>
        <v>462</v>
      </c>
      <c r="J28">
        <f t="shared" si="15"/>
        <v>308</v>
      </c>
      <c r="K28">
        <f t="shared" si="16"/>
        <v>110.88</v>
      </c>
      <c r="L28">
        <f t="shared" si="17"/>
        <v>11.642400000000002</v>
      </c>
      <c r="M28">
        <f t="shared" si="18"/>
        <v>12.196800000000001</v>
      </c>
      <c r="N28">
        <f t="shared" si="4"/>
        <v>6.9854400000000005</v>
      </c>
      <c r="O28">
        <f t="shared" si="21"/>
        <v>10.044423529411766</v>
      </c>
      <c r="P28">
        <f t="shared" si="5"/>
        <v>4.0820734341252694</v>
      </c>
      <c r="Q28">
        <f t="shared" si="6"/>
        <v>42</v>
      </c>
      <c r="R28">
        <f t="shared" si="7"/>
        <v>660</v>
      </c>
      <c r="S28">
        <f t="shared" si="8"/>
        <v>255.2</v>
      </c>
      <c r="T28">
        <f t="shared" si="9"/>
        <v>52.8</v>
      </c>
      <c r="U28">
        <f>I28*E28/'[1]Inverter Analysis'!$L$2</f>
        <v>398.55322270641204</v>
      </c>
      <c r="V28">
        <f t="shared" si="10"/>
        <v>259.74025974025972</v>
      </c>
      <c r="W28">
        <f t="shared" si="11"/>
        <v>313.47962382445144</v>
      </c>
      <c r="X28">
        <f t="shared" si="19"/>
        <v>173.16017316017317</v>
      </c>
      <c r="Y28">
        <f t="shared" si="12"/>
        <v>0.78615579642495659</v>
      </c>
      <c r="Z28">
        <f t="shared" si="13"/>
        <v>2.8963724624999991</v>
      </c>
    </row>
    <row r="29" spans="1:26" hidden="1">
      <c r="A29">
        <v>11</v>
      </c>
      <c r="B29" s="12">
        <v>6</v>
      </c>
      <c r="C29" s="12">
        <v>10</v>
      </c>
      <c r="D29">
        <f t="shared" si="0"/>
        <v>600</v>
      </c>
      <c r="E29">
        <f t="shared" si="1"/>
        <v>360</v>
      </c>
      <c r="F29">
        <f t="shared" si="2"/>
        <v>45.54</v>
      </c>
      <c r="G29">
        <f t="shared" si="3"/>
        <v>0.14666666666666667</v>
      </c>
      <c r="H29">
        <f t="shared" si="20"/>
        <v>166.32</v>
      </c>
      <c r="I29">
        <f t="shared" si="14"/>
        <v>462</v>
      </c>
      <c r="J29">
        <f t="shared" si="15"/>
        <v>308</v>
      </c>
      <c r="K29">
        <f t="shared" si="16"/>
        <v>110.88</v>
      </c>
      <c r="L29">
        <f t="shared" si="17"/>
        <v>11.642400000000002</v>
      </c>
      <c r="M29">
        <f t="shared" si="18"/>
        <v>12.196800000000001</v>
      </c>
      <c r="N29">
        <f t="shared" si="4"/>
        <v>6.9854400000000005</v>
      </c>
      <c r="O29">
        <f t="shared" si="21"/>
        <v>10.044423529411766</v>
      </c>
      <c r="P29">
        <f t="shared" si="5"/>
        <v>4.4902807775377962</v>
      </c>
      <c r="Q29">
        <f t="shared" si="6"/>
        <v>46.2</v>
      </c>
      <c r="R29">
        <f t="shared" si="7"/>
        <v>660</v>
      </c>
      <c r="S29">
        <f t="shared" si="8"/>
        <v>255.2</v>
      </c>
      <c r="T29">
        <f t="shared" si="9"/>
        <v>52.8</v>
      </c>
      <c r="U29">
        <f>I29*E29/'[1]Inverter Analysis'!$L$2</f>
        <v>398.55322270641204</v>
      </c>
      <c r="V29">
        <f t="shared" si="10"/>
        <v>259.74025974025972</v>
      </c>
      <c r="W29">
        <f t="shared" si="11"/>
        <v>313.47962382445144</v>
      </c>
      <c r="X29">
        <f t="shared" si="19"/>
        <v>173.16017316017317</v>
      </c>
      <c r="Y29">
        <f t="shared" si="12"/>
        <v>0.78615579642495659</v>
      </c>
      <c r="Z29">
        <f t="shared" si="13"/>
        <v>2.8963724624999991</v>
      </c>
    </row>
    <row r="30" spans="1:26" hidden="1">
      <c r="A30">
        <v>11</v>
      </c>
      <c r="B30" s="9">
        <v>5</v>
      </c>
      <c r="C30">
        <v>12</v>
      </c>
      <c r="D30">
        <f t="shared" si="0"/>
        <v>500</v>
      </c>
      <c r="E30">
        <f t="shared" si="1"/>
        <v>300</v>
      </c>
      <c r="F30">
        <f t="shared" si="2"/>
        <v>45.54</v>
      </c>
      <c r="G30">
        <f t="shared" si="3"/>
        <v>0.2112</v>
      </c>
      <c r="H30">
        <f t="shared" si="20"/>
        <v>166.32</v>
      </c>
      <c r="I30">
        <f t="shared" si="14"/>
        <v>554.4</v>
      </c>
      <c r="J30">
        <f t="shared" si="15"/>
        <v>369.59999999999997</v>
      </c>
      <c r="K30">
        <f t="shared" si="16"/>
        <v>110.87999999999998</v>
      </c>
      <c r="L30">
        <f t="shared" si="17"/>
        <v>11.6424</v>
      </c>
      <c r="M30">
        <f t="shared" si="18"/>
        <v>12.196800000000001</v>
      </c>
      <c r="N30">
        <f t="shared" si="4"/>
        <v>6.9854399999999996</v>
      </c>
      <c r="O30">
        <f t="shared" si="21"/>
        <v>10.044423529411766</v>
      </c>
      <c r="P30">
        <f t="shared" si="5"/>
        <v>3.7419006479481638</v>
      </c>
      <c r="Q30">
        <f t="shared" si="6"/>
        <v>46.199999999999996</v>
      </c>
      <c r="R30">
        <f t="shared" si="7"/>
        <v>660</v>
      </c>
      <c r="S30">
        <f t="shared" si="8"/>
        <v>306.23999999999995</v>
      </c>
      <c r="T30">
        <f t="shared" si="9"/>
        <v>63.36</v>
      </c>
      <c r="U30">
        <f>I30*E30/'[1]Inverter Analysis'!$L$2</f>
        <v>398.55322270641204</v>
      </c>
      <c r="V30">
        <f t="shared" si="10"/>
        <v>216.45021645021646</v>
      </c>
      <c r="W30">
        <f t="shared" si="11"/>
        <v>261.23301985370955</v>
      </c>
      <c r="X30">
        <f t="shared" si="19"/>
        <v>144.3001443001443</v>
      </c>
      <c r="Y30">
        <f t="shared" si="12"/>
        <v>0.54594152529510898</v>
      </c>
      <c r="Z30">
        <f t="shared" si="13"/>
        <v>4.1707763459999985</v>
      </c>
    </row>
    <row r="31" spans="1:26" hidden="1">
      <c r="A31">
        <v>12</v>
      </c>
      <c r="B31" s="9">
        <v>5</v>
      </c>
      <c r="C31" s="12">
        <v>11</v>
      </c>
      <c r="D31">
        <f t="shared" si="0"/>
        <v>500</v>
      </c>
      <c r="E31">
        <f t="shared" si="1"/>
        <v>300</v>
      </c>
      <c r="F31">
        <f t="shared" si="2"/>
        <v>45.54</v>
      </c>
      <c r="G31">
        <f t="shared" si="3"/>
        <v>0.21120000000000003</v>
      </c>
      <c r="H31">
        <f t="shared" si="20"/>
        <v>166.32</v>
      </c>
      <c r="I31">
        <f t="shared" si="14"/>
        <v>554.4</v>
      </c>
      <c r="J31">
        <f t="shared" si="15"/>
        <v>369.59999999999997</v>
      </c>
      <c r="K31">
        <f t="shared" si="16"/>
        <v>110.87999999999998</v>
      </c>
      <c r="L31">
        <f t="shared" si="17"/>
        <v>11.6424</v>
      </c>
      <c r="M31">
        <f t="shared" si="18"/>
        <v>12.196800000000001</v>
      </c>
      <c r="N31">
        <f t="shared" si="4"/>
        <v>6.9854399999999996</v>
      </c>
      <c r="O31">
        <f t="shared" si="21"/>
        <v>10.044423529411766</v>
      </c>
      <c r="P31">
        <f t="shared" si="5"/>
        <v>4.0820734341252694</v>
      </c>
      <c r="Q31">
        <f t="shared" si="6"/>
        <v>50.4</v>
      </c>
      <c r="R31">
        <f t="shared" si="7"/>
        <v>660</v>
      </c>
      <c r="S31">
        <f t="shared" si="8"/>
        <v>306.23999999999995</v>
      </c>
      <c r="T31">
        <f t="shared" si="9"/>
        <v>63.360000000000007</v>
      </c>
      <c r="U31">
        <f>I31*E31/'[1]Inverter Analysis'!$L$2</f>
        <v>398.55322270641204</v>
      </c>
      <c r="V31">
        <f t="shared" si="10"/>
        <v>216.45021645021646</v>
      </c>
      <c r="W31">
        <f t="shared" si="11"/>
        <v>261.23301985370955</v>
      </c>
      <c r="X31">
        <f t="shared" si="19"/>
        <v>144.3001443001443</v>
      </c>
      <c r="Y31">
        <f t="shared" si="12"/>
        <v>0.54594152529510898</v>
      </c>
      <c r="Z31">
        <f t="shared" si="13"/>
        <v>4.1707763459999985</v>
      </c>
    </row>
    <row r="32" spans="1:26" hidden="1">
      <c r="A32">
        <v>13</v>
      </c>
      <c r="B32" s="9">
        <v>5</v>
      </c>
      <c r="C32" s="12">
        <v>10</v>
      </c>
      <c r="D32">
        <f t="shared" si="0"/>
        <v>500</v>
      </c>
      <c r="E32">
        <f t="shared" si="1"/>
        <v>300</v>
      </c>
      <c r="F32">
        <f t="shared" si="2"/>
        <v>44.85</v>
      </c>
      <c r="G32">
        <f t="shared" si="3"/>
        <v>0.20800000000000002</v>
      </c>
      <c r="H32">
        <f t="shared" si="20"/>
        <v>163.80000000000001</v>
      </c>
      <c r="I32">
        <f t="shared" si="14"/>
        <v>546</v>
      </c>
      <c r="J32">
        <f t="shared" si="15"/>
        <v>364</v>
      </c>
      <c r="K32">
        <f t="shared" si="16"/>
        <v>109.2</v>
      </c>
      <c r="L32">
        <f t="shared" si="17"/>
        <v>11.466000000000001</v>
      </c>
      <c r="M32">
        <f t="shared" si="18"/>
        <v>12.012</v>
      </c>
      <c r="N32">
        <f t="shared" si="4"/>
        <v>6.8795999999999999</v>
      </c>
      <c r="O32">
        <f t="shared" si="21"/>
        <v>9.8922352941176488</v>
      </c>
      <c r="P32">
        <f t="shared" si="5"/>
        <v>4.4222462203023758</v>
      </c>
      <c r="Q32">
        <f t="shared" si="6"/>
        <v>54.6</v>
      </c>
      <c r="R32">
        <f t="shared" si="7"/>
        <v>650</v>
      </c>
      <c r="S32">
        <f t="shared" si="8"/>
        <v>301.60000000000002</v>
      </c>
      <c r="T32">
        <f t="shared" si="9"/>
        <v>62.400000000000006</v>
      </c>
      <c r="U32">
        <f>I32*E32/'[1]Inverter Analysis'!$L$2</f>
        <v>392.51453751389062</v>
      </c>
      <c r="V32">
        <f t="shared" si="10"/>
        <v>219.78021978021977</v>
      </c>
      <c r="W32">
        <f t="shared" si="11"/>
        <v>265.25198938992042</v>
      </c>
      <c r="X32">
        <f t="shared" si="19"/>
        <v>146.52014652014651</v>
      </c>
      <c r="Y32">
        <f t="shared" si="12"/>
        <v>0.56286894300248369</v>
      </c>
      <c r="Z32">
        <f t="shared" si="13"/>
        <v>3.9840535312499998</v>
      </c>
    </row>
    <row r="33" spans="1:26" hidden="1">
      <c r="A33">
        <v>12</v>
      </c>
      <c r="B33" s="12">
        <v>6</v>
      </c>
      <c r="C33" s="12">
        <v>9</v>
      </c>
      <c r="D33">
        <f t="shared" si="0"/>
        <v>600</v>
      </c>
      <c r="E33">
        <f t="shared" si="1"/>
        <v>360</v>
      </c>
      <c r="F33">
        <f t="shared" si="2"/>
        <v>44.712000000000003</v>
      </c>
      <c r="G33">
        <f t="shared" si="3"/>
        <v>0.14400000000000002</v>
      </c>
      <c r="H33">
        <f t="shared" si="20"/>
        <v>163.29599999999999</v>
      </c>
      <c r="I33">
        <f t="shared" si="14"/>
        <v>453.6</v>
      </c>
      <c r="J33">
        <f t="shared" si="15"/>
        <v>302.39999999999998</v>
      </c>
      <c r="K33">
        <f t="shared" si="16"/>
        <v>108.86399999999999</v>
      </c>
      <c r="L33">
        <f t="shared" si="17"/>
        <v>11.430720000000001</v>
      </c>
      <c r="M33">
        <f t="shared" si="18"/>
        <v>11.975040000000003</v>
      </c>
      <c r="N33">
        <f t="shared" si="4"/>
        <v>6.8584320000000005</v>
      </c>
      <c r="O33">
        <f t="shared" si="21"/>
        <v>9.8617976470588271</v>
      </c>
      <c r="P33">
        <f t="shared" si="5"/>
        <v>4.8984881209503239</v>
      </c>
      <c r="Q33">
        <f t="shared" si="6"/>
        <v>50.400000000000006</v>
      </c>
      <c r="R33">
        <f t="shared" si="7"/>
        <v>648</v>
      </c>
      <c r="S33">
        <f t="shared" si="8"/>
        <v>250.55999999999997</v>
      </c>
      <c r="T33">
        <f t="shared" si="9"/>
        <v>51.84</v>
      </c>
      <c r="U33">
        <f>I33*E33/'[1]Inverter Analysis'!$L$2</f>
        <v>391.30680047538635</v>
      </c>
      <c r="V33">
        <f t="shared" si="10"/>
        <v>264.55026455026456</v>
      </c>
      <c r="W33">
        <f t="shared" si="11"/>
        <v>319.28480204342276</v>
      </c>
      <c r="X33">
        <f t="shared" si="19"/>
        <v>176.3668430335097</v>
      </c>
      <c r="Y33">
        <f t="shared" si="12"/>
        <v>0.81554227852726124</v>
      </c>
      <c r="Z33">
        <f t="shared" si="13"/>
        <v>2.7412435367999994</v>
      </c>
    </row>
    <row r="34" spans="1:26" hidden="1">
      <c r="A34" s="8">
        <v>16</v>
      </c>
      <c r="B34" s="9">
        <v>5</v>
      </c>
      <c r="C34" s="12">
        <v>8</v>
      </c>
      <c r="D34">
        <f t="shared" si="0"/>
        <v>500</v>
      </c>
      <c r="E34">
        <f t="shared" si="1"/>
        <v>300</v>
      </c>
      <c r="F34">
        <f t="shared" si="2"/>
        <v>44.16</v>
      </c>
      <c r="G34">
        <f t="shared" si="3"/>
        <v>0.20480000000000001</v>
      </c>
      <c r="H34">
        <f t="shared" si="20"/>
        <v>161.28</v>
      </c>
      <c r="I34">
        <f t="shared" si="14"/>
        <v>537.6</v>
      </c>
      <c r="J34">
        <f t="shared" si="15"/>
        <v>358.4</v>
      </c>
      <c r="K34">
        <f t="shared" si="16"/>
        <v>107.52</v>
      </c>
      <c r="L34">
        <f t="shared" si="17"/>
        <v>11.2896</v>
      </c>
      <c r="M34">
        <f t="shared" si="18"/>
        <v>11.827200000000003</v>
      </c>
      <c r="N34">
        <f t="shared" si="4"/>
        <v>6.7737600000000011</v>
      </c>
      <c r="O34">
        <f t="shared" si="21"/>
        <v>9.7400470588235333</v>
      </c>
      <c r="P34">
        <f t="shared" si="5"/>
        <v>5.4427645788336934</v>
      </c>
      <c r="Q34">
        <f t="shared" si="6"/>
        <v>67.2</v>
      </c>
      <c r="R34">
        <f t="shared" si="7"/>
        <v>640</v>
      </c>
      <c r="S34">
        <f t="shared" si="8"/>
        <v>296.95999999999998</v>
      </c>
      <c r="T34">
        <f t="shared" si="9"/>
        <v>61.440000000000005</v>
      </c>
      <c r="U34">
        <f>I34*E34/'[1]Inverter Analysis'!$L$2</f>
        <v>386.47585232136925</v>
      </c>
      <c r="V34">
        <f t="shared" si="10"/>
        <v>223.21428571428572</v>
      </c>
      <c r="W34">
        <f t="shared" si="11"/>
        <v>269.39655172413796</v>
      </c>
      <c r="X34">
        <f t="shared" si="19"/>
        <v>148.8095238095238</v>
      </c>
      <c r="Y34">
        <f t="shared" si="12"/>
        <v>0.58059601664684912</v>
      </c>
      <c r="Z34">
        <f t="shared" si="13"/>
        <v>3.8029885439999989</v>
      </c>
    </row>
    <row r="35" spans="1:26" hidden="1">
      <c r="A35">
        <v>14</v>
      </c>
      <c r="B35" s="9">
        <v>5</v>
      </c>
      <c r="C35" s="12">
        <v>9</v>
      </c>
      <c r="D35">
        <f t="shared" si="0"/>
        <v>500</v>
      </c>
      <c r="E35">
        <f t="shared" si="1"/>
        <v>300</v>
      </c>
      <c r="F35">
        <f t="shared" si="2"/>
        <v>43.47</v>
      </c>
      <c r="G35">
        <f t="shared" si="3"/>
        <v>0.2016</v>
      </c>
      <c r="H35">
        <f t="shared" si="20"/>
        <v>158.76</v>
      </c>
      <c r="I35">
        <f t="shared" si="14"/>
        <v>529.20000000000005</v>
      </c>
      <c r="J35">
        <f t="shared" si="15"/>
        <v>352.79999999999995</v>
      </c>
      <c r="K35">
        <f t="shared" si="16"/>
        <v>105.83999999999999</v>
      </c>
      <c r="L35">
        <f t="shared" si="17"/>
        <v>11.113200000000001</v>
      </c>
      <c r="M35">
        <f t="shared" si="18"/>
        <v>11.642400000000002</v>
      </c>
      <c r="N35">
        <f t="shared" si="4"/>
        <v>6.6679200000000005</v>
      </c>
      <c r="O35">
        <f t="shared" si="21"/>
        <v>9.5878588235294142</v>
      </c>
      <c r="P35">
        <f t="shared" si="5"/>
        <v>4.7624190064794822</v>
      </c>
      <c r="Q35">
        <f t="shared" si="6"/>
        <v>58.800000000000004</v>
      </c>
      <c r="R35">
        <f t="shared" si="7"/>
        <v>630</v>
      </c>
      <c r="S35">
        <f t="shared" si="8"/>
        <v>292.31999999999994</v>
      </c>
      <c r="T35">
        <f t="shared" si="9"/>
        <v>60.480000000000004</v>
      </c>
      <c r="U35">
        <f>I35*E35/'[1]Inverter Analysis'!$L$2</f>
        <v>380.43716712884788</v>
      </c>
      <c r="V35">
        <f t="shared" si="10"/>
        <v>226.7573696145125</v>
      </c>
      <c r="W35">
        <f t="shared" si="11"/>
        <v>273.672687465791</v>
      </c>
      <c r="X35">
        <f t="shared" si="19"/>
        <v>151.17157974300829</v>
      </c>
      <c r="Y35">
        <f t="shared" si="12"/>
        <v>0.59917391891798821</v>
      </c>
      <c r="Z35">
        <f t="shared" si="13"/>
        <v>3.6274943407499971</v>
      </c>
    </row>
    <row r="36" spans="1:26" hidden="1">
      <c r="A36" s="8">
        <v>15</v>
      </c>
      <c r="B36" s="12">
        <v>6</v>
      </c>
      <c r="C36" s="12">
        <v>7</v>
      </c>
      <c r="D36">
        <f t="shared" si="0"/>
        <v>600</v>
      </c>
      <c r="E36">
        <f t="shared" si="1"/>
        <v>360</v>
      </c>
      <c r="F36">
        <f t="shared" si="2"/>
        <v>43.47</v>
      </c>
      <c r="G36">
        <f t="shared" si="3"/>
        <v>0.14000000000000001</v>
      </c>
      <c r="H36">
        <f t="shared" si="20"/>
        <v>158.76</v>
      </c>
      <c r="I36">
        <f t="shared" si="14"/>
        <v>441</v>
      </c>
      <c r="J36">
        <f t="shared" si="15"/>
        <v>294</v>
      </c>
      <c r="K36">
        <f t="shared" si="16"/>
        <v>105.84</v>
      </c>
      <c r="L36">
        <f t="shared" si="17"/>
        <v>11.113200000000001</v>
      </c>
      <c r="M36">
        <f t="shared" si="18"/>
        <v>11.642400000000002</v>
      </c>
      <c r="N36">
        <f t="shared" si="4"/>
        <v>6.6679200000000005</v>
      </c>
      <c r="O36">
        <f t="shared" si="21"/>
        <v>9.5878588235294142</v>
      </c>
      <c r="P36">
        <f t="shared" si="5"/>
        <v>6.1231101511879045</v>
      </c>
      <c r="Q36">
        <f t="shared" si="6"/>
        <v>63</v>
      </c>
      <c r="R36">
        <f t="shared" si="7"/>
        <v>630</v>
      </c>
      <c r="S36">
        <f t="shared" si="8"/>
        <v>243.6</v>
      </c>
      <c r="T36">
        <f t="shared" si="9"/>
        <v>50.400000000000006</v>
      </c>
      <c r="U36">
        <f>I36*E36/'[1]Inverter Analysis'!$L$2</f>
        <v>380.43716712884788</v>
      </c>
      <c r="V36">
        <f t="shared" si="10"/>
        <v>272.10884353741494</v>
      </c>
      <c r="W36">
        <f t="shared" si="11"/>
        <v>328.40722495894909</v>
      </c>
      <c r="X36">
        <f t="shared" si="19"/>
        <v>181.40589569160997</v>
      </c>
      <c r="Y36">
        <f t="shared" si="12"/>
        <v>0.86281044324190226</v>
      </c>
      <c r="Z36">
        <f t="shared" si="13"/>
        <v>2.5190932921875002</v>
      </c>
    </row>
    <row r="37" spans="1:26" hidden="1">
      <c r="A37">
        <v>13</v>
      </c>
      <c r="B37" s="12">
        <v>6</v>
      </c>
      <c r="C37" s="12">
        <v>8</v>
      </c>
      <c r="D37">
        <f t="shared" si="0"/>
        <v>600</v>
      </c>
      <c r="E37">
        <f t="shared" si="1"/>
        <v>360</v>
      </c>
      <c r="F37">
        <f t="shared" si="2"/>
        <v>43.055999999999997</v>
      </c>
      <c r="G37">
        <f t="shared" si="3"/>
        <v>0.13866666666666666</v>
      </c>
      <c r="H37">
        <f t="shared" si="20"/>
        <v>157.24799999999999</v>
      </c>
      <c r="I37">
        <f t="shared" si="14"/>
        <v>436.8</v>
      </c>
      <c r="J37">
        <f t="shared" si="15"/>
        <v>291.2</v>
      </c>
      <c r="K37">
        <f t="shared" si="16"/>
        <v>104.83199999999999</v>
      </c>
      <c r="L37">
        <f t="shared" si="17"/>
        <v>11.00736</v>
      </c>
      <c r="M37">
        <f t="shared" si="18"/>
        <v>11.531520000000002</v>
      </c>
      <c r="N37">
        <f t="shared" si="4"/>
        <v>6.6044160000000014</v>
      </c>
      <c r="O37">
        <f t="shared" si="21"/>
        <v>9.4965458823529438</v>
      </c>
      <c r="P37">
        <f t="shared" si="5"/>
        <v>5.3066954643628508</v>
      </c>
      <c r="Q37">
        <f t="shared" si="6"/>
        <v>54.6</v>
      </c>
      <c r="R37">
        <f t="shared" si="7"/>
        <v>624</v>
      </c>
      <c r="S37">
        <f t="shared" si="8"/>
        <v>241.28</v>
      </c>
      <c r="T37">
        <f t="shared" si="9"/>
        <v>49.919999999999995</v>
      </c>
      <c r="U37">
        <f>I37*E37/'[1]Inverter Analysis'!$L$2</f>
        <v>376.81395601333503</v>
      </c>
      <c r="V37">
        <f t="shared" si="10"/>
        <v>274.72527472527474</v>
      </c>
      <c r="W37">
        <f t="shared" si="11"/>
        <v>331.56498673740055</v>
      </c>
      <c r="X37">
        <f t="shared" si="19"/>
        <v>183.15018315018315</v>
      </c>
      <c r="Y37">
        <f t="shared" si="12"/>
        <v>0.87948272344138079</v>
      </c>
      <c r="Z37">
        <f t="shared" si="13"/>
        <v>2.4478024895999995</v>
      </c>
    </row>
    <row r="38" spans="1:26" hidden="1">
      <c r="A38">
        <v>11</v>
      </c>
      <c r="B38" s="9">
        <v>5</v>
      </c>
      <c r="C38" s="12">
        <v>11</v>
      </c>
      <c r="D38">
        <f t="shared" si="0"/>
        <v>500</v>
      </c>
      <c r="E38">
        <f t="shared" si="1"/>
        <v>300</v>
      </c>
      <c r="F38">
        <f t="shared" si="2"/>
        <v>41.744999999999997</v>
      </c>
      <c r="G38">
        <f t="shared" si="3"/>
        <v>0.19360000000000002</v>
      </c>
      <c r="H38">
        <f t="shared" si="20"/>
        <v>152.46</v>
      </c>
      <c r="I38">
        <f t="shared" si="14"/>
        <v>508.20000000000005</v>
      </c>
      <c r="J38">
        <f t="shared" si="15"/>
        <v>338.79999999999995</v>
      </c>
      <c r="K38">
        <f t="shared" si="16"/>
        <v>101.63999999999999</v>
      </c>
      <c r="L38">
        <f t="shared" si="17"/>
        <v>10.6722</v>
      </c>
      <c r="M38">
        <f t="shared" si="18"/>
        <v>11.180400000000002</v>
      </c>
      <c r="N38">
        <f t="shared" si="4"/>
        <v>6.4033200000000017</v>
      </c>
      <c r="O38">
        <f t="shared" si="21"/>
        <v>9.2073882352941201</v>
      </c>
      <c r="P38">
        <f t="shared" si="5"/>
        <v>3.7419006479481642</v>
      </c>
      <c r="Q38">
        <f t="shared" si="6"/>
        <v>46.2</v>
      </c>
      <c r="R38">
        <f t="shared" si="7"/>
        <v>605</v>
      </c>
      <c r="S38">
        <f t="shared" si="8"/>
        <v>280.71999999999997</v>
      </c>
      <c r="T38">
        <f t="shared" si="9"/>
        <v>58.080000000000005</v>
      </c>
      <c r="U38">
        <f>I38*E38/'[1]Inverter Analysis'!$L$2</f>
        <v>365.34045414754439</v>
      </c>
      <c r="V38">
        <f t="shared" si="10"/>
        <v>236.12750885478161</v>
      </c>
      <c r="W38">
        <f t="shared" si="11"/>
        <v>284.98147620404677</v>
      </c>
      <c r="X38">
        <f t="shared" si="19"/>
        <v>157.41833923652104</v>
      </c>
      <c r="Y38">
        <f t="shared" si="12"/>
        <v>0.64971553423550144</v>
      </c>
      <c r="Z38">
        <f t="shared" si="13"/>
        <v>3.212559789656249</v>
      </c>
    </row>
    <row r="39" spans="1:26" hidden="1">
      <c r="A39">
        <v>10</v>
      </c>
      <c r="B39" s="9">
        <v>5</v>
      </c>
      <c r="C39">
        <v>12</v>
      </c>
      <c r="D39">
        <f t="shared" si="0"/>
        <v>500</v>
      </c>
      <c r="E39">
        <f t="shared" si="1"/>
        <v>300</v>
      </c>
      <c r="F39">
        <f t="shared" si="2"/>
        <v>41.4</v>
      </c>
      <c r="G39">
        <f t="shared" si="3"/>
        <v>0.192</v>
      </c>
      <c r="H39">
        <f t="shared" si="20"/>
        <v>151.19999999999999</v>
      </c>
      <c r="I39">
        <f t="shared" si="14"/>
        <v>504</v>
      </c>
      <c r="J39">
        <f t="shared" si="15"/>
        <v>336</v>
      </c>
      <c r="K39">
        <f t="shared" si="16"/>
        <v>100.8</v>
      </c>
      <c r="L39">
        <f t="shared" si="17"/>
        <v>10.584</v>
      </c>
      <c r="M39">
        <f t="shared" si="18"/>
        <v>11.088000000000001</v>
      </c>
      <c r="N39">
        <f t="shared" si="4"/>
        <v>6.3503999999999996</v>
      </c>
      <c r="O39">
        <f t="shared" si="21"/>
        <v>9.1312941176470606</v>
      </c>
      <c r="P39">
        <f t="shared" si="5"/>
        <v>3.4017278617710578</v>
      </c>
      <c r="Q39">
        <f t="shared" si="6"/>
        <v>42</v>
      </c>
      <c r="R39">
        <f t="shared" si="7"/>
        <v>600</v>
      </c>
      <c r="S39">
        <f t="shared" si="8"/>
        <v>278.39999999999998</v>
      </c>
      <c r="T39">
        <f t="shared" si="9"/>
        <v>57.6</v>
      </c>
      <c r="U39">
        <f>I39*E39/'[1]Inverter Analysis'!$L$2</f>
        <v>362.32111155128365</v>
      </c>
      <c r="V39">
        <f t="shared" si="10"/>
        <v>238.0952380952381</v>
      </c>
      <c r="W39">
        <f t="shared" si="11"/>
        <v>287.35632183908046</v>
      </c>
      <c r="X39">
        <f t="shared" si="19"/>
        <v>158.73015873015873</v>
      </c>
      <c r="Y39">
        <f t="shared" si="12"/>
        <v>0.66058924560708154</v>
      </c>
      <c r="Z39">
        <f t="shared" si="13"/>
        <v>3.1335660000000001</v>
      </c>
    </row>
    <row r="40" spans="1:26" hidden="1">
      <c r="A40">
        <v>10</v>
      </c>
      <c r="B40" s="12">
        <v>6</v>
      </c>
      <c r="C40" s="12">
        <v>10</v>
      </c>
      <c r="D40">
        <f t="shared" si="0"/>
        <v>600</v>
      </c>
      <c r="E40">
        <f t="shared" si="1"/>
        <v>360</v>
      </c>
      <c r="F40">
        <f t="shared" si="2"/>
        <v>41.4</v>
      </c>
      <c r="G40">
        <f t="shared" si="3"/>
        <v>0.13333333333333333</v>
      </c>
      <c r="H40">
        <f t="shared" si="20"/>
        <v>151.19999999999999</v>
      </c>
      <c r="I40">
        <f t="shared" si="14"/>
        <v>420</v>
      </c>
      <c r="J40">
        <f t="shared" si="15"/>
        <v>280</v>
      </c>
      <c r="K40">
        <f t="shared" si="16"/>
        <v>100.8</v>
      </c>
      <c r="L40">
        <f t="shared" si="17"/>
        <v>10.584</v>
      </c>
      <c r="M40">
        <f t="shared" si="18"/>
        <v>11.088000000000001</v>
      </c>
      <c r="N40">
        <f t="shared" si="4"/>
        <v>6.3504000000000005</v>
      </c>
      <c r="O40">
        <f t="shared" si="21"/>
        <v>9.1312941176470606</v>
      </c>
      <c r="P40">
        <f t="shared" si="5"/>
        <v>4.0820734341252694</v>
      </c>
      <c r="Q40">
        <f t="shared" si="6"/>
        <v>42</v>
      </c>
      <c r="R40">
        <f t="shared" si="7"/>
        <v>600</v>
      </c>
      <c r="S40">
        <f t="shared" si="8"/>
        <v>232</v>
      </c>
      <c r="T40">
        <f t="shared" si="9"/>
        <v>48</v>
      </c>
      <c r="U40">
        <f>I40*E40/'[1]Inverter Analysis'!$L$2</f>
        <v>362.32111155128365</v>
      </c>
      <c r="V40">
        <f t="shared" si="10"/>
        <v>285.71428571428572</v>
      </c>
      <c r="W40">
        <f t="shared" si="11"/>
        <v>344.82758620689657</v>
      </c>
      <c r="X40">
        <f t="shared" si="19"/>
        <v>190.47619047619048</v>
      </c>
      <c r="Y40">
        <f t="shared" si="12"/>
        <v>0.95124851367419749</v>
      </c>
      <c r="Z40">
        <f t="shared" si="13"/>
        <v>2.1760874999999995</v>
      </c>
    </row>
    <row r="41" spans="1:26" hidden="1">
      <c r="A41">
        <v>12</v>
      </c>
      <c r="B41" s="9">
        <v>5</v>
      </c>
      <c r="C41" s="12">
        <v>10</v>
      </c>
      <c r="D41">
        <f t="shared" si="0"/>
        <v>500</v>
      </c>
      <c r="E41">
        <f t="shared" si="1"/>
        <v>300</v>
      </c>
      <c r="F41">
        <f t="shared" si="2"/>
        <v>41.4</v>
      </c>
      <c r="G41">
        <f t="shared" si="3"/>
        <v>0.192</v>
      </c>
      <c r="H41">
        <f t="shared" si="20"/>
        <v>151.19999999999999</v>
      </c>
      <c r="I41">
        <f t="shared" si="14"/>
        <v>504</v>
      </c>
      <c r="J41">
        <f t="shared" si="15"/>
        <v>336</v>
      </c>
      <c r="K41">
        <f t="shared" si="16"/>
        <v>100.8</v>
      </c>
      <c r="L41">
        <f t="shared" si="17"/>
        <v>10.584</v>
      </c>
      <c r="M41">
        <f t="shared" si="18"/>
        <v>11.088000000000001</v>
      </c>
      <c r="N41">
        <f t="shared" si="4"/>
        <v>6.3503999999999996</v>
      </c>
      <c r="O41">
        <f t="shared" si="21"/>
        <v>9.1312941176470606</v>
      </c>
      <c r="P41">
        <f t="shared" si="5"/>
        <v>4.0820734341252694</v>
      </c>
      <c r="Q41">
        <f t="shared" si="6"/>
        <v>50.4</v>
      </c>
      <c r="R41">
        <f t="shared" si="7"/>
        <v>600</v>
      </c>
      <c r="S41">
        <f t="shared" si="8"/>
        <v>278.39999999999998</v>
      </c>
      <c r="T41">
        <f t="shared" si="9"/>
        <v>57.6</v>
      </c>
      <c r="U41">
        <f>I41*E41/'[1]Inverter Analysis'!$L$2</f>
        <v>362.32111155128365</v>
      </c>
      <c r="V41">
        <f t="shared" si="10"/>
        <v>238.0952380952381</v>
      </c>
      <c r="W41">
        <f t="shared" si="11"/>
        <v>287.35632183908046</v>
      </c>
      <c r="X41">
        <f t="shared" si="19"/>
        <v>158.73015873015873</v>
      </c>
      <c r="Y41">
        <f t="shared" si="12"/>
        <v>0.66058924560708154</v>
      </c>
      <c r="Z41">
        <f t="shared" si="13"/>
        <v>3.1335660000000001</v>
      </c>
    </row>
    <row r="42" spans="1:26" hidden="1">
      <c r="A42" s="8">
        <v>15</v>
      </c>
      <c r="B42" s="9">
        <v>5</v>
      </c>
      <c r="C42" s="12">
        <v>8</v>
      </c>
      <c r="D42">
        <f t="shared" si="0"/>
        <v>500</v>
      </c>
      <c r="E42">
        <f t="shared" si="1"/>
        <v>300</v>
      </c>
      <c r="F42">
        <f t="shared" si="2"/>
        <v>41.4</v>
      </c>
      <c r="G42">
        <f t="shared" si="3"/>
        <v>0.192</v>
      </c>
      <c r="H42">
        <f t="shared" si="20"/>
        <v>151.19999999999999</v>
      </c>
      <c r="I42">
        <f t="shared" si="14"/>
        <v>504</v>
      </c>
      <c r="J42">
        <f t="shared" si="15"/>
        <v>336</v>
      </c>
      <c r="K42">
        <f t="shared" si="16"/>
        <v>100.8</v>
      </c>
      <c r="L42">
        <f t="shared" si="17"/>
        <v>10.584</v>
      </c>
      <c r="M42">
        <f t="shared" si="18"/>
        <v>11.088000000000001</v>
      </c>
      <c r="N42">
        <f t="shared" si="4"/>
        <v>6.3503999999999996</v>
      </c>
      <c r="O42">
        <f t="shared" si="21"/>
        <v>9.1312941176470606</v>
      </c>
      <c r="P42">
        <f t="shared" si="5"/>
        <v>5.1025917926565869</v>
      </c>
      <c r="Q42">
        <f t="shared" si="6"/>
        <v>63</v>
      </c>
      <c r="R42">
        <f t="shared" si="7"/>
        <v>600</v>
      </c>
      <c r="S42">
        <f t="shared" si="8"/>
        <v>278.39999999999998</v>
      </c>
      <c r="T42">
        <f t="shared" si="9"/>
        <v>57.6</v>
      </c>
      <c r="U42">
        <f>I42*E42/'[1]Inverter Analysis'!$L$2</f>
        <v>362.32111155128365</v>
      </c>
      <c r="V42">
        <f t="shared" si="10"/>
        <v>238.0952380952381</v>
      </c>
      <c r="W42">
        <f t="shared" si="11"/>
        <v>287.35632183908046</v>
      </c>
      <c r="X42">
        <f t="shared" si="19"/>
        <v>158.73015873015873</v>
      </c>
      <c r="Y42">
        <f t="shared" si="12"/>
        <v>0.66058924560708154</v>
      </c>
      <c r="Z42">
        <f t="shared" si="13"/>
        <v>3.1335660000000001</v>
      </c>
    </row>
    <row r="43" spans="1:26" hidden="1">
      <c r="A43">
        <v>11</v>
      </c>
      <c r="B43" s="12">
        <v>6</v>
      </c>
      <c r="C43" s="12">
        <v>9</v>
      </c>
      <c r="D43">
        <f t="shared" si="0"/>
        <v>600</v>
      </c>
      <c r="E43">
        <f t="shared" si="1"/>
        <v>360</v>
      </c>
      <c r="F43">
        <f t="shared" si="2"/>
        <v>40.985999999999997</v>
      </c>
      <c r="G43">
        <f t="shared" si="3"/>
        <v>0.13200000000000001</v>
      </c>
      <c r="H43">
        <f t="shared" si="20"/>
        <v>149.68799999999999</v>
      </c>
      <c r="I43">
        <f t="shared" si="14"/>
        <v>415.8</v>
      </c>
      <c r="J43">
        <f t="shared" si="15"/>
        <v>277.2</v>
      </c>
      <c r="K43">
        <f t="shared" si="16"/>
        <v>99.792000000000002</v>
      </c>
      <c r="L43">
        <f t="shared" si="17"/>
        <v>10.478159999999999</v>
      </c>
      <c r="M43">
        <f t="shared" si="18"/>
        <v>10.977120000000001</v>
      </c>
      <c r="N43">
        <f t="shared" si="4"/>
        <v>6.2868960000000005</v>
      </c>
      <c r="O43">
        <f t="shared" si="21"/>
        <v>9.0399811764705902</v>
      </c>
      <c r="P43">
        <f t="shared" si="5"/>
        <v>4.4902807775377971</v>
      </c>
      <c r="Q43">
        <f t="shared" si="6"/>
        <v>46.2</v>
      </c>
      <c r="R43">
        <f t="shared" si="7"/>
        <v>594</v>
      </c>
      <c r="S43">
        <f t="shared" si="8"/>
        <v>229.67999999999998</v>
      </c>
      <c r="T43">
        <f t="shared" si="9"/>
        <v>47.52</v>
      </c>
      <c r="U43">
        <f>I43*E43/'[1]Inverter Analysis'!$L$2</f>
        <v>358.69790043577086</v>
      </c>
      <c r="V43">
        <f t="shared" si="10"/>
        <v>288.60028860028859</v>
      </c>
      <c r="W43">
        <f t="shared" si="11"/>
        <v>348.31069313827936</v>
      </c>
      <c r="X43">
        <f t="shared" si="19"/>
        <v>192.4001924001924</v>
      </c>
      <c r="Y43">
        <f t="shared" si="12"/>
        <v>0.97056271163574892</v>
      </c>
      <c r="Z43">
        <f t="shared" si="13"/>
        <v>2.1114555251624996</v>
      </c>
    </row>
    <row r="44" spans="1:26">
      <c r="A44">
        <v>14</v>
      </c>
      <c r="B44" s="12">
        <v>6</v>
      </c>
      <c r="C44" s="12">
        <v>7</v>
      </c>
      <c r="D44">
        <f t="shared" si="0"/>
        <v>600</v>
      </c>
      <c r="E44">
        <f t="shared" si="1"/>
        <v>360</v>
      </c>
      <c r="F44">
        <f t="shared" si="2"/>
        <v>40.572000000000003</v>
      </c>
      <c r="G44">
        <f t="shared" si="3"/>
        <v>0.13066666666666665</v>
      </c>
      <c r="H44">
        <f t="shared" si="20"/>
        <v>148.17599999999999</v>
      </c>
      <c r="I44">
        <f t="shared" si="14"/>
        <v>411.6</v>
      </c>
      <c r="J44">
        <f t="shared" si="15"/>
        <v>274.39999999999998</v>
      </c>
      <c r="K44">
        <f t="shared" si="16"/>
        <v>98.783999999999992</v>
      </c>
      <c r="L44">
        <f t="shared" si="17"/>
        <v>10.372320000000002</v>
      </c>
      <c r="M44">
        <f t="shared" si="18"/>
        <v>10.866240000000001</v>
      </c>
      <c r="N44">
        <f t="shared" si="4"/>
        <v>6.2233919999999996</v>
      </c>
      <c r="O44">
        <f>M44*(($L$3-$K$3)/($L$3-$M$3))</f>
        <v>8.9486682352941198</v>
      </c>
      <c r="P44">
        <f t="shared" si="5"/>
        <v>5.7149028077753785</v>
      </c>
      <c r="Q44">
        <f t="shared" si="6"/>
        <v>58.800000000000004</v>
      </c>
      <c r="R44">
        <f t="shared" si="7"/>
        <v>588</v>
      </c>
      <c r="S44">
        <f t="shared" si="8"/>
        <v>227.35999999999999</v>
      </c>
      <c r="T44">
        <f t="shared" si="9"/>
        <v>47.039999999999992</v>
      </c>
      <c r="U44">
        <f>I44*E44/'[1]Inverter Analysis'!$L$2</f>
        <v>355.07468932025802</v>
      </c>
      <c r="V44">
        <f t="shared" si="10"/>
        <v>291.54518950437318</v>
      </c>
      <c r="W44">
        <f t="shared" si="11"/>
        <v>351.86488388458832</v>
      </c>
      <c r="X44">
        <f t="shared" si="19"/>
        <v>194.36345966958211</v>
      </c>
      <c r="Y44">
        <f t="shared" si="12"/>
        <v>0.99047117208891855</v>
      </c>
      <c r="Z44">
        <f t="shared" si="13"/>
        <v>2.0481161462999999</v>
      </c>
    </row>
    <row r="45" spans="1:26" hidden="1">
      <c r="A45">
        <v>13</v>
      </c>
      <c r="B45" s="9">
        <v>5</v>
      </c>
      <c r="C45" s="12">
        <v>9</v>
      </c>
      <c r="D45">
        <f t="shared" si="0"/>
        <v>500</v>
      </c>
      <c r="E45">
        <f t="shared" si="1"/>
        <v>300</v>
      </c>
      <c r="F45">
        <f t="shared" si="2"/>
        <v>40.365000000000002</v>
      </c>
      <c r="G45">
        <f t="shared" si="3"/>
        <v>0.18720000000000003</v>
      </c>
      <c r="H45">
        <f t="shared" si="20"/>
        <v>147.41999999999999</v>
      </c>
      <c r="I45">
        <f t="shared" si="14"/>
        <v>491.40000000000003</v>
      </c>
      <c r="J45">
        <f t="shared" si="15"/>
        <v>327.59999999999997</v>
      </c>
      <c r="K45">
        <f t="shared" si="16"/>
        <v>98.279999999999987</v>
      </c>
      <c r="L45">
        <f t="shared" si="17"/>
        <v>10.319400000000002</v>
      </c>
      <c r="M45">
        <f t="shared" si="18"/>
        <v>10.8108</v>
      </c>
      <c r="N45">
        <f t="shared" si="4"/>
        <v>6.1916400000000014</v>
      </c>
      <c r="O45">
        <f t="shared" si="21"/>
        <v>8.9030117647058837</v>
      </c>
      <c r="P45">
        <f t="shared" si="5"/>
        <v>4.4222462203023758</v>
      </c>
      <c r="Q45">
        <f t="shared" si="6"/>
        <v>54.6</v>
      </c>
      <c r="R45">
        <f t="shared" si="7"/>
        <v>585</v>
      </c>
      <c r="S45">
        <f t="shared" si="8"/>
        <v>271.43999999999994</v>
      </c>
      <c r="T45">
        <f t="shared" si="9"/>
        <v>56.160000000000011</v>
      </c>
      <c r="U45">
        <f>I45*E45/'[1]Inverter Analysis'!$L$2</f>
        <v>353.26308376250159</v>
      </c>
      <c r="V45">
        <f t="shared" si="10"/>
        <v>244.20024420024421</v>
      </c>
      <c r="W45">
        <f t="shared" si="11"/>
        <v>294.72443265546718</v>
      </c>
      <c r="X45">
        <f t="shared" si="19"/>
        <v>162.80016280016278</v>
      </c>
      <c r="Y45">
        <f t="shared" si="12"/>
        <v>0.69489992963269609</v>
      </c>
      <c r="Z45">
        <f t="shared" si="13"/>
        <v>2.9043750242812494</v>
      </c>
    </row>
    <row r="46" spans="1:26">
      <c r="A46">
        <v>12</v>
      </c>
      <c r="B46" s="12">
        <v>6</v>
      </c>
      <c r="C46" s="12">
        <v>8</v>
      </c>
      <c r="D46">
        <f t="shared" si="0"/>
        <v>600</v>
      </c>
      <c r="E46">
        <f t="shared" si="1"/>
        <v>360</v>
      </c>
      <c r="F46">
        <f t="shared" si="2"/>
        <v>39.744</v>
      </c>
      <c r="G46">
        <f t="shared" si="3"/>
        <v>0.128</v>
      </c>
      <c r="H46">
        <f t="shared" si="20"/>
        <v>145.15200000000002</v>
      </c>
      <c r="I46">
        <f t="shared" si="14"/>
        <v>403.20000000000005</v>
      </c>
      <c r="J46">
        <f t="shared" si="15"/>
        <v>268.79999999999995</v>
      </c>
      <c r="K46">
        <f t="shared" si="16"/>
        <v>96.767999999999986</v>
      </c>
      <c r="L46">
        <f t="shared" si="17"/>
        <v>10.160640000000001</v>
      </c>
      <c r="M46">
        <f t="shared" si="18"/>
        <v>10.644480000000003</v>
      </c>
      <c r="N46">
        <f t="shared" si="4"/>
        <v>6.0963839999999996</v>
      </c>
      <c r="O46">
        <f t="shared" si="21"/>
        <v>8.7660423529411791</v>
      </c>
      <c r="P46">
        <f t="shared" si="5"/>
        <v>4.8984881209503248</v>
      </c>
      <c r="Q46">
        <f t="shared" si="6"/>
        <v>50.400000000000006</v>
      </c>
      <c r="R46">
        <f t="shared" si="7"/>
        <v>576</v>
      </c>
      <c r="S46">
        <f t="shared" si="8"/>
        <v>222.71999999999997</v>
      </c>
      <c r="T46">
        <f t="shared" si="9"/>
        <v>46.08</v>
      </c>
      <c r="U46">
        <f>I46*E46/'[1]Inverter Analysis'!$L$2</f>
        <v>347.82826708923238</v>
      </c>
      <c r="V46">
        <f t="shared" si="10"/>
        <v>297.61904761904765</v>
      </c>
      <c r="W46">
        <f t="shared" si="11"/>
        <v>359.19540229885064</v>
      </c>
      <c r="X46">
        <f t="shared" si="19"/>
        <v>198.4126984126984</v>
      </c>
      <c r="Y46">
        <f t="shared" si="12"/>
        <v>1.0321706962610651</v>
      </c>
      <c r="Z46">
        <f t="shared" si="13"/>
        <v>1.9252629503999996</v>
      </c>
    </row>
    <row r="47" spans="1:26">
      <c r="A47" s="8">
        <v>16</v>
      </c>
      <c r="B47" s="12">
        <v>6</v>
      </c>
      <c r="C47">
        <v>6</v>
      </c>
      <c r="D47">
        <f t="shared" si="0"/>
        <v>600</v>
      </c>
      <c r="E47">
        <f t="shared" si="1"/>
        <v>360</v>
      </c>
      <c r="F47">
        <f t="shared" si="2"/>
        <v>39.744</v>
      </c>
      <c r="G47">
        <f t="shared" si="3"/>
        <v>0.128</v>
      </c>
      <c r="H47">
        <f t="shared" si="20"/>
        <v>145.15200000000002</v>
      </c>
      <c r="I47">
        <f t="shared" si="14"/>
        <v>403.20000000000005</v>
      </c>
      <c r="J47">
        <f t="shared" si="15"/>
        <v>268.79999999999995</v>
      </c>
      <c r="K47">
        <f t="shared" si="16"/>
        <v>96.767999999999986</v>
      </c>
      <c r="L47">
        <f t="shared" si="17"/>
        <v>10.160640000000001</v>
      </c>
      <c r="M47">
        <f t="shared" si="18"/>
        <v>10.644480000000003</v>
      </c>
      <c r="N47">
        <f t="shared" si="4"/>
        <v>6.0963839999999996</v>
      </c>
      <c r="O47">
        <f t="shared" si="21"/>
        <v>8.7660423529411791</v>
      </c>
      <c r="P47">
        <f t="shared" si="5"/>
        <v>6.5313174946004331</v>
      </c>
      <c r="Q47">
        <f t="shared" si="6"/>
        <v>67.2</v>
      </c>
      <c r="R47">
        <f t="shared" si="7"/>
        <v>576</v>
      </c>
      <c r="S47">
        <f t="shared" si="8"/>
        <v>222.71999999999997</v>
      </c>
      <c r="T47">
        <f t="shared" si="9"/>
        <v>46.08</v>
      </c>
      <c r="U47">
        <f>I47*E47/'[1]Inverter Analysis'!$L$2</f>
        <v>347.82826708923238</v>
      </c>
      <c r="V47">
        <f t="shared" si="10"/>
        <v>297.61904761904765</v>
      </c>
      <c r="W47">
        <f t="shared" si="11"/>
        <v>359.19540229885064</v>
      </c>
      <c r="X47">
        <f t="shared" si="19"/>
        <v>198.4126984126984</v>
      </c>
      <c r="Y47">
        <f t="shared" si="12"/>
        <v>1.0321706962610651</v>
      </c>
      <c r="Z47">
        <f t="shared" si="13"/>
        <v>1.9252629503999996</v>
      </c>
    </row>
    <row r="48" spans="1:26" hidden="1">
      <c r="A48">
        <v>12</v>
      </c>
      <c r="B48">
        <v>4</v>
      </c>
      <c r="C48">
        <v>12</v>
      </c>
      <c r="D48">
        <f t="shared" si="0"/>
        <v>400</v>
      </c>
      <c r="E48">
        <f t="shared" si="1"/>
        <v>240</v>
      </c>
      <c r="F48">
        <f t="shared" si="2"/>
        <v>39.744</v>
      </c>
      <c r="G48">
        <f t="shared" si="3"/>
        <v>0.28800000000000003</v>
      </c>
      <c r="H48">
        <f t="shared" si="20"/>
        <v>145.15200000000002</v>
      </c>
      <c r="I48">
        <f t="shared" si="14"/>
        <v>604.80000000000007</v>
      </c>
      <c r="J48">
        <f t="shared" si="15"/>
        <v>403.2</v>
      </c>
      <c r="K48">
        <f t="shared" si="16"/>
        <v>96.768000000000001</v>
      </c>
      <c r="L48">
        <f t="shared" si="17"/>
        <v>10.160640000000001</v>
      </c>
      <c r="M48">
        <f t="shared" si="18"/>
        <v>10.644480000000001</v>
      </c>
      <c r="N48">
        <f t="shared" si="4"/>
        <v>6.0963840000000014</v>
      </c>
      <c r="O48">
        <f t="shared" si="21"/>
        <v>8.7660423529411791</v>
      </c>
      <c r="P48">
        <f t="shared" si="5"/>
        <v>3.2656587473002165</v>
      </c>
      <c r="Q48">
        <f t="shared" si="6"/>
        <v>50.400000000000006</v>
      </c>
      <c r="R48">
        <f t="shared" si="7"/>
        <v>576</v>
      </c>
      <c r="S48">
        <f t="shared" si="8"/>
        <v>334.08</v>
      </c>
      <c r="T48">
        <f t="shared" si="9"/>
        <v>69.12</v>
      </c>
      <c r="U48">
        <f>I48*E48/'[1]Inverter Analysis'!$L$2</f>
        <v>347.82826708923238</v>
      </c>
      <c r="V48">
        <f t="shared" si="10"/>
        <v>198.4126984126984</v>
      </c>
      <c r="W48">
        <f t="shared" si="11"/>
        <v>239.46360153256705</v>
      </c>
      <c r="X48">
        <f t="shared" si="19"/>
        <v>132.27513227513225</v>
      </c>
      <c r="Y48">
        <f t="shared" si="12"/>
        <v>0.45874253167158441</v>
      </c>
      <c r="Z48">
        <f t="shared" si="13"/>
        <v>4.3318416383999994</v>
      </c>
    </row>
    <row r="49" spans="1:26" hidden="1">
      <c r="A49">
        <v>16</v>
      </c>
      <c r="B49">
        <v>4</v>
      </c>
      <c r="C49" s="12">
        <v>9</v>
      </c>
      <c r="D49">
        <f t="shared" si="0"/>
        <v>400</v>
      </c>
      <c r="E49">
        <f t="shared" si="1"/>
        <v>240</v>
      </c>
      <c r="F49">
        <f t="shared" si="2"/>
        <v>39.744</v>
      </c>
      <c r="G49">
        <f t="shared" si="3"/>
        <v>0.28800000000000003</v>
      </c>
      <c r="H49">
        <f t="shared" si="20"/>
        <v>145.15200000000002</v>
      </c>
      <c r="I49">
        <f t="shared" si="14"/>
        <v>604.80000000000007</v>
      </c>
      <c r="J49">
        <f t="shared" si="15"/>
        <v>403.2</v>
      </c>
      <c r="K49">
        <f t="shared" si="16"/>
        <v>96.768000000000001</v>
      </c>
      <c r="L49">
        <f t="shared" si="17"/>
        <v>10.160640000000001</v>
      </c>
      <c r="M49">
        <f t="shared" si="18"/>
        <v>10.644480000000001</v>
      </c>
      <c r="N49">
        <f t="shared" si="4"/>
        <v>6.0963840000000014</v>
      </c>
      <c r="O49">
        <f t="shared" si="21"/>
        <v>8.7660423529411791</v>
      </c>
      <c r="P49">
        <f t="shared" si="5"/>
        <v>4.3542116630669554</v>
      </c>
      <c r="Q49">
        <f t="shared" si="6"/>
        <v>67.2</v>
      </c>
      <c r="R49">
        <f t="shared" si="7"/>
        <v>576</v>
      </c>
      <c r="S49">
        <f t="shared" si="8"/>
        <v>334.08</v>
      </c>
      <c r="T49">
        <f t="shared" si="9"/>
        <v>69.12</v>
      </c>
      <c r="U49">
        <f>I49*E49/'[1]Inverter Analysis'!$L$2</f>
        <v>347.82826708923238</v>
      </c>
      <c r="V49">
        <f t="shared" si="10"/>
        <v>198.4126984126984</v>
      </c>
      <c r="W49">
        <f t="shared" si="11"/>
        <v>239.46360153256705</v>
      </c>
      <c r="X49">
        <f t="shared" si="19"/>
        <v>132.27513227513225</v>
      </c>
      <c r="Y49">
        <f t="shared" si="12"/>
        <v>0.45874253167158441</v>
      </c>
      <c r="Z49">
        <f t="shared" si="13"/>
        <v>4.3318416383999994</v>
      </c>
    </row>
    <row r="50" spans="1:26" hidden="1">
      <c r="A50">
        <v>13</v>
      </c>
      <c r="B50">
        <v>4</v>
      </c>
      <c r="C50" s="12">
        <v>11</v>
      </c>
      <c r="D50">
        <f t="shared" si="0"/>
        <v>400</v>
      </c>
      <c r="E50">
        <f t="shared" si="1"/>
        <v>240</v>
      </c>
      <c r="F50">
        <f t="shared" si="2"/>
        <v>39.468000000000004</v>
      </c>
      <c r="G50">
        <f t="shared" si="3"/>
        <v>0.28600000000000003</v>
      </c>
      <c r="H50">
        <f t="shared" si="20"/>
        <v>144.14400000000001</v>
      </c>
      <c r="I50">
        <f t="shared" si="14"/>
        <v>600.6</v>
      </c>
      <c r="J50">
        <f t="shared" si="15"/>
        <v>400.4</v>
      </c>
      <c r="K50">
        <f t="shared" si="16"/>
        <v>96.096000000000004</v>
      </c>
      <c r="L50">
        <f t="shared" si="17"/>
        <v>10.09008</v>
      </c>
      <c r="M50">
        <f t="shared" si="18"/>
        <v>10.570560000000002</v>
      </c>
      <c r="N50">
        <f t="shared" si="4"/>
        <v>6.0540480000000008</v>
      </c>
      <c r="O50">
        <f t="shared" si="21"/>
        <v>8.7051670588235321</v>
      </c>
      <c r="P50">
        <f t="shared" si="5"/>
        <v>3.5377969762419004</v>
      </c>
      <c r="Q50">
        <f t="shared" si="6"/>
        <v>54.6</v>
      </c>
      <c r="R50">
        <f t="shared" si="7"/>
        <v>572</v>
      </c>
      <c r="S50">
        <f t="shared" si="8"/>
        <v>331.76</v>
      </c>
      <c r="T50">
        <f t="shared" si="9"/>
        <v>68.640000000000015</v>
      </c>
      <c r="U50">
        <f>I50*E50/'[1]Inverter Analysis'!$L$2</f>
        <v>345.41279301222374</v>
      </c>
      <c r="V50">
        <f t="shared" si="10"/>
        <v>199.80019980019981</v>
      </c>
      <c r="W50">
        <f t="shared" si="11"/>
        <v>241.13817217265495</v>
      </c>
      <c r="X50">
        <f t="shared" si="19"/>
        <v>133.20013320013319</v>
      </c>
      <c r="Y50">
        <f t="shared" si="12"/>
        <v>0.46518094463015186</v>
      </c>
      <c r="Z50">
        <f t="shared" si="13"/>
        <v>4.2422202000749998</v>
      </c>
    </row>
    <row r="51" spans="1:26" hidden="1">
      <c r="A51">
        <v>14</v>
      </c>
      <c r="B51" s="9">
        <v>5</v>
      </c>
      <c r="C51" s="12">
        <v>8</v>
      </c>
      <c r="D51">
        <f t="shared" si="0"/>
        <v>500</v>
      </c>
      <c r="E51">
        <f t="shared" si="1"/>
        <v>300</v>
      </c>
      <c r="F51">
        <f t="shared" si="2"/>
        <v>38.64</v>
      </c>
      <c r="G51">
        <f t="shared" si="3"/>
        <v>0.1792</v>
      </c>
      <c r="H51">
        <f t="shared" si="20"/>
        <v>141.12</v>
      </c>
      <c r="I51">
        <f t="shared" si="14"/>
        <v>470.40000000000003</v>
      </c>
      <c r="J51">
        <f t="shared" si="15"/>
        <v>313.59999999999997</v>
      </c>
      <c r="K51">
        <f t="shared" si="16"/>
        <v>94.079999999999984</v>
      </c>
      <c r="L51">
        <f t="shared" si="17"/>
        <v>9.878400000000001</v>
      </c>
      <c r="M51">
        <f t="shared" si="18"/>
        <v>10.348800000000001</v>
      </c>
      <c r="N51">
        <f t="shared" si="4"/>
        <v>5.9270400000000008</v>
      </c>
      <c r="O51">
        <f t="shared" si="21"/>
        <v>8.5225411764705896</v>
      </c>
      <c r="P51">
        <f t="shared" si="5"/>
        <v>4.7624190064794814</v>
      </c>
      <c r="Q51">
        <f t="shared" si="6"/>
        <v>58.800000000000004</v>
      </c>
      <c r="R51">
        <f t="shared" si="7"/>
        <v>560</v>
      </c>
      <c r="S51">
        <f t="shared" si="8"/>
        <v>259.83999999999997</v>
      </c>
      <c r="T51">
        <f t="shared" si="9"/>
        <v>53.76</v>
      </c>
      <c r="U51">
        <f>I51*E51/'[1]Inverter Analysis'!$L$2</f>
        <v>338.16637078119811</v>
      </c>
      <c r="V51">
        <f t="shared" si="10"/>
        <v>255.10204081632656</v>
      </c>
      <c r="W51">
        <f t="shared" si="11"/>
        <v>307.88177339901483</v>
      </c>
      <c r="X51">
        <f t="shared" si="19"/>
        <v>170.06802721088434</v>
      </c>
      <c r="Y51">
        <f t="shared" si="12"/>
        <v>0.75832949113057857</v>
      </c>
      <c r="Z51">
        <f t="shared" si="13"/>
        <v>2.5477052159999984</v>
      </c>
    </row>
    <row r="52" spans="1:26" hidden="1">
      <c r="A52" s="8">
        <v>16</v>
      </c>
      <c r="B52" s="9">
        <v>5</v>
      </c>
      <c r="C52" s="12">
        <v>7</v>
      </c>
      <c r="D52">
        <f t="shared" si="0"/>
        <v>500</v>
      </c>
      <c r="E52">
        <f t="shared" si="1"/>
        <v>300</v>
      </c>
      <c r="F52">
        <f t="shared" si="2"/>
        <v>38.64</v>
      </c>
      <c r="G52">
        <f t="shared" si="3"/>
        <v>0.1792</v>
      </c>
      <c r="H52">
        <f t="shared" si="20"/>
        <v>141.12</v>
      </c>
      <c r="I52">
        <f t="shared" si="14"/>
        <v>470.40000000000003</v>
      </c>
      <c r="J52">
        <f t="shared" si="15"/>
        <v>313.59999999999997</v>
      </c>
      <c r="K52">
        <f t="shared" si="16"/>
        <v>94.079999999999984</v>
      </c>
      <c r="L52">
        <f t="shared" si="17"/>
        <v>9.878400000000001</v>
      </c>
      <c r="M52">
        <f t="shared" si="18"/>
        <v>10.348800000000001</v>
      </c>
      <c r="N52">
        <f t="shared" si="4"/>
        <v>5.9270400000000008</v>
      </c>
      <c r="O52">
        <f t="shared" si="21"/>
        <v>8.5225411764705896</v>
      </c>
      <c r="P52">
        <f t="shared" si="5"/>
        <v>5.4427645788336934</v>
      </c>
      <c r="Q52">
        <f t="shared" si="6"/>
        <v>67.2</v>
      </c>
      <c r="R52">
        <f t="shared" si="7"/>
        <v>560</v>
      </c>
      <c r="S52">
        <f t="shared" si="8"/>
        <v>259.83999999999997</v>
      </c>
      <c r="T52">
        <f t="shared" si="9"/>
        <v>53.76</v>
      </c>
      <c r="U52">
        <f>I52*E52/'[1]Inverter Analysis'!$L$2</f>
        <v>338.16637078119811</v>
      </c>
      <c r="V52">
        <f t="shared" si="10"/>
        <v>255.10204081632656</v>
      </c>
      <c r="W52">
        <f t="shared" si="11"/>
        <v>307.88177339901483</v>
      </c>
      <c r="X52">
        <f t="shared" si="19"/>
        <v>170.06802721088434</v>
      </c>
      <c r="Y52">
        <f t="shared" si="12"/>
        <v>0.75832949113057857</v>
      </c>
      <c r="Z52">
        <f t="shared" si="13"/>
        <v>2.5477052159999984</v>
      </c>
    </row>
    <row r="53" spans="1:26" s="7" customFormat="1" hidden="1">
      <c r="A53">
        <v>14</v>
      </c>
      <c r="B53">
        <v>4</v>
      </c>
      <c r="C53" s="12">
        <v>10</v>
      </c>
      <c r="D53">
        <f t="shared" si="0"/>
        <v>400</v>
      </c>
      <c r="E53">
        <f t="shared" si="1"/>
        <v>240</v>
      </c>
      <c r="F53">
        <f t="shared" si="2"/>
        <v>38.64</v>
      </c>
      <c r="G53">
        <f t="shared" si="3"/>
        <v>0.28000000000000003</v>
      </c>
      <c r="H53">
        <f t="shared" si="20"/>
        <v>141.12</v>
      </c>
      <c r="I53">
        <f t="shared" si="14"/>
        <v>588</v>
      </c>
      <c r="J53">
        <f t="shared" si="15"/>
        <v>392</v>
      </c>
      <c r="K53">
        <f t="shared" si="16"/>
        <v>94.08</v>
      </c>
      <c r="L53">
        <f t="shared" si="17"/>
        <v>9.8783999999999992</v>
      </c>
      <c r="M53">
        <f t="shared" si="18"/>
        <v>10.348800000000001</v>
      </c>
      <c r="N53">
        <f t="shared" si="4"/>
        <v>5.9270399999999999</v>
      </c>
      <c r="O53">
        <f t="shared" si="21"/>
        <v>8.5225411764705896</v>
      </c>
      <c r="P53">
        <f t="shared" si="5"/>
        <v>3.8099352051835851</v>
      </c>
      <c r="Q53">
        <f t="shared" si="6"/>
        <v>58.8</v>
      </c>
      <c r="R53">
        <f t="shared" si="7"/>
        <v>560</v>
      </c>
      <c r="S53">
        <f t="shared" si="8"/>
        <v>324.8</v>
      </c>
      <c r="T53">
        <f t="shared" si="9"/>
        <v>67.2</v>
      </c>
      <c r="U53">
        <f>I53*E53/'[1]Inverter Analysis'!$L$2</f>
        <v>338.16637078119811</v>
      </c>
      <c r="V53">
        <f t="shared" si="10"/>
        <v>204.08163265306123</v>
      </c>
      <c r="W53">
        <f t="shared" si="11"/>
        <v>246.30541871921181</v>
      </c>
      <c r="X53">
        <f t="shared" si="19"/>
        <v>136.05442176870747</v>
      </c>
      <c r="Y53">
        <f t="shared" si="12"/>
        <v>0.48533087432357008</v>
      </c>
      <c r="Z53">
        <f t="shared" si="13"/>
        <v>3.9807893999999999</v>
      </c>
    </row>
    <row r="54" spans="1:26" hidden="1">
      <c r="A54">
        <v>10</v>
      </c>
      <c r="B54" s="9">
        <v>5</v>
      </c>
      <c r="C54" s="12">
        <v>11</v>
      </c>
      <c r="D54">
        <f t="shared" si="0"/>
        <v>500</v>
      </c>
      <c r="E54">
        <f t="shared" si="1"/>
        <v>300</v>
      </c>
      <c r="F54">
        <f t="shared" si="2"/>
        <v>37.950000000000003</v>
      </c>
      <c r="G54">
        <f t="shared" si="3"/>
        <v>0.17599999999999999</v>
      </c>
      <c r="H54">
        <f t="shared" si="20"/>
        <v>138.6</v>
      </c>
      <c r="I54">
        <f t="shared" si="14"/>
        <v>462</v>
      </c>
      <c r="J54">
        <f t="shared" si="15"/>
        <v>308</v>
      </c>
      <c r="K54">
        <f t="shared" si="16"/>
        <v>92.4</v>
      </c>
      <c r="L54">
        <f t="shared" si="17"/>
        <v>9.702</v>
      </c>
      <c r="M54">
        <f t="shared" si="18"/>
        <v>10.164</v>
      </c>
      <c r="N54">
        <f t="shared" si="4"/>
        <v>5.8212000000000002</v>
      </c>
      <c r="O54">
        <f t="shared" si="21"/>
        <v>8.3703529411764706</v>
      </c>
      <c r="P54">
        <f t="shared" si="5"/>
        <v>3.4017278617710578</v>
      </c>
      <c r="Q54">
        <f t="shared" si="6"/>
        <v>42</v>
      </c>
      <c r="R54">
        <f t="shared" si="7"/>
        <v>550</v>
      </c>
      <c r="S54">
        <f t="shared" si="8"/>
        <v>255.2</v>
      </c>
      <c r="T54">
        <f t="shared" si="9"/>
        <v>52.8</v>
      </c>
      <c r="U54">
        <f>I54*E54/'[1]Inverter Analysis'!$L$2</f>
        <v>332.12768558867668</v>
      </c>
      <c r="V54">
        <f t="shared" si="10"/>
        <v>259.74025974025972</v>
      </c>
      <c r="W54">
        <f t="shared" si="11"/>
        <v>313.47962382445144</v>
      </c>
      <c r="X54">
        <f t="shared" si="19"/>
        <v>173.16017316017317</v>
      </c>
      <c r="Y54">
        <f t="shared" si="12"/>
        <v>0.78615579642495659</v>
      </c>
      <c r="Z54">
        <f t="shared" si="13"/>
        <v>2.4136437187499995</v>
      </c>
    </row>
    <row r="55" spans="1:26" hidden="1">
      <c r="A55">
        <v>11</v>
      </c>
      <c r="B55" s="9">
        <v>5</v>
      </c>
      <c r="C55" s="12">
        <v>10</v>
      </c>
      <c r="D55">
        <f t="shared" si="0"/>
        <v>500</v>
      </c>
      <c r="E55">
        <f t="shared" si="1"/>
        <v>300</v>
      </c>
      <c r="F55">
        <f t="shared" si="2"/>
        <v>37.950000000000003</v>
      </c>
      <c r="G55">
        <f t="shared" si="3"/>
        <v>0.17600000000000002</v>
      </c>
      <c r="H55">
        <f t="shared" si="20"/>
        <v>138.6</v>
      </c>
      <c r="I55">
        <f t="shared" si="14"/>
        <v>462</v>
      </c>
      <c r="J55">
        <f t="shared" si="15"/>
        <v>308</v>
      </c>
      <c r="K55">
        <f t="shared" si="16"/>
        <v>92.4</v>
      </c>
      <c r="L55">
        <f t="shared" si="17"/>
        <v>9.702</v>
      </c>
      <c r="M55">
        <f t="shared" si="18"/>
        <v>10.164</v>
      </c>
      <c r="N55">
        <f t="shared" si="4"/>
        <v>5.8212000000000002</v>
      </c>
      <c r="O55">
        <f t="shared" si="21"/>
        <v>8.3703529411764706</v>
      </c>
      <c r="P55">
        <f t="shared" si="5"/>
        <v>3.7419006479481638</v>
      </c>
      <c r="Q55">
        <f t="shared" si="6"/>
        <v>46.2</v>
      </c>
      <c r="R55">
        <f t="shared" si="7"/>
        <v>550</v>
      </c>
      <c r="S55">
        <f t="shared" si="8"/>
        <v>255.2</v>
      </c>
      <c r="T55">
        <f t="shared" si="9"/>
        <v>52.800000000000004</v>
      </c>
      <c r="U55">
        <f>I55*E55/'[1]Inverter Analysis'!$L$2</f>
        <v>332.12768558867668</v>
      </c>
      <c r="V55">
        <f t="shared" si="10"/>
        <v>259.74025974025972</v>
      </c>
      <c r="W55">
        <f t="shared" si="11"/>
        <v>313.47962382445144</v>
      </c>
      <c r="X55">
        <f t="shared" si="19"/>
        <v>173.16017316017317</v>
      </c>
      <c r="Y55">
        <f t="shared" si="12"/>
        <v>0.78615579642495659</v>
      </c>
      <c r="Z55">
        <f t="shared" si="13"/>
        <v>2.4136437187499995</v>
      </c>
    </row>
    <row r="56" spans="1:26" hidden="1">
      <c r="A56">
        <v>12</v>
      </c>
      <c r="B56" s="9">
        <v>5</v>
      </c>
      <c r="C56" s="12">
        <v>9</v>
      </c>
      <c r="D56">
        <f t="shared" si="0"/>
        <v>500</v>
      </c>
      <c r="E56">
        <f t="shared" si="1"/>
        <v>300</v>
      </c>
      <c r="F56">
        <f t="shared" si="2"/>
        <v>37.26</v>
      </c>
      <c r="G56">
        <f t="shared" si="3"/>
        <v>0.17280000000000001</v>
      </c>
      <c r="H56">
        <f t="shared" si="20"/>
        <v>136.08000000000001</v>
      </c>
      <c r="I56">
        <f t="shared" si="14"/>
        <v>453.6</v>
      </c>
      <c r="J56">
        <f t="shared" si="15"/>
        <v>302.39999999999998</v>
      </c>
      <c r="K56">
        <f t="shared" si="16"/>
        <v>90.72</v>
      </c>
      <c r="L56">
        <f t="shared" si="17"/>
        <v>9.5256000000000007</v>
      </c>
      <c r="M56">
        <f t="shared" si="18"/>
        <v>9.9792000000000023</v>
      </c>
      <c r="N56">
        <f t="shared" si="4"/>
        <v>5.7153600000000004</v>
      </c>
      <c r="O56">
        <f t="shared" si="21"/>
        <v>8.218164705882355</v>
      </c>
      <c r="P56">
        <f t="shared" si="5"/>
        <v>4.0820734341252694</v>
      </c>
      <c r="Q56">
        <f t="shared" si="6"/>
        <v>50.400000000000006</v>
      </c>
      <c r="R56">
        <f t="shared" si="7"/>
        <v>540</v>
      </c>
      <c r="S56">
        <f t="shared" si="8"/>
        <v>250.55999999999997</v>
      </c>
      <c r="T56">
        <f t="shared" si="9"/>
        <v>51.84</v>
      </c>
      <c r="U56">
        <f>I56*E56/'[1]Inverter Analysis'!$L$2</f>
        <v>326.08900039615531</v>
      </c>
      <c r="V56">
        <f t="shared" si="10"/>
        <v>264.55026455026456</v>
      </c>
      <c r="W56">
        <f t="shared" si="11"/>
        <v>319.28480204342276</v>
      </c>
      <c r="X56">
        <f t="shared" si="19"/>
        <v>176.3668430335097</v>
      </c>
      <c r="Y56">
        <f t="shared" si="12"/>
        <v>0.81554227852726124</v>
      </c>
      <c r="Z56">
        <f t="shared" si="13"/>
        <v>2.2843696139999996</v>
      </c>
    </row>
    <row r="57" spans="1:26" hidden="1">
      <c r="A57">
        <v>15</v>
      </c>
      <c r="B57">
        <v>4</v>
      </c>
      <c r="C57" s="12">
        <v>9</v>
      </c>
      <c r="D57">
        <f t="shared" si="0"/>
        <v>400</v>
      </c>
      <c r="E57">
        <f t="shared" si="1"/>
        <v>240</v>
      </c>
      <c r="F57">
        <f t="shared" si="2"/>
        <v>37.26</v>
      </c>
      <c r="G57">
        <f t="shared" si="3"/>
        <v>0.27</v>
      </c>
      <c r="H57">
        <f t="shared" si="20"/>
        <v>136.08000000000001</v>
      </c>
      <c r="I57">
        <f t="shared" si="14"/>
        <v>567</v>
      </c>
      <c r="J57">
        <f t="shared" si="15"/>
        <v>378</v>
      </c>
      <c r="K57">
        <f t="shared" si="16"/>
        <v>90.72</v>
      </c>
      <c r="L57">
        <f t="shared" si="17"/>
        <v>9.5256000000000007</v>
      </c>
      <c r="M57">
        <f t="shared" si="18"/>
        <v>9.9792000000000005</v>
      </c>
      <c r="N57">
        <f t="shared" si="4"/>
        <v>5.7153599999999996</v>
      </c>
      <c r="O57">
        <f t="shared" si="21"/>
        <v>8.2181647058823533</v>
      </c>
      <c r="P57">
        <f t="shared" si="5"/>
        <v>4.0820734341252694</v>
      </c>
      <c r="Q57">
        <f t="shared" si="6"/>
        <v>63</v>
      </c>
      <c r="R57">
        <f t="shared" si="7"/>
        <v>540</v>
      </c>
      <c r="S57">
        <f t="shared" si="8"/>
        <v>313.2</v>
      </c>
      <c r="T57">
        <f t="shared" si="9"/>
        <v>64.800000000000011</v>
      </c>
      <c r="U57">
        <f>I57*E57/'[1]Inverter Analysis'!$L$2</f>
        <v>326.08900039615531</v>
      </c>
      <c r="V57">
        <f t="shared" si="10"/>
        <v>211.64021164021165</v>
      </c>
      <c r="W57">
        <f t="shared" si="11"/>
        <v>255.4278416347382</v>
      </c>
      <c r="X57">
        <f t="shared" si="19"/>
        <v>141.09347442680777</v>
      </c>
      <c r="Y57">
        <f t="shared" si="12"/>
        <v>0.52194705825744725</v>
      </c>
      <c r="Z57">
        <f t="shared" si="13"/>
        <v>3.5693275218749991</v>
      </c>
    </row>
    <row r="58" spans="1:26" hidden="1">
      <c r="A58">
        <v>11</v>
      </c>
      <c r="B58">
        <v>4</v>
      </c>
      <c r="C58">
        <v>12</v>
      </c>
      <c r="D58">
        <f t="shared" si="0"/>
        <v>400</v>
      </c>
      <c r="E58">
        <f t="shared" si="1"/>
        <v>240</v>
      </c>
      <c r="F58">
        <f t="shared" si="2"/>
        <v>36.432000000000002</v>
      </c>
      <c r="G58">
        <f t="shared" si="3"/>
        <v>0.26400000000000001</v>
      </c>
      <c r="H58">
        <f t="shared" si="20"/>
        <v>133.05600000000001</v>
      </c>
      <c r="I58">
        <f t="shared" si="14"/>
        <v>554.4</v>
      </c>
      <c r="J58">
        <f t="shared" si="15"/>
        <v>369.59999999999997</v>
      </c>
      <c r="K58">
        <f t="shared" si="16"/>
        <v>88.703999999999979</v>
      </c>
      <c r="L58">
        <f t="shared" si="17"/>
        <v>9.3139199999999995</v>
      </c>
      <c r="M58">
        <f t="shared" si="18"/>
        <v>9.7574400000000008</v>
      </c>
      <c r="N58">
        <f t="shared" si="4"/>
        <v>5.5883519999999995</v>
      </c>
      <c r="O58">
        <f t="shared" si="21"/>
        <v>8.0355388235294125</v>
      </c>
      <c r="P58">
        <f t="shared" si="5"/>
        <v>2.9935205183585309</v>
      </c>
      <c r="Q58">
        <f t="shared" si="6"/>
        <v>46.199999999999996</v>
      </c>
      <c r="R58">
        <f t="shared" si="7"/>
        <v>528</v>
      </c>
      <c r="S58">
        <f t="shared" si="8"/>
        <v>306.23999999999995</v>
      </c>
      <c r="T58">
        <f t="shared" si="9"/>
        <v>63.36</v>
      </c>
      <c r="U58">
        <f>I58*E58/'[1]Inverter Analysis'!$L$2</f>
        <v>318.84257816512962</v>
      </c>
      <c r="V58">
        <f t="shared" si="10"/>
        <v>216.45021645021646</v>
      </c>
      <c r="W58">
        <f t="shared" si="11"/>
        <v>261.23301985370955</v>
      </c>
      <c r="X58">
        <f t="shared" si="19"/>
        <v>144.3001443001443</v>
      </c>
      <c r="Y58">
        <f t="shared" si="12"/>
        <v>0.54594152529510898</v>
      </c>
      <c r="Z58">
        <f t="shared" si="13"/>
        <v>3.3366210767999989</v>
      </c>
    </row>
    <row r="59" spans="1:26" s="7" customFormat="1" hidden="1">
      <c r="A59">
        <v>12</v>
      </c>
      <c r="B59">
        <v>4</v>
      </c>
      <c r="C59" s="12">
        <v>11</v>
      </c>
      <c r="D59">
        <f t="shared" si="0"/>
        <v>400</v>
      </c>
      <c r="E59">
        <f t="shared" si="1"/>
        <v>240</v>
      </c>
      <c r="F59">
        <f t="shared" si="2"/>
        <v>36.432000000000002</v>
      </c>
      <c r="G59">
        <f t="shared" si="3"/>
        <v>0.26400000000000001</v>
      </c>
      <c r="H59">
        <f t="shared" si="20"/>
        <v>133.05600000000001</v>
      </c>
      <c r="I59">
        <f t="shared" si="14"/>
        <v>554.4</v>
      </c>
      <c r="J59">
        <f t="shared" si="15"/>
        <v>369.59999999999997</v>
      </c>
      <c r="K59">
        <f t="shared" si="16"/>
        <v>88.703999999999979</v>
      </c>
      <c r="L59">
        <f t="shared" si="17"/>
        <v>9.3139199999999995</v>
      </c>
      <c r="M59">
        <f t="shared" si="18"/>
        <v>9.7574400000000008</v>
      </c>
      <c r="N59">
        <f t="shared" si="4"/>
        <v>5.5883519999999995</v>
      </c>
      <c r="O59">
        <f t="shared" si="21"/>
        <v>8.0355388235294125</v>
      </c>
      <c r="P59">
        <f t="shared" si="5"/>
        <v>3.2656587473002152</v>
      </c>
      <c r="Q59">
        <f t="shared" si="6"/>
        <v>50.4</v>
      </c>
      <c r="R59">
        <f t="shared" si="7"/>
        <v>528</v>
      </c>
      <c r="S59">
        <f t="shared" si="8"/>
        <v>306.23999999999995</v>
      </c>
      <c r="T59">
        <f t="shared" si="9"/>
        <v>63.36</v>
      </c>
      <c r="U59">
        <f>I59*E59/'[1]Inverter Analysis'!$L$2</f>
        <v>318.84257816512962</v>
      </c>
      <c r="V59">
        <f t="shared" si="10"/>
        <v>216.45021645021646</v>
      </c>
      <c r="W59">
        <f t="shared" si="11"/>
        <v>261.23301985370955</v>
      </c>
      <c r="X59">
        <f t="shared" si="19"/>
        <v>144.3001443001443</v>
      </c>
      <c r="Y59">
        <f t="shared" si="12"/>
        <v>0.54594152529510898</v>
      </c>
      <c r="Z59">
        <f t="shared" si="13"/>
        <v>3.3366210767999989</v>
      </c>
    </row>
    <row r="60" spans="1:26" hidden="1">
      <c r="A60" s="8">
        <v>15</v>
      </c>
      <c r="B60" s="9">
        <v>5</v>
      </c>
      <c r="C60" s="12">
        <v>7</v>
      </c>
      <c r="D60">
        <f t="shared" si="0"/>
        <v>500</v>
      </c>
      <c r="E60">
        <f t="shared" si="1"/>
        <v>300</v>
      </c>
      <c r="F60">
        <f t="shared" si="2"/>
        <v>36.225000000000001</v>
      </c>
      <c r="G60">
        <f t="shared" si="3"/>
        <v>0.16800000000000001</v>
      </c>
      <c r="H60">
        <f t="shared" si="20"/>
        <v>132.30000000000001</v>
      </c>
      <c r="I60">
        <f t="shared" si="14"/>
        <v>441</v>
      </c>
      <c r="J60">
        <f t="shared" si="15"/>
        <v>294</v>
      </c>
      <c r="K60">
        <f t="shared" si="16"/>
        <v>88.2</v>
      </c>
      <c r="L60">
        <f t="shared" si="17"/>
        <v>9.2609999999999992</v>
      </c>
      <c r="M60">
        <f t="shared" si="18"/>
        <v>9.702</v>
      </c>
      <c r="N60">
        <f t="shared" si="4"/>
        <v>5.5565999999999995</v>
      </c>
      <c r="O60">
        <f t="shared" si="21"/>
        <v>7.9898823529411773</v>
      </c>
      <c r="P60">
        <f t="shared" si="5"/>
        <v>5.1025917926565878</v>
      </c>
      <c r="Q60">
        <f t="shared" si="6"/>
        <v>63</v>
      </c>
      <c r="R60">
        <f t="shared" si="7"/>
        <v>525</v>
      </c>
      <c r="S60">
        <f t="shared" si="8"/>
        <v>243.6</v>
      </c>
      <c r="T60">
        <f t="shared" si="9"/>
        <v>50.400000000000006</v>
      </c>
      <c r="U60">
        <f>I60*E60/'[1]Inverter Analysis'!$L$2</f>
        <v>317.0309726073732</v>
      </c>
      <c r="V60">
        <f t="shared" si="10"/>
        <v>272.10884353741494</v>
      </c>
      <c r="W60">
        <f t="shared" si="11"/>
        <v>328.40722495894909</v>
      </c>
      <c r="X60">
        <f t="shared" si="19"/>
        <v>181.40589569160997</v>
      </c>
      <c r="Y60">
        <f t="shared" si="12"/>
        <v>0.86281044324190226</v>
      </c>
      <c r="Z60">
        <f t="shared" si="13"/>
        <v>2.0992444101562504</v>
      </c>
    </row>
    <row r="61" spans="1:26" hidden="1">
      <c r="A61">
        <v>13</v>
      </c>
      <c r="B61">
        <v>4</v>
      </c>
      <c r="C61" s="12">
        <v>10</v>
      </c>
      <c r="D61">
        <f t="shared" si="0"/>
        <v>400</v>
      </c>
      <c r="E61">
        <f t="shared" si="1"/>
        <v>240</v>
      </c>
      <c r="F61">
        <f t="shared" si="2"/>
        <v>35.880000000000003</v>
      </c>
      <c r="G61">
        <f t="shared" si="3"/>
        <v>0.26</v>
      </c>
      <c r="H61">
        <f t="shared" si="20"/>
        <v>131.04</v>
      </c>
      <c r="I61">
        <f t="shared" si="14"/>
        <v>546</v>
      </c>
      <c r="J61">
        <f t="shared" si="15"/>
        <v>364</v>
      </c>
      <c r="K61">
        <f t="shared" si="16"/>
        <v>87.36</v>
      </c>
      <c r="L61">
        <f t="shared" si="17"/>
        <v>9.1728000000000005</v>
      </c>
      <c r="M61">
        <f t="shared" si="18"/>
        <v>9.6096000000000004</v>
      </c>
      <c r="N61">
        <f t="shared" si="4"/>
        <v>5.5036800000000001</v>
      </c>
      <c r="O61">
        <f t="shared" si="21"/>
        <v>7.9137882352941187</v>
      </c>
      <c r="P61">
        <f t="shared" si="5"/>
        <v>3.5377969762419008</v>
      </c>
      <c r="Q61">
        <f t="shared" si="6"/>
        <v>54.6</v>
      </c>
      <c r="R61">
        <f t="shared" si="7"/>
        <v>520</v>
      </c>
      <c r="S61">
        <f t="shared" si="8"/>
        <v>301.60000000000002</v>
      </c>
      <c r="T61">
        <f t="shared" si="9"/>
        <v>62.400000000000006</v>
      </c>
      <c r="U61">
        <f>I61*E61/'[1]Inverter Analysis'!$L$2</f>
        <v>314.01163001111252</v>
      </c>
      <c r="V61">
        <f t="shared" si="10"/>
        <v>219.78021978021977</v>
      </c>
      <c r="W61">
        <f t="shared" si="11"/>
        <v>265.25198938992042</v>
      </c>
      <c r="X61">
        <f t="shared" si="19"/>
        <v>146.52014652014651</v>
      </c>
      <c r="Y61">
        <f t="shared" si="12"/>
        <v>0.56286894300248369</v>
      </c>
      <c r="Z61">
        <f t="shared" si="13"/>
        <v>3.1872428250000002</v>
      </c>
    </row>
    <row r="62" spans="1:26" hidden="1">
      <c r="A62">
        <v>13</v>
      </c>
      <c r="B62" s="9">
        <v>5</v>
      </c>
      <c r="C62" s="12">
        <v>8</v>
      </c>
      <c r="D62">
        <f t="shared" si="0"/>
        <v>500</v>
      </c>
      <c r="E62">
        <f t="shared" si="1"/>
        <v>300</v>
      </c>
      <c r="F62">
        <f t="shared" si="2"/>
        <v>35.880000000000003</v>
      </c>
      <c r="G62">
        <f t="shared" si="3"/>
        <v>0.16640000000000002</v>
      </c>
      <c r="H62">
        <f t="shared" si="20"/>
        <v>131.04</v>
      </c>
      <c r="I62">
        <f t="shared" si="14"/>
        <v>436.8</v>
      </c>
      <c r="J62">
        <f t="shared" si="15"/>
        <v>291.2</v>
      </c>
      <c r="K62">
        <f t="shared" si="16"/>
        <v>87.36</v>
      </c>
      <c r="L62">
        <f t="shared" si="17"/>
        <v>9.1728000000000005</v>
      </c>
      <c r="M62">
        <f t="shared" si="18"/>
        <v>9.6096000000000021</v>
      </c>
      <c r="N62">
        <f t="shared" si="4"/>
        <v>5.5036800000000001</v>
      </c>
      <c r="O62">
        <f t="shared" si="21"/>
        <v>7.9137882352941205</v>
      </c>
      <c r="P62">
        <f t="shared" si="5"/>
        <v>4.4222462203023758</v>
      </c>
      <c r="Q62">
        <f t="shared" si="6"/>
        <v>54.6</v>
      </c>
      <c r="R62">
        <f t="shared" si="7"/>
        <v>520</v>
      </c>
      <c r="S62">
        <f t="shared" si="8"/>
        <v>241.27999999999997</v>
      </c>
      <c r="T62">
        <f t="shared" si="9"/>
        <v>49.920000000000009</v>
      </c>
      <c r="U62">
        <f>I62*E62/'[1]Inverter Analysis'!$L$2</f>
        <v>314.01163001111252</v>
      </c>
      <c r="V62">
        <f t="shared" si="10"/>
        <v>274.72527472527474</v>
      </c>
      <c r="W62">
        <f t="shared" si="11"/>
        <v>331.56498673740055</v>
      </c>
      <c r="X62">
        <f t="shared" si="19"/>
        <v>183.15018315018315</v>
      </c>
      <c r="Y62">
        <f t="shared" si="12"/>
        <v>0.87948272344138079</v>
      </c>
      <c r="Z62">
        <f t="shared" si="13"/>
        <v>2.0398354079999996</v>
      </c>
    </row>
    <row r="63" spans="1:26" hidden="1">
      <c r="A63">
        <v>16</v>
      </c>
      <c r="B63">
        <v>4</v>
      </c>
      <c r="C63" s="12">
        <v>8</v>
      </c>
      <c r="D63">
        <f t="shared" si="0"/>
        <v>400</v>
      </c>
      <c r="E63">
        <f t="shared" si="1"/>
        <v>240</v>
      </c>
      <c r="F63">
        <f t="shared" si="2"/>
        <v>35.328000000000003</v>
      </c>
      <c r="G63">
        <f t="shared" si="3"/>
        <v>0.25600000000000001</v>
      </c>
      <c r="H63">
        <f t="shared" si="20"/>
        <v>129.024</v>
      </c>
      <c r="I63">
        <f t="shared" si="14"/>
        <v>537.6</v>
      </c>
      <c r="J63">
        <f t="shared" si="15"/>
        <v>358.4</v>
      </c>
      <c r="K63">
        <f t="shared" si="16"/>
        <v>86.016000000000005</v>
      </c>
      <c r="L63">
        <f t="shared" si="17"/>
        <v>9.0316799999999997</v>
      </c>
      <c r="M63">
        <f t="shared" si="18"/>
        <v>9.4617600000000017</v>
      </c>
      <c r="N63">
        <f t="shared" si="4"/>
        <v>5.4190080000000007</v>
      </c>
      <c r="O63">
        <f t="shared" si="21"/>
        <v>7.7920376470588257</v>
      </c>
      <c r="P63">
        <f t="shared" si="5"/>
        <v>4.3542116630669554</v>
      </c>
      <c r="Q63">
        <f t="shared" si="6"/>
        <v>67.2</v>
      </c>
      <c r="R63">
        <f t="shared" si="7"/>
        <v>512</v>
      </c>
      <c r="S63">
        <f t="shared" si="8"/>
        <v>296.95999999999998</v>
      </c>
      <c r="T63">
        <f t="shared" si="9"/>
        <v>61.44</v>
      </c>
      <c r="U63">
        <f>I63*E63/'[1]Inverter Analysis'!$L$2</f>
        <v>309.18068185709541</v>
      </c>
      <c r="V63">
        <f t="shared" si="10"/>
        <v>223.21428571428572</v>
      </c>
      <c r="W63">
        <f t="shared" si="11"/>
        <v>269.39655172413796</v>
      </c>
      <c r="X63">
        <f t="shared" si="19"/>
        <v>148.8095238095238</v>
      </c>
      <c r="Y63">
        <f t="shared" si="12"/>
        <v>0.58059601664684912</v>
      </c>
      <c r="Z63">
        <f t="shared" si="13"/>
        <v>3.0423908351999995</v>
      </c>
    </row>
    <row r="64" spans="1:26" hidden="1">
      <c r="A64">
        <v>14</v>
      </c>
      <c r="B64">
        <v>4</v>
      </c>
      <c r="C64" s="12">
        <v>9</v>
      </c>
      <c r="D64">
        <f t="shared" si="0"/>
        <v>400</v>
      </c>
      <c r="E64">
        <f t="shared" si="1"/>
        <v>240</v>
      </c>
      <c r="F64">
        <f t="shared" si="2"/>
        <v>34.776000000000003</v>
      </c>
      <c r="G64">
        <f t="shared" si="3"/>
        <v>0.252</v>
      </c>
      <c r="H64">
        <f t="shared" si="20"/>
        <v>127.00800000000001</v>
      </c>
      <c r="I64">
        <f t="shared" si="14"/>
        <v>529.20000000000005</v>
      </c>
      <c r="J64">
        <f t="shared" si="15"/>
        <v>352.79999999999995</v>
      </c>
      <c r="K64">
        <f t="shared" si="16"/>
        <v>84.671999999999983</v>
      </c>
      <c r="L64">
        <f t="shared" si="17"/>
        <v>8.8905600000000007</v>
      </c>
      <c r="M64">
        <f t="shared" si="18"/>
        <v>9.3139200000000013</v>
      </c>
      <c r="N64">
        <f t="shared" si="4"/>
        <v>5.3343360000000004</v>
      </c>
      <c r="O64">
        <f t="shared" si="21"/>
        <v>7.670287058823531</v>
      </c>
      <c r="P64">
        <f t="shared" si="5"/>
        <v>3.8099352051835851</v>
      </c>
      <c r="Q64">
        <f t="shared" si="6"/>
        <v>58.800000000000004</v>
      </c>
      <c r="R64">
        <f t="shared" si="7"/>
        <v>504</v>
      </c>
      <c r="S64">
        <f t="shared" si="8"/>
        <v>292.31999999999994</v>
      </c>
      <c r="T64">
        <f t="shared" si="9"/>
        <v>60.480000000000004</v>
      </c>
      <c r="U64">
        <f>I64*E64/'[1]Inverter Analysis'!$L$2</f>
        <v>304.3497337030783</v>
      </c>
      <c r="V64">
        <f t="shared" si="10"/>
        <v>226.7573696145125</v>
      </c>
      <c r="W64">
        <f t="shared" si="11"/>
        <v>273.672687465791</v>
      </c>
      <c r="X64">
        <f t="shared" si="19"/>
        <v>151.17157974300829</v>
      </c>
      <c r="Y64">
        <f t="shared" si="12"/>
        <v>0.59917391891798821</v>
      </c>
      <c r="Z64">
        <f t="shared" si="13"/>
        <v>2.9019954725999986</v>
      </c>
    </row>
    <row r="65" spans="1:26" hidden="1">
      <c r="A65">
        <v>10</v>
      </c>
      <c r="B65" s="9">
        <v>5</v>
      </c>
      <c r="C65" s="12">
        <v>10</v>
      </c>
      <c r="D65">
        <f t="shared" si="0"/>
        <v>500</v>
      </c>
      <c r="E65">
        <f t="shared" si="1"/>
        <v>300</v>
      </c>
      <c r="F65">
        <f t="shared" si="2"/>
        <v>34.5</v>
      </c>
      <c r="G65">
        <f t="shared" si="3"/>
        <v>0.16</v>
      </c>
      <c r="H65">
        <f t="shared" si="20"/>
        <v>126</v>
      </c>
      <c r="I65">
        <f t="shared" si="14"/>
        <v>420</v>
      </c>
      <c r="J65">
        <f t="shared" si="15"/>
        <v>280</v>
      </c>
      <c r="K65">
        <f t="shared" si="16"/>
        <v>84</v>
      </c>
      <c r="L65">
        <f t="shared" si="17"/>
        <v>8.82</v>
      </c>
      <c r="M65">
        <f t="shared" si="18"/>
        <v>9.240000000000002</v>
      </c>
      <c r="N65">
        <f t="shared" si="4"/>
        <v>5.2919999999999998</v>
      </c>
      <c r="O65">
        <f t="shared" si="21"/>
        <v>7.609411764705885</v>
      </c>
      <c r="P65">
        <f t="shared" si="5"/>
        <v>3.4017278617710582</v>
      </c>
      <c r="Q65">
        <f t="shared" si="6"/>
        <v>42</v>
      </c>
      <c r="R65">
        <f t="shared" si="7"/>
        <v>500</v>
      </c>
      <c r="S65">
        <f t="shared" si="8"/>
        <v>232</v>
      </c>
      <c r="T65">
        <f t="shared" si="9"/>
        <v>48</v>
      </c>
      <c r="U65">
        <f>I65*E65/'[1]Inverter Analysis'!$L$2</f>
        <v>301.93425962606972</v>
      </c>
      <c r="V65">
        <f t="shared" si="10"/>
        <v>285.71428571428572</v>
      </c>
      <c r="W65">
        <f t="shared" si="11"/>
        <v>344.82758620689657</v>
      </c>
      <c r="X65">
        <f t="shared" si="19"/>
        <v>190.47619047619048</v>
      </c>
      <c r="Y65">
        <f t="shared" si="12"/>
        <v>0.95124851367419749</v>
      </c>
      <c r="Z65">
        <f t="shared" si="13"/>
        <v>1.8134062499999999</v>
      </c>
    </row>
    <row r="66" spans="1:26" hidden="1">
      <c r="A66">
        <v>11</v>
      </c>
      <c r="B66" s="9">
        <v>5</v>
      </c>
      <c r="C66" s="12">
        <v>9</v>
      </c>
      <c r="D66">
        <f t="shared" si="0"/>
        <v>500</v>
      </c>
      <c r="E66">
        <f t="shared" si="1"/>
        <v>300</v>
      </c>
      <c r="F66">
        <f t="shared" si="2"/>
        <v>34.155000000000001</v>
      </c>
      <c r="G66">
        <f t="shared" si="3"/>
        <v>0.15840000000000001</v>
      </c>
      <c r="H66">
        <f t="shared" si="20"/>
        <v>124.74</v>
      </c>
      <c r="I66">
        <f t="shared" si="14"/>
        <v>415.8</v>
      </c>
      <c r="J66">
        <f t="shared" si="15"/>
        <v>277.2</v>
      </c>
      <c r="K66">
        <f t="shared" si="16"/>
        <v>83.16</v>
      </c>
      <c r="L66">
        <f t="shared" si="17"/>
        <v>8.7318000000000016</v>
      </c>
      <c r="M66">
        <f t="shared" si="18"/>
        <v>9.1476000000000006</v>
      </c>
      <c r="N66">
        <f t="shared" si="4"/>
        <v>5.2390799999999995</v>
      </c>
      <c r="O66">
        <f t="shared" si="21"/>
        <v>7.5333176470588246</v>
      </c>
      <c r="P66">
        <f t="shared" si="5"/>
        <v>3.7419006479481638</v>
      </c>
      <c r="Q66">
        <f t="shared" si="6"/>
        <v>46.2</v>
      </c>
      <c r="R66">
        <f t="shared" si="7"/>
        <v>495</v>
      </c>
      <c r="S66">
        <f t="shared" si="8"/>
        <v>229.67999999999998</v>
      </c>
      <c r="T66">
        <f t="shared" si="9"/>
        <v>47.52</v>
      </c>
      <c r="U66">
        <f>I66*E66/'[1]Inverter Analysis'!$L$2</f>
        <v>298.91491702980903</v>
      </c>
      <c r="V66">
        <f t="shared" si="10"/>
        <v>288.60028860028859</v>
      </c>
      <c r="W66">
        <f t="shared" si="11"/>
        <v>348.31069313827936</v>
      </c>
      <c r="X66">
        <f t="shared" si="19"/>
        <v>192.4001924001924</v>
      </c>
      <c r="Y66">
        <f t="shared" si="12"/>
        <v>0.97056271163574892</v>
      </c>
      <c r="Z66">
        <f t="shared" si="13"/>
        <v>1.7595462709687499</v>
      </c>
    </row>
    <row r="67" spans="1:26">
      <c r="A67">
        <v>14</v>
      </c>
      <c r="B67" s="9">
        <v>5</v>
      </c>
      <c r="C67" s="12">
        <v>7</v>
      </c>
      <c r="D67">
        <f t="shared" si="0"/>
        <v>500</v>
      </c>
      <c r="E67">
        <f t="shared" si="1"/>
        <v>300</v>
      </c>
      <c r="F67">
        <f t="shared" si="2"/>
        <v>33.81</v>
      </c>
      <c r="G67">
        <f t="shared" si="3"/>
        <v>0.15679999999999999</v>
      </c>
      <c r="H67">
        <f t="shared" si="20"/>
        <v>123.48</v>
      </c>
      <c r="I67">
        <f t="shared" si="14"/>
        <v>411.6</v>
      </c>
      <c r="J67">
        <f t="shared" si="15"/>
        <v>274.39999999999998</v>
      </c>
      <c r="K67">
        <f t="shared" si="16"/>
        <v>82.32</v>
      </c>
      <c r="L67">
        <f t="shared" si="17"/>
        <v>8.6436000000000028</v>
      </c>
      <c r="M67">
        <f t="shared" si="18"/>
        <v>9.055200000000001</v>
      </c>
      <c r="N67">
        <f t="shared" si="4"/>
        <v>5.1861600000000001</v>
      </c>
      <c r="O67">
        <f t="shared" si="21"/>
        <v>7.4572235294117659</v>
      </c>
      <c r="P67">
        <f t="shared" si="5"/>
        <v>4.7624190064794814</v>
      </c>
      <c r="Q67">
        <f t="shared" si="6"/>
        <v>58.800000000000004</v>
      </c>
      <c r="R67">
        <f t="shared" si="7"/>
        <v>490</v>
      </c>
      <c r="S67">
        <f t="shared" si="8"/>
        <v>227.35999999999999</v>
      </c>
      <c r="T67">
        <f t="shared" si="9"/>
        <v>47.04</v>
      </c>
      <c r="U67">
        <f>I67*E67/'[1]Inverter Analysis'!$L$2</f>
        <v>295.89557443354835</v>
      </c>
      <c r="V67">
        <f t="shared" si="10"/>
        <v>291.54518950437318</v>
      </c>
      <c r="W67">
        <f t="shared" si="11"/>
        <v>351.86488388458832</v>
      </c>
      <c r="X67">
        <f t="shared" si="19"/>
        <v>194.36345966958211</v>
      </c>
      <c r="Y67">
        <f t="shared" si="12"/>
        <v>0.99047117208891855</v>
      </c>
      <c r="Z67">
        <f t="shared" si="13"/>
        <v>1.70676345525</v>
      </c>
    </row>
    <row r="68" spans="1:26" hidden="1">
      <c r="A68">
        <v>11</v>
      </c>
      <c r="B68">
        <v>4</v>
      </c>
      <c r="C68" s="12">
        <v>11</v>
      </c>
      <c r="D68">
        <f t="shared" si="0"/>
        <v>400</v>
      </c>
      <c r="E68">
        <f t="shared" si="1"/>
        <v>240</v>
      </c>
      <c r="F68">
        <f t="shared" si="2"/>
        <v>33.396000000000001</v>
      </c>
      <c r="G68">
        <f t="shared" si="3"/>
        <v>0.24199999999999999</v>
      </c>
      <c r="H68">
        <f t="shared" si="20"/>
        <v>121.96800000000002</v>
      </c>
      <c r="I68">
        <f t="shared" si="14"/>
        <v>508.20000000000005</v>
      </c>
      <c r="J68">
        <f t="shared" si="15"/>
        <v>338.79999999999995</v>
      </c>
      <c r="K68">
        <f t="shared" si="16"/>
        <v>81.311999999999983</v>
      </c>
      <c r="L68">
        <f t="shared" si="17"/>
        <v>8.5377600000000005</v>
      </c>
      <c r="M68">
        <f t="shared" si="18"/>
        <v>8.9443200000000012</v>
      </c>
      <c r="N68">
        <f t="shared" si="4"/>
        <v>5.122656000000001</v>
      </c>
      <c r="O68">
        <f t="shared" si="21"/>
        <v>7.3659105882352955</v>
      </c>
      <c r="P68">
        <f t="shared" si="5"/>
        <v>2.9935205183585314</v>
      </c>
      <c r="Q68">
        <f t="shared" si="6"/>
        <v>46.2</v>
      </c>
      <c r="R68">
        <f t="shared" si="7"/>
        <v>484</v>
      </c>
      <c r="S68">
        <f t="shared" si="8"/>
        <v>280.71999999999997</v>
      </c>
      <c r="T68">
        <f t="shared" si="9"/>
        <v>58.08</v>
      </c>
      <c r="U68">
        <f>I68*E68/'[1]Inverter Analysis'!$L$2</f>
        <v>292.2723633180355</v>
      </c>
      <c r="V68">
        <f t="shared" si="10"/>
        <v>236.12750885478161</v>
      </c>
      <c r="W68">
        <f t="shared" si="11"/>
        <v>284.98147620404677</v>
      </c>
      <c r="X68">
        <f t="shared" si="19"/>
        <v>157.41833923652104</v>
      </c>
      <c r="Y68">
        <f t="shared" si="12"/>
        <v>0.64971553423550144</v>
      </c>
      <c r="Z68">
        <f t="shared" si="13"/>
        <v>2.5700478317249997</v>
      </c>
    </row>
    <row r="69" spans="1:26" hidden="1">
      <c r="A69">
        <v>10</v>
      </c>
      <c r="B69">
        <v>4</v>
      </c>
      <c r="C69">
        <v>12</v>
      </c>
      <c r="D69">
        <f t="shared" si="0"/>
        <v>400</v>
      </c>
      <c r="E69">
        <f t="shared" si="1"/>
        <v>240</v>
      </c>
      <c r="F69">
        <f t="shared" si="2"/>
        <v>33.119999999999997</v>
      </c>
      <c r="G69">
        <f t="shared" si="3"/>
        <v>0.24</v>
      </c>
      <c r="H69">
        <f t="shared" si="20"/>
        <v>120.96</v>
      </c>
      <c r="I69">
        <f t="shared" si="14"/>
        <v>504</v>
      </c>
      <c r="J69">
        <f t="shared" si="15"/>
        <v>336</v>
      </c>
      <c r="K69">
        <f t="shared" si="16"/>
        <v>80.64</v>
      </c>
      <c r="L69">
        <f t="shared" si="17"/>
        <v>8.4672000000000001</v>
      </c>
      <c r="M69">
        <f t="shared" si="18"/>
        <v>8.8704000000000018</v>
      </c>
      <c r="N69">
        <f t="shared" si="4"/>
        <v>5.0803199999999995</v>
      </c>
      <c r="O69">
        <f t="shared" si="21"/>
        <v>7.3050352941176495</v>
      </c>
      <c r="P69">
        <f t="shared" si="5"/>
        <v>2.7213822894168467</v>
      </c>
      <c r="Q69">
        <f t="shared" si="6"/>
        <v>42</v>
      </c>
      <c r="R69">
        <f t="shared" si="7"/>
        <v>480</v>
      </c>
      <c r="S69">
        <f t="shared" si="8"/>
        <v>278.39999999999998</v>
      </c>
      <c r="T69">
        <f t="shared" si="9"/>
        <v>57.599999999999994</v>
      </c>
      <c r="U69">
        <f>I69*E69/'[1]Inverter Analysis'!$L$2</f>
        <v>289.85688924102692</v>
      </c>
      <c r="V69">
        <f t="shared" si="10"/>
        <v>238.0952380952381</v>
      </c>
      <c r="W69">
        <f t="shared" si="11"/>
        <v>287.35632183908046</v>
      </c>
      <c r="X69">
        <f t="shared" si="19"/>
        <v>158.73015873015873</v>
      </c>
      <c r="Y69">
        <f t="shared" si="12"/>
        <v>0.66058924560708154</v>
      </c>
      <c r="Z69">
        <f t="shared" si="13"/>
        <v>2.5068527999999994</v>
      </c>
    </row>
    <row r="70" spans="1:26" hidden="1">
      <c r="A70">
        <v>12</v>
      </c>
      <c r="B70">
        <v>4</v>
      </c>
      <c r="C70" s="12">
        <v>10</v>
      </c>
      <c r="D70">
        <f t="shared" ref="D70:D133" si="22">B70*$J$3</f>
        <v>400</v>
      </c>
      <c r="E70">
        <f t="shared" ref="E70:E133" si="23">B70*$I$3</f>
        <v>240</v>
      </c>
      <c r="F70">
        <f t="shared" ref="F70:F133" si="24">A70*B70*C70*$Q$3/1000</f>
        <v>33.119999999999997</v>
      </c>
      <c r="G70">
        <f t="shared" ref="G70:G133" si="25">((B70*$R$3^(-1))^(-1))*A70*C70</f>
        <v>0.24</v>
      </c>
      <c r="H70">
        <f t="shared" ref="H70:H133" si="26">E70*I70/1000</f>
        <v>120.96</v>
      </c>
      <c r="I70">
        <f t="shared" ref="I70:I133" si="27">A70*C70*4.2</f>
        <v>504</v>
      </c>
      <c r="J70">
        <f t="shared" ref="J70:J133" si="28">C70*A70*$K$3</f>
        <v>336</v>
      </c>
      <c r="K70">
        <f t="shared" ref="K70:K133" si="29">E70*J70/1000</f>
        <v>80.64</v>
      </c>
      <c r="L70">
        <f t="shared" ref="L70:L133" si="30">$N$3/1000*I70*B70/1000</f>
        <v>8.4672000000000001</v>
      </c>
      <c r="M70">
        <f t="shared" ref="M70:M133" si="31">$O$3/1000*I70*B70/1000</f>
        <v>8.8704000000000018</v>
      </c>
      <c r="N70">
        <f t="shared" ref="N70:N133" si="32">$P$3/1000*I70*B70/1000</f>
        <v>5.0803199999999995</v>
      </c>
      <c r="O70">
        <f t="shared" si="21"/>
        <v>7.3050352941176495</v>
      </c>
      <c r="P70">
        <f t="shared" ref="P70:P133" si="33">$H$3/1000*B70*I70/277.8/C70</f>
        <v>3.2656587473002161</v>
      </c>
      <c r="Q70">
        <f t="shared" ref="Q70:Q133" si="34">I70/C70</f>
        <v>50.4</v>
      </c>
      <c r="R70">
        <f t="shared" ref="R70:R133" si="35">(A70*B70*C70)</f>
        <v>480</v>
      </c>
      <c r="S70">
        <f t="shared" ref="S70:S133" si="36">J70-(G70*E70)</f>
        <v>278.39999999999998</v>
      </c>
      <c r="T70">
        <f t="shared" ref="T70:T133" si="37">G70*E70</f>
        <v>57.599999999999994</v>
      </c>
      <c r="U70">
        <f>I70*E70/'[1]Inverter Analysis'!$L$2</f>
        <v>289.85688924102692</v>
      </c>
      <c r="V70">
        <f t="shared" ref="V70:V133" si="38">80000/J70</f>
        <v>238.0952380952381</v>
      </c>
      <c r="W70">
        <f t="shared" ref="W70:W133" si="39">80000/S70</f>
        <v>287.35632183908046</v>
      </c>
      <c r="X70">
        <f t="shared" ref="X70:X133" si="40">80000/I70</f>
        <v>158.73015873015873</v>
      </c>
      <c r="Y70">
        <f t="shared" ref="Y70:Y133" si="41">(MAX(V70:X70)^2)*$R$3/1000</f>
        <v>0.66058924560708154</v>
      </c>
      <c r="Z70">
        <f t="shared" ref="Z70:Z133" si="42">($S$3*F70/(Y70*1000))*10</f>
        <v>2.5068527999999994</v>
      </c>
    </row>
    <row r="71" spans="1:26">
      <c r="A71">
        <v>12</v>
      </c>
      <c r="B71" s="9">
        <v>5</v>
      </c>
      <c r="C71" s="12">
        <v>8</v>
      </c>
      <c r="D71">
        <f t="shared" si="22"/>
        <v>500</v>
      </c>
      <c r="E71">
        <f t="shared" si="23"/>
        <v>300</v>
      </c>
      <c r="F71">
        <f t="shared" si="24"/>
        <v>33.119999999999997</v>
      </c>
      <c r="G71">
        <f t="shared" si="25"/>
        <v>0.15360000000000001</v>
      </c>
      <c r="H71">
        <f t="shared" si="26"/>
        <v>120.96000000000001</v>
      </c>
      <c r="I71">
        <f t="shared" si="27"/>
        <v>403.20000000000005</v>
      </c>
      <c r="J71">
        <f t="shared" si="28"/>
        <v>268.79999999999995</v>
      </c>
      <c r="K71">
        <f t="shared" si="29"/>
        <v>80.639999999999986</v>
      </c>
      <c r="L71">
        <f t="shared" si="30"/>
        <v>8.4672000000000001</v>
      </c>
      <c r="M71">
        <f t="shared" si="31"/>
        <v>8.8704000000000018</v>
      </c>
      <c r="N71">
        <f t="shared" si="32"/>
        <v>5.0803200000000004</v>
      </c>
      <c r="O71">
        <f t="shared" ref="O71:O134" si="43">M71*(($L$3-$K$3)/($L$3-$M$3))</f>
        <v>7.3050352941176495</v>
      </c>
      <c r="P71">
        <f t="shared" si="33"/>
        <v>4.0820734341252702</v>
      </c>
      <c r="Q71">
        <f t="shared" si="34"/>
        <v>50.400000000000006</v>
      </c>
      <c r="R71">
        <f t="shared" si="35"/>
        <v>480</v>
      </c>
      <c r="S71">
        <f t="shared" si="36"/>
        <v>222.71999999999994</v>
      </c>
      <c r="T71">
        <f t="shared" si="37"/>
        <v>46.080000000000005</v>
      </c>
      <c r="U71">
        <f>I71*E71/'[1]Inverter Analysis'!$L$2</f>
        <v>289.85688924102698</v>
      </c>
      <c r="V71">
        <f t="shared" si="38"/>
        <v>297.61904761904765</v>
      </c>
      <c r="W71">
        <f t="shared" si="39"/>
        <v>359.19540229885069</v>
      </c>
      <c r="X71">
        <f t="shared" si="40"/>
        <v>198.4126984126984</v>
      </c>
      <c r="Y71">
        <f t="shared" si="41"/>
        <v>1.0321706962610655</v>
      </c>
      <c r="Z71">
        <f t="shared" si="42"/>
        <v>1.6043857919999986</v>
      </c>
    </row>
    <row r="72" spans="1:26" hidden="1">
      <c r="A72">
        <v>15</v>
      </c>
      <c r="B72">
        <v>4</v>
      </c>
      <c r="C72" s="12">
        <v>8</v>
      </c>
      <c r="D72">
        <f t="shared" si="22"/>
        <v>400</v>
      </c>
      <c r="E72">
        <f t="shared" si="23"/>
        <v>240</v>
      </c>
      <c r="F72">
        <f t="shared" si="24"/>
        <v>33.119999999999997</v>
      </c>
      <c r="G72">
        <f t="shared" si="25"/>
        <v>0.24</v>
      </c>
      <c r="H72">
        <f t="shared" si="26"/>
        <v>120.96</v>
      </c>
      <c r="I72">
        <f t="shared" si="27"/>
        <v>504</v>
      </c>
      <c r="J72">
        <f t="shared" si="28"/>
        <v>336</v>
      </c>
      <c r="K72">
        <f t="shared" si="29"/>
        <v>80.64</v>
      </c>
      <c r="L72">
        <f t="shared" si="30"/>
        <v>8.4672000000000001</v>
      </c>
      <c r="M72">
        <f t="shared" si="31"/>
        <v>8.8704000000000018</v>
      </c>
      <c r="N72">
        <f t="shared" si="32"/>
        <v>5.0803199999999995</v>
      </c>
      <c r="O72">
        <f t="shared" si="43"/>
        <v>7.3050352941176495</v>
      </c>
      <c r="P72">
        <f t="shared" si="33"/>
        <v>4.0820734341252702</v>
      </c>
      <c r="Q72">
        <f t="shared" si="34"/>
        <v>63</v>
      </c>
      <c r="R72">
        <f t="shared" si="35"/>
        <v>480</v>
      </c>
      <c r="S72">
        <f t="shared" si="36"/>
        <v>278.39999999999998</v>
      </c>
      <c r="T72">
        <f t="shared" si="37"/>
        <v>57.599999999999994</v>
      </c>
      <c r="U72">
        <f>I72*E72/'[1]Inverter Analysis'!$L$2</f>
        <v>289.85688924102692</v>
      </c>
      <c r="V72">
        <f t="shared" si="38"/>
        <v>238.0952380952381</v>
      </c>
      <c r="W72">
        <f t="shared" si="39"/>
        <v>287.35632183908046</v>
      </c>
      <c r="X72">
        <f t="shared" si="40"/>
        <v>158.73015873015873</v>
      </c>
      <c r="Y72">
        <f t="shared" si="41"/>
        <v>0.66058924560708154</v>
      </c>
      <c r="Z72">
        <f t="shared" si="42"/>
        <v>2.5068527999999994</v>
      </c>
    </row>
    <row r="73" spans="1:26">
      <c r="A73" s="8">
        <v>16</v>
      </c>
      <c r="B73" s="9">
        <v>5</v>
      </c>
      <c r="C73">
        <v>6</v>
      </c>
      <c r="D73">
        <f t="shared" si="22"/>
        <v>500</v>
      </c>
      <c r="E73">
        <f t="shared" si="23"/>
        <v>300</v>
      </c>
      <c r="F73">
        <f t="shared" si="24"/>
        <v>33.119999999999997</v>
      </c>
      <c r="G73">
        <f t="shared" si="25"/>
        <v>0.15360000000000001</v>
      </c>
      <c r="H73">
        <f t="shared" si="26"/>
        <v>120.96000000000001</v>
      </c>
      <c r="I73">
        <f t="shared" si="27"/>
        <v>403.20000000000005</v>
      </c>
      <c r="J73">
        <f t="shared" si="28"/>
        <v>268.79999999999995</v>
      </c>
      <c r="K73">
        <f t="shared" si="29"/>
        <v>80.639999999999986</v>
      </c>
      <c r="L73">
        <f t="shared" si="30"/>
        <v>8.4672000000000001</v>
      </c>
      <c r="M73">
        <f t="shared" si="31"/>
        <v>8.8704000000000018</v>
      </c>
      <c r="N73">
        <f t="shared" si="32"/>
        <v>5.0803200000000004</v>
      </c>
      <c r="O73">
        <f t="shared" si="43"/>
        <v>7.3050352941176495</v>
      </c>
      <c r="P73">
        <f t="shared" si="33"/>
        <v>5.4427645788336934</v>
      </c>
      <c r="Q73">
        <f t="shared" si="34"/>
        <v>67.2</v>
      </c>
      <c r="R73">
        <f t="shared" si="35"/>
        <v>480</v>
      </c>
      <c r="S73">
        <f t="shared" si="36"/>
        <v>222.71999999999994</v>
      </c>
      <c r="T73">
        <f t="shared" si="37"/>
        <v>46.080000000000005</v>
      </c>
      <c r="U73">
        <f>I73*E73/'[1]Inverter Analysis'!$L$2</f>
        <v>289.85688924102698</v>
      </c>
      <c r="V73">
        <f t="shared" si="38"/>
        <v>297.61904761904765</v>
      </c>
      <c r="W73">
        <f t="shared" si="39"/>
        <v>359.19540229885069</v>
      </c>
      <c r="X73">
        <f t="shared" si="40"/>
        <v>198.4126984126984</v>
      </c>
      <c r="Y73">
        <f t="shared" si="41"/>
        <v>1.0321706962610655</v>
      </c>
      <c r="Z73">
        <f t="shared" si="42"/>
        <v>1.6043857919999986</v>
      </c>
    </row>
    <row r="74" spans="1:26" hidden="1">
      <c r="A74">
        <v>13</v>
      </c>
      <c r="B74">
        <v>4</v>
      </c>
      <c r="C74" s="12">
        <v>9</v>
      </c>
      <c r="D74">
        <f t="shared" si="22"/>
        <v>400</v>
      </c>
      <c r="E74">
        <f t="shared" si="23"/>
        <v>240</v>
      </c>
      <c r="F74">
        <f t="shared" si="24"/>
        <v>32.292000000000002</v>
      </c>
      <c r="G74">
        <f t="shared" si="25"/>
        <v>0.23400000000000001</v>
      </c>
      <c r="H74">
        <f t="shared" si="26"/>
        <v>117.93600000000002</v>
      </c>
      <c r="I74">
        <f t="shared" si="27"/>
        <v>491.40000000000003</v>
      </c>
      <c r="J74">
        <f t="shared" si="28"/>
        <v>327.59999999999997</v>
      </c>
      <c r="K74">
        <f t="shared" si="29"/>
        <v>78.623999999999981</v>
      </c>
      <c r="L74">
        <f t="shared" si="30"/>
        <v>8.2555200000000006</v>
      </c>
      <c r="M74">
        <f t="shared" si="31"/>
        <v>8.6486400000000021</v>
      </c>
      <c r="N74">
        <f t="shared" si="32"/>
        <v>4.9533120000000004</v>
      </c>
      <c r="O74">
        <f t="shared" si="43"/>
        <v>7.1224094117647079</v>
      </c>
      <c r="P74">
        <f t="shared" si="33"/>
        <v>3.5377969762419008</v>
      </c>
      <c r="Q74">
        <f t="shared" si="34"/>
        <v>54.6</v>
      </c>
      <c r="R74">
        <f t="shared" si="35"/>
        <v>468</v>
      </c>
      <c r="S74">
        <f t="shared" si="36"/>
        <v>271.43999999999994</v>
      </c>
      <c r="T74">
        <f t="shared" si="37"/>
        <v>56.160000000000004</v>
      </c>
      <c r="U74">
        <f>I74*E74/'[1]Inverter Analysis'!$L$2</f>
        <v>282.61046701000129</v>
      </c>
      <c r="V74">
        <f t="shared" si="38"/>
        <v>244.20024420024421</v>
      </c>
      <c r="W74">
        <f t="shared" si="39"/>
        <v>294.72443265546718</v>
      </c>
      <c r="X74">
        <f t="shared" si="40"/>
        <v>162.80016280016278</v>
      </c>
      <c r="Y74">
        <f t="shared" si="41"/>
        <v>0.69489992963269609</v>
      </c>
      <c r="Z74">
        <f t="shared" si="42"/>
        <v>2.3235000194249995</v>
      </c>
    </row>
    <row r="75" spans="1:26" hidden="1">
      <c r="A75">
        <v>14</v>
      </c>
      <c r="B75">
        <v>4</v>
      </c>
      <c r="C75" s="12">
        <v>8</v>
      </c>
      <c r="D75">
        <f t="shared" si="22"/>
        <v>400</v>
      </c>
      <c r="E75">
        <f t="shared" si="23"/>
        <v>240</v>
      </c>
      <c r="F75">
        <f t="shared" si="24"/>
        <v>30.911999999999999</v>
      </c>
      <c r="G75">
        <f t="shared" si="25"/>
        <v>0.224</v>
      </c>
      <c r="H75">
        <f t="shared" si="26"/>
        <v>112.89600000000002</v>
      </c>
      <c r="I75">
        <f t="shared" si="27"/>
        <v>470.40000000000003</v>
      </c>
      <c r="J75">
        <f t="shared" si="28"/>
        <v>313.59999999999997</v>
      </c>
      <c r="K75">
        <f t="shared" si="29"/>
        <v>75.263999999999982</v>
      </c>
      <c r="L75">
        <f t="shared" si="30"/>
        <v>7.9027200000000013</v>
      </c>
      <c r="M75">
        <f t="shared" si="31"/>
        <v>8.2790400000000002</v>
      </c>
      <c r="N75">
        <f t="shared" si="32"/>
        <v>4.741632000000001</v>
      </c>
      <c r="O75">
        <f t="shared" si="43"/>
        <v>6.8180329411764715</v>
      </c>
      <c r="P75">
        <f t="shared" si="33"/>
        <v>3.8099352051835855</v>
      </c>
      <c r="Q75">
        <f t="shared" si="34"/>
        <v>58.800000000000004</v>
      </c>
      <c r="R75">
        <f t="shared" si="35"/>
        <v>448</v>
      </c>
      <c r="S75">
        <f t="shared" si="36"/>
        <v>259.83999999999997</v>
      </c>
      <c r="T75">
        <f t="shared" si="37"/>
        <v>53.76</v>
      </c>
      <c r="U75">
        <f>I75*E75/'[1]Inverter Analysis'!$L$2</f>
        <v>270.53309662495849</v>
      </c>
      <c r="V75">
        <f t="shared" si="38"/>
        <v>255.10204081632656</v>
      </c>
      <c r="W75">
        <f t="shared" si="39"/>
        <v>307.88177339901483</v>
      </c>
      <c r="X75">
        <f t="shared" si="40"/>
        <v>170.06802721088434</v>
      </c>
      <c r="Y75">
        <f t="shared" si="41"/>
        <v>0.75832949113057857</v>
      </c>
      <c r="Z75">
        <f t="shared" si="42"/>
        <v>2.0381641727999993</v>
      </c>
    </row>
    <row r="76" spans="1:26" hidden="1">
      <c r="A76">
        <v>16</v>
      </c>
      <c r="B76">
        <v>4</v>
      </c>
      <c r="C76" s="12">
        <v>7</v>
      </c>
      <c r="D76">
        <f t="shared" si="22"/>
        <v>400</v>
      </c>
      <c r="E76">
        <f t="shared" si="23"/>
        <v>240</v>
      </c>
      <c r="F76">
        <f t="shared" si="24"/>
        <v>30.911999999999999</v>
      </c>
      <c r="G76">
        <f t="shared" si="25"/>
        <v>0.224</v>
      </c>
      <c r="H76">
        <f t="shared" si="26"/>
        <v>112.89600000000002</v>
      </c>
      <c r="I76">
        <f t="shared" si="27"/>
        <v>470.40000000000003</v>
      </c>
      <c r="J76">
        <f t="shared" si="28"/>
        <v>313.59999999999997</v>
      </c>
      <c r="K76">
        <f t="shared" si="29"/>
        <v>75.263999999999982</v>
      </c>
      <c r="L76">
        <f t="shared" si="30"/>
        <v>7.9027200000000013</v>
      </c>
      <c r="M76">
        <f t="shared" si="31"/>
        <v>8.2790400000000002</v>
      </c>
      <c r="N76">
        <f t="shared" si="32"/>
        <v>4.741632000000001</v>
      </c>
      <c r="O76">
        <f t="shared" si="43"/>
        <v>6.8180329411764715</v>
      </c>
      <c r="P76">
        <f t="shared" si="33"/>
        <v>4.3542116630669545</v>
      </c>
      <c r="Q76">
        <f t="shared" si="34"/>
        <v>67.2</v>
      </c>
      <c r="R76">
        <f t="shared" si="35"/>
        <v>448</v>
      </c>
      <c r="S76">
        <f t="shared" si="36"/>
        <v>259.83999999999997</v>
      </c>
      <c r="T76">
        <f t="shared" si="37"/>
        <v>53.76</v>
      </c>
      <c r="U76">
        <f>I76*E76/'[1]Inverter Analysis'!$L$2</f>
        <v>270.53309662495849</v>
      </c>
      <c r="V76">
        <f t="shared" si="38"/>
        <v>255.10204081632656</v>
      </c>
      <c r="W76">
        <f t="shared" si="39"/>
        <v>307.88177339901483</v>
      </c>
      <c r="X76">
        <f t="shared" si="40"/>
        <v>170.06802721088434</v>
      </c>
      <c r="Y76">
        <f t="shared" si="41"/>
        <v>0.75832949113057857</v>
      </c>
      <c r="Z76">
        <f t="shared" si="42"/>
        <v>2.0381641727999993</v>
      </c>
    </row>
    <row r="77" spans="1:26" hidden="1">
      <c r="A77">
        <v>10</v>
      </c>
      <c r="B77">
        <v>4</v>
      </c>
      <c r="C77" s="12">
        <v>11</v>
      </c>
      <c r="D77">
        <f t="shared" si="22"/>
        <v>400</v>
      </c>
      <c r="E77">
        <f t="shared" si="23"/>
        <v>240</v>
      </c>
      <c r="F77">
        <f t="shared" si="24"/>
        <v>30.36</v>
      </c>
      <c r="G77">
        <f t="shared" si="25"/>
        <v>0.22</v>
      </c>
      <c r="H77">
        <f t="shared" si="26"/>
        <v>110.88</v>
      </c>
      <c r="I77">
        <f t="shared" si="27"/>
        <v>462</v>
      </c>
      <c r="J77">
        <f t="shared" si="28"/>
        <v>308</v>
      </c>
      <c r="K77">
        <f t="shared" si="29"/>
        <v>73.92</v>
      </c>
      <c r="L77">
        <f t="shared" si="30"/>
        <v>7.7616000000000005</v>
      </c>
      <c r="M77">
        <f t="shared" si="31"/>
        <v>8.1312000000000015</v>
      </c>
      <c r="N77">
        <f t="shared" si="32"/>
        <v>4.6569599999999998</v>
      </c>
      <c r="O77">
        <f t="shared" si="43"/>
        <v>6.6962823529411786</v>
      </c>
      <c r="P77">
        <f t="shared" si="33"/>
        <v>2.7213822894168462</v>
      </c>
      <c r="Q77">
        <f t="shared" si="34"/>
        <v>42</v>
      </c>
      <c r="R77">
        <f t="shared" si="35"/>
        <v>440</v>
      </c>
      <c r="S77">
        <f t="shared" si="36"/>
        <v>255.2</v>
      </c>
      <c r="T77">
        <f t="shared" si="37"/>
        <v>52.8</v>
      </c>
      <c r="U77">
        <f>I77*E77/'[1]Inverter Analysis'!$L$2</f>
        <v>265.70214847094138</v>
      </c>
      <c r="V77">
        <f t="shared" si="38"/>
        <v>259.74025974025972</v>
      </c>
      <c r="W77">
        <f t="shared" si="39"/>
        <v>313.47962382445144</v>
      </c>
      <c r="X77">
        <f t="shared" si="40"/>
        <v>173.16017316017317</v>
      </c>
      <c r="Y77">
        <f t="shared" si="41"/>
        <v>0.78615579642495659</v>
      </c>
      <c r="Z77">
        <f t="shared" si="42"/>
        <v>1.9309149749999999</v>
      </c>
    </row>
    <row r="78" spans="1:26" hidden="1">
      <c r="A78">
        <v>11</v>
      </c>
      <c r="B78">
        <v>4</v>
      </c>
      <c r="C78" s="12">
        <v>10</v>
      </c>
      <c r="D78">
        <f t="shared" si="22"/>
        <v>400</v>
      </c>
      <c r="E78">
        <f t="shared" si="23"/>
        <v>240</v>
      </c>
      <c r="F78">
        <f t="shared" si="24"/>
        <v>30.36</v>
      </c>
      <c r="G78">
        <f t="shared" si="25"/>
        <v>0.21999999999999997</v>
      </c>
      <c r="H78">
        <f t="shared" si="26"/>
        <v>110.88</v>
      </c>
      <c r="I78">
        <f t="shared" si="27"/>
        <v>462</v>
      </c>
      <c r="J78">
        <f t="shared" si="28"/>
        <v>308</v>
      </c>
      <c r="K78">
        <f t="shared" si="29"/>
        <v>73.92</v>
      </c>
      <c r="L78">
        <f t="shared" si="30"/>
        <v>7.7616000000000005</v>
      </c>
      <c r="M78">
        <f t="shared" si="31"/>
        <v>8.1312000000000015</v>
      </c>
      <c r="N78">
        <f t="shared" si="32"/>
        <v>4.6569599999999998</v>
      </c>
      <c r="O78">
        <f t="shared" si="43"/>
        <v>6.6962823529411786</v>
      </c>
      <c r="P78">
        <f t="shared" si="33"/>
        <v>2.9935205183585309</v>
      </c>
      <c r="Q78">
        <f t="shared" si="34"/>
        <v>46.2</v>
      </c>
      <c r="R78">
        <f t="shared" si="35"/>
        <v>440</v>
      </c>
      <c r="S78">
        <f t="shared" si="36"/>
        <v>255.2</v>
      </c>
      <c r="T78">
        <f t="shared" si="37"/>
        <v>52.8</v>
      </c>
      <c r="U78">
        <f>I78*E78/'[1]Inverter Analysis'!$L$2</f>
        <v>265.70214847094138</v>
      </c>
      <c r="V78">
        <f t="shared" si="38"/>
        <v>259.74025974025972</v>
      </c>
      <c r="W78">
        <f t="shared" si="39"/>
        <v>313.47962382445144</v>
      </c>
      <c r="X78">
        <f t="shared" si="40"/>
        <v>173.16017316017317</v>
      </c>
      <c r="Y78">
        <f t="shared" si="41"/>
        <v>0.78615579642495659</v>
      </c>
      <c r="Z78">
        <f t="shared" si="42"/>
        <v>1.9309149749999999</v>
      </c>
    </row>
    <row r="79" spans="1:26" s="7" customFormat="1" hidden="1">
      <c r="A79" s="7">
        <v>12</v>
      </c>
      <c r="B79" s="7">
        <v>3</v>
      </c>
      <c r="C79" s="7">
        <v>12</v>
      </c>
      <c r="D79" s="7">
        <f t="shared" si="22"/>
        <v>300</v>
      </c>
      <c r="E79" s="7">
        <f t="shared" si="23"/>
        <v>180</v>
      </c>
      <c r="F79" s="7">
        <f t="shared" si="24"/>
        <v>29.808</v>
      </c>
      <c r="G79" s="7">
        <f t="shared" si="25"/>
        <v>0.38400000000000001</v>
      </c>
      <c r="H79" s="7">
        <f t="shared" si="26"/>
        <v>108.86400000000002</v>
      </c>
      <c r="I79" s="7">
        <f t="shared" si="27"/>
        <v>604.80000000000007</v>
      </c>
      <c r="J79" s="7">
        <f t="shared" si="28"/>
        <v>403.2</v>
      </c>
      <c r="K79" s="7">
        <f t="shared" si="29"/>
        <v>72.575999999999993</v>
      </c>
      <c r="L79" s="7">
        <f t="shared" si="30"/>
        <v>7.6204800000000015</v>
      </c>
      <c r="M79" s="7">
        <f t="shared" si="31"/>
        <v>7.9833600000000002</v>
      </c>
      <c r="N79" s="7">
        <f t="shared" si="32"/>
        <v>4.5722880000000004</v>
      </c>
      <c r="O79">
        <f t="shared" si="43"/>
        <v>6.574531764705883</v>
      </c>
      <c r="P79" s="7">
        <f t="shared" si="33"/>
        <v>2.4492440604751624</v>
      </c>
      <c r="Q79" s="7">
        <f t="shared" si="34"/>
        <v>50.400000000000006</v>
      </c>
      <c r="R79" s="7">
        <f t="shared" si="35"/>
        <v>432</v>
      </c>
      <c r="S79" s="7">
        <f t="shared" si="36"/>
        <v>334.08</v>
      </c>
      <c r="T79" s="7">
        <f t="shared" si="37"/>
        <v>69.12</v>
      </c>
      <c r="U79" s="7">
        <f>I79*E79/'[1]Inverter Analysis'!$L$2</f>
        <v>260.87120031692427</v>
      </c>
      <c r="V79" s="7">
        <f t="shared" si="38"/>
        <v>198.4126984126984</v>
      </c>
      <c r="W79" s="7">
        <f t="shared" si="39"/>
        <v>239.46360153256705</v>
      </c>
      <c r="X79" s="7">
        <f t="shared" si="40"/>
        <v>132.27513227513225</v>
      </c>
      <c r="Y79" s="7">
        <f t="shared" si="41"/>
        <v>0.45874253167158441</v>
      </c>
      <c r="Z79" s="7">
        <f t="shared" si="42"/>
        <v>3.2488812287999997</v>
      </c>
    </row>
    <row r="80" spans="1:26" s="7" customFormat="1" hidden="1">
      <c r="A80" s="7">
        <v>16</v>
      </c>
      <c r="B80" s="7">
        <v>3</v>
      </c>
      <c r="C80" s="13">
        <v>9</v>
      </c>
      <c r="D80" s="7">
        <f t="shared" si="22"/>
        <v>300</v>
      </c>
      <c r="E80" s="7">
        <f t="shared" si="23"/>
        <v>180</v>
      </c>
      <c r="F80" s="7">
        <f t="shared" si="24"/>
        <v>29.808</v>
      </c>
      <c r="G80" s="7">
        <f t="shared" si="25"/>
        <v>0.38400000000000001</v>
      </c>
      <c r="H80" s="7">
        <f t="shared" si="26"/>
        <v>108.86400000000002</v>
      </c>
      <c r="I80" s="7">
        <f t="shared" si="27"/>
        <v>604.80000000000007</v>
      </c>
      <c r="J80" s="7">
        <f t="shared" si="28"/>
        <v>403.2</v>
      </c>
      <c r="K80" s="7">
        <f t="shared" si="29"/>
        <v>72.575999999999993</v>
      </c>
      <c r="L80" s="7">
        <f t="shared" si="30"/>
        <v>7.6204800000000015</v>
      </c>
      <c r="M80" s="7">
        <f t="shared" si="31"/>
        <v>7.9833600000000002</v>
      </c>
      <c r="N80" s="7">
        <f t="shared" si="32"/>
        <v>4.5722880000000004</v>
      </c>
      <c r="O80" s="7">
        <f t="shared" si="43"/>
        <v>6.574531764705883</v>
      </c>
      <c r="P80" s="7">
        <f t="shared" si="33"/>
        <v>3.2656587473002165</v>
      </c>
      <c r="Q80" s="7">
        <f t="shared" si="34"/>
        <v>67.2</v>
      </c>
      <c r="R80" s="7">
        <f t="shared" si="35"/>
        <v>432</v>
      </c>
      <c r="S80" s="7">
        <f t="shared" si="36"/>
        <v>334.08</v>
      </c>
      <c r="T80" s="7">
        <f t="shared" si="37"/>
        <v>69.12</v>
      </c>
      <c r="U80" s="7">
        <f>I80*E80/'[1]Inverter Analysis'!$L$2</f>
        <v>260.87120031692427</v>
      </c>
      <c r="V80" s="7">
        <f t="shared" si="38"/>
        <v>198.4126984126984</v>
      </c>
      <c r="W80" s="7">
        <f t="shared" si="39"/>
        <v>239.46360153256705</v>
      </c>
      <c r="X80" s="7">
        <f t="shared" si="40"/>
        <v>132.27513227513225</v>
      </c>
      <c r="Y80" s="7">
        <f t="shared" si="41"/>
        <v>0.45874253167158441</v>
      </c>
      <c r="Z80" s="7">
        <f t="shared" si="42"/>
        <v>3.2488812287999997</v>
      </c>
    </row>
    <row r="81" spans="1:26" s="7" customFormat="1" hidden="1">
      <c r="A81" s="7">
        <v>12</v>
      </c>
      <c r="B81" s="7">
        <v>4</v>
      </c>
      <c r="C81" s="13">
        <v>9</v>
      </c>
      <c r="D81" s="7">
        <f t="shared" si="22"/>
        <v>400</v>
      </c>
      <c r="E81" s="7">
        <f t="shared" si="23"/>
        <v>240</v>
      </c>
      <c r="F81" s="7">
        <f>A81*B81*C81*$Q$3/1000</f>
        <v>29.808</v>
      </c>
      <c r="G81" s="7">
        <f t="shared" si="25"/>
        <v>0.216</v>
      </c>
      <c r="H81" s="7">
        <f t="shared" si="26"/>
        <v>108.864</v>
      </c>
      <c r="I81" s="7">
        <f t="shared" si="27"/>
        <v>453.6</v>
      </c>
      <c r="J81" s="7">
        <f t="shared" si="28"/>
        <v>302.39999999999998</v>
      </c>
      <c r="K81" s="7">
        <f t="shared" si="29"/>
        <v>72.575999999999993</v>
      </c>
      <c r="L81" s="7">
        <f t="shared" si="30"/>
        <v>7.6204800000000006</v>
      </c>
      <c r="M81" s="7">
        <f t="shared" si="31"/>
        <v>7.9833600000000011</v>
      </c>
      <c r="N81" s="7">
        <f t="shared" si="32"/>
        <v>4.5722880000000004</v>
      </c>
      <c r="O81" s="7">
        <f t="shared" si="43"/>
        <v>6.5745317647058839</v>
      </c>
      <c r="P81" s="7">
        <f t="shared" si="33"/>
        <v>3.2656587473002161</v>
      </c>
      <c r="Q81" s="7">
        <f t="shared" si="34"/>
        <v>50.400000000000006</v>
      </c>
      <c r="R81" s="7">
        <f t="shared" si="35"/>
        <v>432</v>
      </c>
      <c r="S81" s="7">
        <f t="shared" si="36"/>
        <v>250.55999999999997</v>
      </c>
      <c r="T81" s="7">
        <f t="shared" si="37"/>
        <v>51.839999999999996</v>
      </c>
      <c r="U81" s="7">
        <f>I81*E81/'[1]Inverter Analysis'!$L$2</f>
        <v>260.87120031692422</v>
      </c>
      <c r="V81" s="7">
        <f t="shared" si="38"/>
        <v>264.55026455026456</v>
      </c>
      <c r="W81" s="7">
        <f t="shared" si="39"/>
        <v>319.28480204342276</v>
      </c>
      <c r="X81" s="7">
        <f t="shared" si="40"/>
        <v>176.3668430335097</v>
      </c>
      <c r="Y81" s="7">
        <f t="shared" si="41"/>
        <v>0.81554227852726124</v>
      </c>
      <c r="Z81" s="7">
        <f t="shared" si="42"/>
        <v>1.8274956911999996</v>
      </c>
    </row>
    <row r="82" spans="1:26" s="7" customFormat="1" hidden="1">
      <c r="A82" s="7">
        <v>13</v>
      </c>
      <c r="B82" s="7">
        <v>3</v>
      </c>
      <c r="C82" s="13">
        <v>11</v>
      </c>
      <c r="D82" s="7">
        <f t="shared" si="22"/>
        <v>300</v>
      </c>
      <c r="E82" s="7">
        <f t="shared" si="23"/>
        <v>180</v>
      </c>
      <c r="F82" s="7">
        <f>A82*B82*C82*$Q$3/1000</f>
        <v>29.600999999999999</v>
      </c>
      <c r="G82" s="7">
        <f t="shared" si="25"/>
        <v>0.3813333333333333</v>
      </c>
      <c r="H82" s="7">
        <f t="shared" si="26"/>
        <v>108.108</v>
      </c>
      <c r="I82" s="7">
        <f t="shared" si="27"/>
        <v>600.6</v>
      </c>
      <c r="J82" s="7">
        <f t="shared" si="28"/>
        <v>400.4</v>
      </c>
      <c r="K82" s="7">
        <f t="shared" si="29"/>
        <v>72.072000000000003</v>
      </c>
      <c r="L82" s="7">
        <f t="shared" si="30"/>
        <v>7.5675599999999994</v>
      </c>
      <c r="M82" s="7">
        <f t="shared" si="31"/>
        <v>7.9279200000000012</v>
      </c>
      <c r="N82" s="7">
        <f t="shared" si="32"/>
        <v>4.5405360000000003</v>
      </c>
      <c r="O82" s="7">
        <f t="shared" si="43"/>
        <v>6.5288752941176487</v>
      </c>
      <c r="P82" s="7">
        <f t="shared" si="33"/>
        <v>2.6533477321814254</v>
      </c>
      <c r="Q82" s="7">
        <f t="shared" si="34"/>
        <v>54.6</v>
      </c>
      <c r="R82" s="7">
        <f t="shared" si="35"/>
        <v>429</v>
      </c>
      <c r="S82" s="7">
        <f t="shared" si="36"/>
        <v>331.76</v>
      </c>
      <c r="T82" s="7">
        <f t="shared" si="37"/>
        <v>68.64</v>
      </c>
      <c r="U82" s="7">
        <f>I82*E82/'[1]Inverter Analysis'!$L$2</f>
        <v>259.05959475916785</v>
      </c>
      <c r="V82" s="7">
        <f t="shared" si="38"/>
        <v>199.80019980019981</v>
      </c>
      <c r="W82" s="7">
        <f t="shared" si="39"/>
        <v>241.13817217265495</v>
      </c>
      <c r="X82" s="7">
        <f t="shared" si="40"/>
        <v>133.20013320013319</v>
      </c>
      <c r="Y82" s="7">
        <f t="shared" si="41"/>
        <v>0.46518094463015186</v>
      </c>
      <c r="Z82" s="7">
        <f t="shared" si="42"/>
        <v>3.1816651500562494</v>
      </c>
    </row>
    <row r="83" spans="1:26" hidden="1">
      <c r="A83">
        <v>15</v>
      </c>
      <c r="B83">
        <v>4</v>
      </c>
      <c r="C83" s="12">
        <v>7</v>
      </c>
      <c r="D83">
        <f t="shared" si="22"/>
        <v>400</v>
      </c>
      <c r="E83">
        <f t="shared" si="23"/>
        <v>240</v>
      </c>
      <c r="F83">
        <f t="shared" si="24"/>
        <v>28.98</v>
      </c>
      <c r="G83">
        <f t="shared" si="25"/>
        <v>0.21</v>
      </c>
      <c r="H83">
        <f t="shared" si="26"/>
        <v>105.84</v>
      </c>
      <c r="I83">
        <f t="shared" si="27"/>
        <v>441</v>
      </c>
      <c r="J83">
        <f t="shared" si="28"/>
        <v>294</v>
      </c>
      <c r="K83">
        <f t="shared" si="29"/>
        <v>70.56</v>
      </c>
      <c r="L83">
        <f t="shared" si="30"/>
        <v>7.4088000000000003</v>
      </c>
      <c r="M83">
        <f t="shared" si="31"/>
        <v>7.7616000000000005</v>
      </c>
      <c r="N83">
        <f t="shared" si="32"/>
        <v>4.4452799999999995</v>
      </c>
      <c r="O83">
        <f t="shared" si="43"/>
        <v>6.3919058823529422</v>
      </c>
      <c r="P83">
        <f t="shared" si="33"/>
        <v>4.0820734341252694</v>
      </c>
      <c r="Q83">
        <f t="shared" si="34"/>
        <v>63</v>
      </c>
      <c r="R83">
        <f t="shared" si="35"/>
        <v>420</v>
      </c>
      <c r="S83">
        <f t="shared" si="36"/>
        <v>243.6</v>
      </c>
      <c r="T83">
        <f t="shared" si="37"/>
        <v>50.4</v>
      </c>
      <c r="U83">
        <f>I83*E83/'[1]Inverter Analysis'!$L$2</f>
        <v>253.62477808589858</v>
      </c>
      <c r="V83">
        <f t="shared" si="38"/>
        <v>272.10884353741494</v>
      </c>
      <c r="W83">
        <f t="shared" si="39"/>
        <v>328.40722495894909</v>
      </c>
      <c r="X83">
        <f t="shared" si="40"/>
        <v>181.40589569160997</v>
      </c>
      <c r="Y83">
        <f t="shared" si="41"/>
        <v>0.86281044324190226</v>
      </c>
      <c r="Z83">
        <f t="shared" si="42"/>
        <v>1.6793955281250004</v>
      </c>
    </row>
    <row r="84" spans="1:26" s="6" customFormat="1" hidden="1">
      <c r="A84" s="6">
        <v>14</v>
      </c>
      <c r="B84" s="6">
        <v>3</v>
      </c>
      <c r="C84" s="14">
        <v>10</v>
      </c>
      <c r="D84" s="6">
        <f t="shared" si="22"/>
        <v>300</v>
      </c>
      <c r="E84" s="6">
        <f t="shared" si="23"/>
        <v>180</v>
      </c>
      <c r="F84" s="6">
        <f t="shared" si="24"/>
        <v>28.98</v>
      </c>
      <c r="G84" s="6">
        <f t="shared" si="25"/>
        <v>0.37333333333333329</v>
      </c>
      <c r="H84" s="6">
        <f t="shared" si="26"/>
        <v>105.84</v>
      </c>
      <c r="I84" s="6">
        <f t="shared" si="27"/>
        <v>588</v>
      </c>
      <c r="J84" s="6">
        <f t="shared" si="28"/>
        <v>392</v>
      </c>
      <c r="K84" s="6">
        <f t="shared" si="29"/>
        <v>70.56</v>
      </c>
      <c r="L84" s="6">
        <f t="shared" si="30"/>
        <v>7.4087999999999994</v>
      </c>
      <c r="M84" s="6">
        <f t="shared" si="31"/>
        <v>7.7616000000000005</v>
      </c>
      <c r="N84" s="6">
        <f t="shared" si="32"/>
        <v>4.4452799999999995</v>
      </c>
      <c r="O84" s="6">
        <f t="shared" si="43"/>
        <v>6.3919058823529422</v>
      </c>
      <c r="P84" s="6">
        <f t="shared" si="33"/>
        <v>2.8574514038876888</v>
      </c>
      <c r="Q84" s="6">
        <f t="shared" si="34"/>
        <v>58.8</v>
      </c>
      <c r="R84" s="6">
        <f t="shared" si="35"/>
        <v>420</v>
      </c>
      <c r="S84" s="6">
        <f t="shared" si="36"/>
        <v>324.8</v>
      </c>
      <c r="T84" s="6">
        <f t="shared" si="37"/>
        <v>67.199999999999989</v>
      </c>
      <c r="U84" s="6">
        <f>I84*E84/'[1]Inverter Analysis'!$L$2</f>
        <v>253.62477808589858</v>
      </c>
      <c r="V84" s="6">
        <f t="shared" si="38"/>
        <v>204.08163265306123</v>
      </c>
      <c r="W84" s="6">
        <f t="shared" si="39"/>
        <v>246.30541871921181</v>
      </c>
      <c r="X84" s="6">
        <f t="shared" si="40"/>
        <v>136.05442176870747</v>
      </c>
      <c r="Y84" s="6">
        <f t="shared" si="41"/>
        <v>0.48533087432357008</v>
      </c>
      <c r="Z84" s="6">
        <f t="shared" si="42"/>
        <v>2.9855920500000006</v>
      </c>
    </row>
    <row r="85" spans="1:26" hidden="1">
      <c r="A85">
        <v>13</v>
      </c>
      <c r="B85">
        <v>4</v>
      </c>
      <c r="C85" s="12">
        <v>8</v>
      </c>
      <c r="D85">
        <f t="shared" si="22"/>
        <v>400</v>
      </c>
      <c r="E85">
        <f t="shared" si="23"/>
        <v>240</v>
      </c>
      <c r="F85">
        <f t="shared" si="24"/>
        <v>28.704000000000001</v>
      </c>
      <c r="G85">
        <f t="shared" si="25"/>
        <v>0.20800000000000002</v>
      </c>
      <c r="H85">
        <f t="shared" si="26"/>
        <v>104.83199999999999</v>
      </c>
      <c r="I85">
        <f t="shared" si="27"/>
        <v>436.8</v>
      </c>
      <c r="J85">
        <f t="shared" si="28"/>
        <v>291.2</v>
      </c>
      <c r="K85">
        <f t="shared" si="29"/>
        <v>69.888000000000005</v>
      </c>
      <c r="L85">
        <f t="shared" si="30"/>
        <v>7.3382400000000008</v>
      </c>
      <c r="M85">
        <f t="shared" si="31"/>
        <v>7.6876800000000012</v>
      </c>
      <c r="N85">
        <f t="shared" si="32"/>
        <v>4.4029440000000006</v>
      </c>
      <c r="O85">
        <f t="shared" si="43"/>
        <v>6.3310305882352953</v>
      </c>
      <c r="P85">
        <f t="shared" si="33"/>
        <v>3.5377969762419008</v>
      </c>
      <c r="Q85">
        <f t="shared" si="34"/>
        <v>54.6</v>
      </c>
      <c r="R85">
        <f t="shared" si="35"/>
        <v>416</v>
      </c>
      <c r="S85">
        <f t="shared" si="36"/>
        <v>241.27999999999997</v>
      </c>
      <c r="T85">
        <f t="shared" si="37"/>
        <v>49.92</v>
      </c>
      <c r="U85">
        <f>I85*E85/'[1]Inverter Analysis'!$L$2</f>
        <v>251.20930400889</v>
      </c>
      <c r="V85">
        <f t="shared" si="38"/>
        <v>274.72527472527474</v>
      </c>
      <c r="W85">
        <f t="shared" si="39"/>
        <v>331.56498673740055</v>
      </c>
      <c r="X85">
        <f t="shared" si="40"/>
        <v>183.15018315018315</v>
      </c>
      <c r="Y85">
        <f t="shared" si="41"/>
        <v>0.87948272344138079</v>
      </c>
      <c r="Z85">
        <f t="shared" si="42"/>
        <v>1.6318683264</v>
      </c>
    </row>
    <row r="86" spans="1:26" hidden="1">
      <c r="A86">
        <v>15</v>
      </c>
      <c r="B86">
        <v>3</v>
      </c>
      <c r="C86" s="12">
        <v>9</v>
      </c>
      <c r="D86">
        <f t="shared" si="22"/>
        <v>300</v>
      </c>
      <c r="E86">
        <f t="shared" si="23"/>
        <v>180</v>
      </c>
      <c r="F86">
        <f t="shared" si="24"/>
        <v>27.945</v>
      </c>
      <c r="G86">
        <f t="shared" si="25"/>
        <v>0.36</v>
      </c>
      <c r="H86">
        <f t="shared" si="26"/>
        <v>102.06</v>
      </c>
      <c r="I86">
        <f t="shared" si="27"/>
        <v>567</v>
      </c>
      <c r="J86">
        <f t="shared" si="28"/>
        <v>378</v>
      </c>
      <c r="K86">
        <f t="shared" si="29"/>
        <v>68.040000000000006</v>
      </c>
      <c r="L86">
        <f t="shared" si="30"/>
        <v>7.1442000000000005</v>
      </c>
      <c r="M86">
        <f t="shared" si="31"/>
        <v>7.4844000000000008</v>
      </c>
      <c r="N86">
        <f t="shared" si="32"/>
        <v>4.2865199999999994</v>
      </c>
      <c r="O86">
        <f t="shared" si="43"/>
        <v>6.1636235294117663</v>
      </c>
      <c r="P86">
        <f t="shared" si="33"/>
        <v>3.0615550755939527</v>
      </c>
      <c r="Q86">
        <f t="shared" si="34"/>
        <v>63</v>
      </c>
      <c r="R86">
        <f t="shared" si="35"/>
        <v>405</v>
      </c>
      <c r="S86">
        <f t="shared" si="36"/>
        <v>313.2</v>
      </c>
      <c r="T86">
        <f t="shared" si="37"/>
        <v>64.8</v>
      </c>
      <c r="U86">
        <f>I86*E86/'[1]Inverter Analysis'!$L$2</f>
        <v>244.56675029711647</v>
      </c>
      <c r="V86">
        <f t="shared" si="38"/>
        <v>211.64021164021165</v>
      </c>
      <c r="W86">
        <f t="shared" si="39"/>
        <v>255.4278416347382</v>
      </c>
      <c r="X86">
        <f t="shared" si="40"/>
        <v>141.09347442680777</v>
      </c>
      <c r="Y86">
        <f t="shared" si="41"/>
        <v>0.52194705825744725</v>
      </c>
      <c r="Z86">
        <f t="shared" si="42"/>
        <v>2.6769956414062497</v>
      </c>
    </row>
    <row r="87" spans="1:26" hidden="1">
      <c r="A87">
        <v>10</v>
      </c>
      <c r="B87">
        <v>4</v>
      </c>
      <c r="C87" s="12">
        <v>10</v>
      </c>
      <c r="D87">
        <f t="shared" si="22"/>
        <v>400</v>
      </c>
      <c r="E87">
        <f t="shared" si="23"/>
        <v>240</v>
      </c>
      <c r="F87">
        <f t="shared" si="24"/>
        <v>27.6</v>
      </c>
      <c r="G87">
        <f t="shared" si="25"/>
        <v>0.2</v>
      </c>
      <c r="H87">
        <f t="shared" si="26"/>
        <v>100.8</v>
      </c>
      <c r="I87">
        <f t="shared" si="27"/>
        <v>420</v>
      </c>
      <c r="J87">
        <f t="shared" si="28"/>
        <v>280</v>
      </c>
      <c r="K87">
        <f t="shared" si="29"/>
        <v>67.2</v>
      </c>
      <c r="L87">
        <f t="shared" si="30"/>
        <v>7.056</v>
      </c>
      <c r="M87">
        <f t="shared" si="31"/>
        <v>7.3920000000000012</v>
      </c>
      <c r="N87">
        <f t="shared" si="32"/>
        <v>4.2336</v>
      </c>
      <c r="O87">
        <f t="shared" si="43"/>
        <v>6.0875294117647076</v>
      </c>
      <c r="P87">
        <f t="shared" si="33"/>
        <v>2.7213822894168467</v>
      </c>
      <c r="Q87">
        <f t="shared" si="34"/>
        <v>42</v>
      </c>
      <c r="R87">
        <f t="shared" si="35"/>
        <v>400</v>
      </c>
      <c r="S87">
        <f t="shared" si="36"/>
        <v>232</v>
      </c>
      <c r="T87">
        <f t="shared" si="37"/>
        <v>48</v>
      </c>
      <c r="U87">
        <f>I87*E87/'[1]Inverter Analysis'!$L$2</f>
        <v>241.54740770085579</v>
      </c>
      <c r="V87">
        <f t="shared" si="38"/>
        <v>285.71428571428572</v>
      </c>
      <c r="W87">
        <f t="shared" si="39"/>
        <v>344.82758620689657</v>
      </c>
      <c r="X87">
        <f t="shared" si="40"/>
        <v>190.47619047619048</v>
      </c>
      <c r="Y87">
        <f t="shared" si="41"/>
        <v>0.95124851367419749</v>
      </c>
      <c r="Z87">
        <f t="shared" si="42"/>
        <v>1.4507249999999998</v>
      </c>
    </row>
    <row r="88" spans="1:26" hidden="1">
      <c r="A88">
        <v>11</v>
      </c>
      <c r="B88">
        <v>3</v>
      </c>
      <c r="C88">
        <v>12</v>
      </c>
      <c r="D88">
        <f t="shared" si="22"/>
        <v>300</v>
      </c>
      <c r="E88">
        <f t="shared" si="23"/>
        <v>180</v>
      </c>
      <c r="F88">
        <f t="shared" si="24"/>
        <v>27.324000000000002</v>
      </c>
      <c r="G88">
        <f t="shared" si="25"/>
        <v>0.35199999999999998</v>
      </c>
      <c r="H88">
        <f t="shared" si="26"/>
        <v>99.792000000000002</v>
      </c>
      <c r="I88">
        <f t="shared" si="27"/>
        <v>554.4</v>
      </c>
      <c r="J88">
        <f t="shared" si="28"/>
        <v>369.59999999999997</v>
      </c>
      <c r="K88">
        <f t="shared" si="29"/>
        <v>66.528000000000006</v>
      </c>
      <c r="L88">
        <f t="shared" si="30"/>
        <v>6.9854400000000005</v>
      </c>
      <c r="M88">
        <f t="shared" si="31"/>
        <v>7.3180800000000001</v>
      </c>
      <c r="N88">
        <f t="shared" si="32"/>
        <v>4.1912640000000003</v>
      </c>
      <c r="O88">
        <f t="shared" si="43"/>
        <v>6.0266541176470598</v>
      </c>
      <c r="P88">
        <f t="shared" si="33"/>
        <v>2.2451403887688985</v>
      </c>
      <c r="Q88">
        <f t="shared" si="34"/>
        <v>46.199999999999996</v>
      </c>
      <c r="R88">
        <f t="shared" si="35"/>
        <v>396</v>
      </c>
      <c r="S88">
        <f t="shared" si="36"/>
        <v>306.23999999999995</v>
      </c>
      <c r="T88">
        <f t="shared" si="37"/>
        <v>63.36</v>
      </c>
      <c r="U88">
        <f>I88*E88/'[1]Inverter Analysis'!$L$2</f>
        <v>239.13193362384723</v>
      </c>
      <c r="V88">
        <f t="shared" si="38"/>
        <v>216.45021645021646</v>
      </c>
      <c r="W88">
        <f t="shared" si="39"/>
        <v>261.23301985370955</v>
      </c>
      <c r="X88">
        <f t="shared" si="40"/>
        <v>144.3001443001443</v>
      </c>
      <c r="Y88">
        <f t="shared" si="41"/>
        <v>0.54594152529510898</v>
      </c>
      <c r="Z88">
        <f t="shared" si="42"/>
        <v>2.5024658075999988</v>
      </c>
    </row>
    <row r="89" spans="1:26" hidden="1">
      <c r="A89">
        <v>12</v>
      </c>
      <c r="B89">
        <v>3</v>
      </c>
      <c r="C89" s="12">
        <v>11</v>
      </c>
      <c r="D89">
        <f t="shared" si="22"/>
        <v>300</v>
      </c>
      <c r="E89">
        <f t="shared" si="23"/>
        <v>180</v>
      </c>
      <c r="F89">
        <f t="shared" si="24"/>
        <v>27.324000000000002</v>
      </c>
      <c r="G89">
        <f t="shared" si="25"/>
        <v>0.35199999999999998</v>
      </c>
      <c r="H89">
        <f t="shared" si="26"/>
        <v>99.792000000000002</v>
      </c>
      <c r="I89">
        <f t="shared" si="27"/>
        <v>554.4</v>
      </c>
      <c r="J89">
        <f t="shared" si="28"/>
        <v>369.59999999999997</v>
      </c>
      <c r="K89">
        <f t="shared" si="29"/>
        <v>66.528000000000006</v>
      </c>
      <c r="L89">
        <f t="shared" si="30"/>
        <v>6.9854400000000005</v>
      </c>
      <c r="M89">
        <f t="shared" si="31"/>
        <v>7.3180800000000001</v>
      </c>
      <c r="N89">
        <f t="shared" si="32"/>
        <v>4.1912640000000003</v>
      </c>
      <c r="O89">
        <f t="shared" si="43"/>
        <v>6.0266541176470598</v>
      </c>
      <c r="P89">
        <f t="shared" si="33"/>
        <v>2.449244060475162</v>
      </c>
      <c r="Q89">
        <f t="shared" si="34"/>
        <v>50.4</v>
      </c>
      <c r="R89">
        <f t="shared" si="35"/>
        <v>396</v>
      </c>
      <c r="S89">
        <f t="shared" si="36"/>
        <v>306.23999999999995</v>
      </c>
      <c r="T89">
        <f t="shared" si="37"/>
        <v>63.36</v>
      </c>
      <c r="U89">
        <f>I89*E89/'[1]Inverter Analysis'!$L$2</f>
        <v>239.13193362384723</v>
      </c>
      <c r="V89">
        <f t="shared" si="38"/>
        <v>216.45021645021646</v>
      </c>
      <c r="W89">
        <f t="shared" si="39"/>
        <v>261.23301985370955</v>
      </c>
      <c r="X89">
        <f t="shared" si="40"/>
        <v>144.3001443001443</v>
      </c>
      <c r="Y89">
        <f t="shared" si="41"/>
        <v>0.54594152529510898</v>
      </c>
      <c r="Z89">
        <f t="shared" si="42"/>
        <v>2.5024658075999988</v>
      </c>
    </row>
    <row r="90" spans="1:26" s="7" customFormat="1" hidden="1">
      <c r="A90">
        <v>11</v>
      </c>
      <c r="B90">
        <v>4</v>
      </c>
      <c r="C90" s="12">
        <v>9</v>
      </c>
      <c r="D90">
        <f t="shared" si="22"/>
        <v>400</v>
      </c>
      <c r="E90">
        <f t="shared" si="23"/>
        <v>240</v>
      </c>
      <c r="F90">
        <f t="shared" si="24"/>
        <v>27.324000000000002</v>
      </c>
      <c r="G90">
        <f t="shared" si="25"/>
        <v>0.19799999999999998</v>
      </c>
      <c r="H90">
        <f t="shared" si="26"/>
        <v>99.792000000000002</v>
      </c>
      <c r="I90">
        <f t="shared" si="27"/>
        <v>415.8</v>
      </c>
      <c r="J90">
        <f t="shared" si="28"/>
        <v>277.2</v>
      </c>
      <c r="K90">
        <f t="shared" si="29"/>
        <v>66.528000000000006</v>
      </c>
      <c r="L90">
        <f t="shared" si="30"/>
        <v>6.9854400000000005</v>
      </c>
      <c r="M90">
        <f t="shared" si="31"/>
        <v>7.318080000000001</v>
      </c>
      <c r="N90">
        <f t="shared" si="32"/>
        <v>4.1912640000000003</v>
      </c>
      <c r="O90">
        <f t="shared" si="43"/>
        <v>6.0266541176470598</v>
      </c>
      <c r="P90">
        <f t="shared" si="33"/>
        <v>2.9935205183585314</v>
      </c>
      <c r="Q90">
        <f t="shared" si="34"/>
        <v>46.2</v>
      </c>
      <c r="R90">
        <f t="shared" si="35"/>
        <v>396</v>
      </c>
      <c r="S90">
        <f t="shared" si="36"/>
        <v>229.68</v>
      </c>
      <c r="T90">
        <f t="shared" si="37"/>
        <v>47.519999999999996</v>
      </c>
      <c r="U90">
        <f>I90*E90/'[1]Inverter Analysis'!$L$2</f>
        <v>239.13193362384723</v>
      </c>
      <c r="V90">
        <f t="shared" si="38"/>
        <v>288.60028860028859</v>
      </c>
      <c r="W90">
        <f t="shared" si="39"/>
        <v>348.31069313827936</v>
      </c>
      <c r="X90">
        <f t="shared" si="40"/>
        <v>192.4001924001924</v>
      </c>
      <c r="Y90">
        <f t="shared" si="41"/>
        <v>0.97056271163574892</v>
      </c>
      <c r="Z90">
        <f t="shared" si="42"/>
        <v>1.4076370167749999</v>
      </c>
    </row>
    <row r="91" spans="1:26">
      <c r="A91">
        <v>14</v>
      </c>
      <c r="B91">
        <v>4</v>
      </c>
      <c r="C91" s="12">
        <v>7</v>
      </c>
      <c r="D91">
        <f t="shared" si="22"/>
        <v>400</v>
      </c>
      <c r="E91">
        <f t="shared" si="23"/>
        <v>240</v>
      </c>
      <c r="F91">
        <f t="shared" si="24"/>
        <v>27.047999999999998</v>
      </c>
      <c r="G91">
        <f t="shared" si="25"/>
        <v>0.19600000000000001</v>
      </c>
      <c r="H91">
        <f t="shared" si="26"/>
        <v>98.784000000000006</v>
      </c>
      <c r="I91">
        <f t="shared" si="27"/>
        <v>411.6</v>
      </c>
      <c r="J91">
        <f t="shared" si="28"/>
        <v>274.39999999999998</v>
      </c>
      <c r="K91">
        <f t="shared" si="29"/>
        <v>65.855999999999995</v>
      </c>
      <c r="L91">
        <f t="shared" si="30"/>
        <v>6.914880000000001</v>
      </c>
      <c r="M91">
        <f t="shared" si="31"/>
        <v>7.2441600000000008</v>
      </c>
      <c r="N91">
        <f t="shared" si="32"/>
        <v>4.1489279999999997</v>
      </c>
      <c r="O91">
        <f t="shared" si="43"/>
        <v>5.9657788235294129</v>
      </c>
      <c r="P91">
        <f t="shared" si="33"/>
        <v>3.8099352051835851</v>
      </c>
      <c r="Q91">
        <f t="shared" si="34"/>
        <v>58.800000000000004</v>
      </c>
      <c r="R91">
        <f t="shared" si="35"/>
        <v>392</v>
      </c>
      <c r="S91">
        <f t="shared" si="36"/>
        <v>227.35999999999999</v>
      </c>
      <c r="T91">
        <f t="shared" si="37"/>
        <v>47.04</v>
      </c>
      <c r="U91">
        <f>I91*E91/'[1]Inverter Analysis'!$L$2</f>
        <v>236.71645954683868</v>
      </c>
      <c r="V91">
        <f t="shared" si="38"/>
        <v>291.54518950437318</v>
      </c>
      <c r="W91">
        <f t="shared" si="39"/>
        <v>351.86488388458832</v>
      </c>
      <c r="X91">
        <f t="shared" si="40"/>
        <v>194.36345966958211</v>
      </c>
      <c r="Y91">
        <f t="shared" si="41"/>
        <v>0.99047117208891855</v>
      </c>
      <c r="Z91">
        <f t="shared" si="42"/>
        <v>1.3654107641999995</v>
      </c>
    </row>
    <row r="92" spans="1:26" hidden="1">
      <c r="A92">
        <v>13</v>
      </c>
      <c r="B92">
        <v>3</v>
      </c>
      <c r="C92" s="12">
        <v>10</v>
      </c>
      <c r="D92">
        <f t="shared" si="22"/>
        <v>300</v>
      </c>
      <c r="E92">
        <f t="shared" si="23"/>
        <v>180</v>
      </c>
      <c r="F92">
        <f t="shared" si="24"/>
        <v>26.91</v>
      </c>
      <c r="G92">
        <f t="shared" si="25"/>
        <v>0.34666666666666668</v>
      </c>
      <c r="H92">
        <f t="shared" si="26"/>
        <v>98.28</v>
      </c>
      <c r="I92">
        <f t="shared" si="27"/>
        <v>546</v>
      </c>
      <c r="J92">
        <f t="shared" si="28"/>
        <v>364</v>
      </c>
      <c r="K92">
        <f t="shared" si="29"/>
        <v>65.52</v>
      </c>
      <c r="L92">
        <f t="shared" si="30"/>
        <v>6.8795999999999999</v>
      </c>
      <c r="M92">
        <f t="shared" si="31"/>
        <v>7.2072000000000012</v>
      </c>
      <c r="N92">
        <f t="shared" si="32"/>
        <v>4.1277600000000003</v>
      </c>
      <c r="O92">
        <f t="shared" si="43"/>
        <v>5.9353411764705895</v>
      </c>
      <c r="P92">
        <f t="shared" si="33"/>
        <v>2.6533477321814254</v>
      </c>
      <c r="Q92">
        <f t="shared" si="34"/>
        <v>54.6</v>
      </c>
      <c r="R92">
        <f t="shared" si="35"/>
        <v>390</v>
      </c>
      <c r="S92">
        <f t="shared" si="36"/>
        <v>301.60000000000002</v>
      </c>
      <c r="T92">
        <f t="shared" si="37"/>
        <v>62.400000000000006</v>
      </c>
      <c r="U92">
        <f>I92*E92/'[1]Inverter Analysis'!$L$2</f>
        <v>235.50872250833439</v>
      </c>
      <c r="V92">
        <f t="shared" si="38"/>
        <v>219.78021978021977</v>
      </c>
      <c r="W92">
        <f t="shared" si="39"/>
        <v>265.25198938992042</v>
      </c>
      <c r="X92">
        <f t="shared" si="40"/>
        <v>146.52014652014651</v>
      </c>
      <c r="Y92">
        <f t="shared" si="41"/>
        <v>0.56286894300248369</v>
      </c>
      <c r="Z92">
        <f t="shared" si="42"/>
        <v>2.3904321187500002</v>
      </c>
    </row>
    <row r="93" spans="1:26">
      <c r="A93">
        <v>12</v>
      </c>
      <c r="B93">
        <v>4</v>
      </c>
      <c r="C93" s="12">
        <v>8</v>
      </c>
      <c r="D93">
        <f t="shared" si="22"/>
        <v>400</v>
      </c>
      <c r="E93">
        <f t="shared" si="23"/>
        <v>240</v>
      </c>
      <c r="F93">
        <f t="shared" si="24"/>
        <v>26.495999999999999</v>
      </c>
      <c r="G93">
        <f t="shared" si="25"/>
        <v>0.192</v>
      </c>
      <c r="H93">
        <f t="shared" si="26"/>
        <v>96.768000000000015</v>
      </c>
      <c r="I93">
        <f t="shared" si="27"/>
        <v>403.20000000000005</v>
      </c>
      <c r="J93">
        <f t="shared" si="28"/>
        <v>268.79999999999995</v>
      </c>
      <c r="K93">
        <f t="shared" si="29"/>
        <v>64.511999999999986</v>
      </c>
      <c r="L93">
        <f t="shared" si="30"/>
        <v>6.7737600000000011</v>
      </c>
      <c r="M93">
        <f t="shared" si="31"/>
        <v>7.0963200000000013</v>
      </c>
      <c r="N93">
        <f t="shared" si="32"/>
        <v>4.0642560000000003</v>
      </c>
      <c r="O93">
        <f t="shared" si="43"/>
        <v>5.8440282352941191</v>
      </c>
      <c r="P93">
        <f t="shared" si="33"/>
        <v>3.2656587473002161</v>
      </c>
      <c r="Q93">
        <f t="shared" si="34"/>
        <v>50.400000000000006</v>
      </c>
      <c r="R93">
        <f t="shared" si="35"/>
        <v>384</v>
      </c>
      <c r="S93">
        <f t="shared" si="36"/>
        <v>222.71999999999997</v>
      </c>
      <c r="T93">
        <f t="shared" si="37"/>
        <v>46.08</v>
      </c>
      <c r="U93">
        <f>I93*E93/'[1]Inverter Analysis'!$L$2</f>
        <v>231.8855113928216</v>
      </c>
      <c r="V93">
        <f t="shared" si="38"/>
        <v>297.61904761904765</v>
      </c>
      <c r="W93">
        <f t="shared" si="39"/>
        <v>359.19540229885064</v>
      </c>
      <c r="X93">
        <f t="shared" si="40"/>
        <v>198.4126984126984</v>
      </c>
      <c r="Y93">
        <f t="shared" si="41"/>
        <v>1.0321706962610651</v>
      </c>
      <c r="Z93">
        <f t="shared" si="42"/>
        <v>1.2835086335999994</v>
      </c>
    </row>
    <row r="94" spans="1:26">
      <c r="A94">
        <v>16</v>
      </c>
      <c r="B94">
        <v>4</v>
      </c>
      <c r="C94">
        <v>6</v>
      </c>
      <c r="D94">
        <f t="shared" si="22"/>
        <v>400</v>
      </c>
      <c r="E94">
        <f t="shared" si="23"/>
        <v>240</v>
      </c>
      <c r="F94">
        <f t="shared" si="24"/>
        <v>26.495999999999999</v>
      </c>
      <c r="G94">
        <f t="shared" si="25"/>
        <v>0.192</v>
      </c>
      <c r="H94">
        <f t="shared" si="26"/>
        <v>96.768000000000015</v>
      </c>
      <c r="I94">
        <f t="shared" si="27"/>
        <v>403.20000000000005</v>
      </c>
      <c r="J94">
        <f t="shared" si="28"/>
        <v>268.79999999999995</v>
      </c>
      <c r="K94">
        <f t="shared" si="29"/>
        <v>64.511999999999986</v>
      </c>
      <c r="L94">
        <f t="shared" si="30"/>
        <v>6.7737600000000011</v>
      </c>
      <c r="M94">
        <f t="shared" si="31"/>
        <v>7.0963200000000013</v>
      </c>
      <c r="N94">
        <f t="shared" si="32"/>
        <v>4.0642560000000003</v>
      </c>
      <c r="O94">
        <f t="shared" si="43"/>
        <v>5.8440282352941191</v>
      </c>
      <c r="P94">
        <f t="shared" si="33"/>
        <v>4.3542116630669545</v>
      </c>
      <c r="Q94">
        <f t="shared" si="34"/>
        <v>67.2</v>
      </c>
      <c r="R94">
        <f t="shared" si="35"/>
        <v>384</v>
      </c>
      <c r="S94">
        <f t="shared" si="36"/>
        <v>222.71999999999997</v>
      </c>
      <c r="T94">
        <f t="shared" si="37"/>
        <v>46.08</v>
      </c>
      <c r="U94">
        <f>I94*E94/'[1]Inverter Analysis'!$L$2</f>
        <v>231.8855113928216</v>
      </c>
      <c r="V94">
        <f t="shared" si="38"/>
        <v>297.61904761904765</v>
      </c>
      <c r="W94">
        <f t="shared" si="39"/>
        <v>359.19540229885064</v>
      </c>
      <c r="X94">
        <f t="shared" si="40"/>
        <v>198.4126984126984</v>
      </c>
      <c r="Y94">
        <f t="shared" si="41"/>
        <v>1.0321706962610651</v>
      </c>
      <c r="Z94">
        <f t="shared" si="42"/>
        <v>1.2835086335999994</v>
      </c>
    </row>
    <row r="95" spans="1:26" hidden="1">
      <c r="A95">
        <v>16</v>
      </c>
      <c r="B95">
        <v>3</v>
      </c>
      <c r="C95" s="12">
        <v>8</v>
      </c>
      <c r="D95">
        <f t="shared" si="22"/>
        <v>300</v>
      </c>
      <c r="E95">
        <f t="shared" si="23"/>
        <v>180</v>
      </c>
      <c r="F95">
        <f t="shared" si="24"/>
        <v>26.495999999999999</v>
      </c>
      <c r="G95">
        <f t="shared" si="25"/>
        <v>0.34133333333333332</v>
      </c>
      <c r="H95">
        <f t="shared" si="26"/>
        <v>96.768000000000001</v>
      </c>
      <c r="I95">
        <f t="shared" si="27"/>
        <v>537.6</v>
      </c>
      <c r="J95">
        <f t="shared" si="28"/>
        <v>358.4</v>
      </c>
      <c r="K95">
        <f t="shared" si="29"/>
        <v>64.511999999999986</v>
      </c>
      <c r="L95">
        <f t="shared" si="30"/>
        <v>6.7737600000000002</v>
      </c>
      <c r="M95">
        <f t="shared" si="31"/>
        <v>7.0963200000000013</v>
      </c>
      <c r="N95">
        <f t="shared" si="32"/>
        <v>4.0642560000000003</v>
      </c>
      <c r="O95">
        <f t="shared" si="43"/>
        <v>5.8440282352941191</v>
      </c>
      <c r="P95">
        <f t="shared" si="33"/>
        <v>3.2656587473002161</v>
      </c>
      <c r="Q95">
        <f t="shared" si="34"/>
        <v>67.2</v>
      </c>
      <c r="R95">
        <f t="shared" si="35"/>
        <v>384</v>
      </c>
      <c r="S95">
        <f t="shared" si="36"/>
        <v>296.95999999999998</v>
      </c>
      <c r="T95">
        <f t="shared" si="37"/>
        <v>61.44</v>
      </c>
      <c r="U95">
        <f>I95*E95/'[1]Inverter Analysis'!$L$2</f>
        <v>231.88551139282154</v>
      </c>
      <c r="V95">
        <f t="shared" si="38"/>
        <v>223.21428571428572</v>
      </c>
      <c r="W95">
        <f t="shared" si="39"/>
        <v>269.39655172413796</v>
      </c>
      <c r="X95">
        <f t="shared" si="40"/>
        <v>148.8095238095238</v>
      </c>
      <c r="Y95">
        <f t="shared" si="41"/>
        <v>0.58059601664684912</v>
      </c>
      <c r="Z95">
        <f t="shared" si="42"/>
        <v>2.2817931263999993</v>
      </c>
    </row>
    <row r="96" spans="1:26" hidden="1">
      <c r="A96">
        <v>14</v>
      </c>
      <c r="B96">
        <v>3</v>
      </c>
      <c r="C96" s="12">
        <v>9</v>
      </c>
      <c r="D96">
        <f t="shared" si="22"/>
        <v>300</v>
      </c>
      <c r="E96">
        <f t="shared" si="23"/>
        <v>180</v>
      </c>
      <c r="F96">
        <f t="shared" si="24"/>
        <v>26.082000000000001</v>
      </c>
      <c r="G96">
        <f t="shared" si="25"/>
        <v>0.33599999999999997</v>
      </c>
      <c r="H96">
        <f t="shared" si="26"/>
        <v>95.256000000000014</v>
      </c>
      <c r="I96">
        <f t="shared" si="27"/>
        <v>529.20000000000005</v>
      </c>
      <c r="J96">
        <f t="shared" si="28"/>
        <v>352.79999999999995</v>
      </c>
      <c r="K96">
        <f t="shared" si="29"/>
        <v>63.503999999999991</v>
      </c>
      <c r="L96">
        <f t="shared" si="30"/>
        <v>6.6679200000000014</v>
      </c>
      <c r="M96">
        <f t="shared" si="31"/>
        <v>6.9854400000000014</v>
      </c>
      <c r="N96">
        <f t="shared" si="32"/>
        <v>4.0007520000000003</v>
      </c>
      <c r="O96">
        <f t="shared" si="43"/>
        <v>5.7527152941176487</v>
      </c>
      <c r="P96">
        <f t="shared" si="33"/>
        <v>2.8574514038876888</v>
      </c>
      <c r="Q96">
        <f t="shared" si="34"/>
        <v>58.800000000000004</v>
      </c>
      <c r="R96">
        <f t="shared" si="35"/>
        <v>378</v>
      </c>
      <c r="S96">
        <f t="shared" si="36"/>
        <v>292.31999999999994</v>
      </c>
      <c r="T96">
        <f t="shared" si="37"/>
        <v>60.48</v>
      </c>
      <c r="U96">
        <f>I96*E96/'[1]Inverter Analysis'!$L$2</f>
        <v>228.26230027730875</v>
      </c>
      <c r="V96">
        <f t="shared" si="38"/>
        <v>226.7573696145125</v>
      </c>
      <c r="W96">
        <f t="shared" si="39"/>
        <v>273.672687465791</v>
      </c>
      <c r="X96">
        <f t="shared" si="40"/>
        <v>151.17157974300829</v>
      </c>
      <c r="Y96">
        <f t="shared" si="41"/>
        <v>0.59917391891798821</v>
      </c>
      <c r="Z96">
        <f t="shared" si="42"/>
        <v>2.1764966044499983</v>
      </c>
    </row>
    <row r="97" spans="1:26" s="6" customFormat="1" hidden="1">
      <c r="A97" s="6">
        <v>11</v>
      </c>
      <c r="B97" s="6">
        <v>3</v>
      </c>
      <c r="C97" s="14">
        <v>11</v>
      </c>
      <c r="D97" s="6">
        <f t="shared" si="22"/>
        <v>300</v>
      </c>
      <c r="E97" s="6">
        <f t="shared" si="23"/>
        <v>180</v>
      </c>
      <c r="F97" s="6">
        <f t="shared" si="24"/>
        <v>25.047000000000001</v>
      </c>
      <c r="G97" s="6">
        <f t="shared" si="25"/>
        <v>0.32266666666666666</v>
      </c>
      <c r="H97" s="6">
        <f t="shared" si="26"/>
        <v>91.476000000000013</v>
      </c>
      <c r="I97" s="6">
        <f t="shared" si="27"/>
        <v>508.20000000000005</v>
      </c>
      <c r="J97" s="6">
        <f t="shared" si="28"/>
        <v>338.79999999999995</v>
      </c>
      <c r="K97" s="6">
        <f t="shared" si="29"/>
        <v>60.983999999999995</v>
      </c>
      <c r="L97" s="6">
        <f>$N$3/1000*I97*B97/1000</f>
        <v>6.4033199999999999</v>
      </c>
      <c r="M97" s="6">
        <f t="shared" si="31"/>
        <v>6.7082400000000018</v>
      </c>
      <c r="N97" s="6">
        <f t="shared" si="32"/>
        <v>3.8419920000000007</v>
      </c>
      <c r="O97">
        <f t="shared" si="43"/>
        <v>5.5244329411764728</v>
      </c>
      <c r="P97" s="6">
        <f t="shared" si="33"/>
        <v>2.2451403887688985</v>
      </c>
      <c r="Q97" s="6">
        <f t="shared" si="34"/>
        <v>46.2</v>
      </c>
      <c r="R97" s="6">
        <f t="shared" si="35"/>
        <v>363</v>
      </c>
      <c r="S97" s="6">
        <f t="shared" si="36"/>
        <v>280.71999999999997</v>
      </c>
      <c r="T97" s="6">
        <f t="shared" si="37"/>
        <v>58.08</v>
      </c>
      <c r="U97" s="6">
        <f>I97*E97/'[1]Inverter Analysis'!$L$2</f>
        <v>219.20427248852667</v>
      </c>
      <c r="V97" s="6">
        <f t="shared" si="38"/>
        <v>236.12750885478161</v>
      </c>
      <c r="W97" s="6">
        <f t="shared" si="39"/>
        <v>284.98147620404677</v>
      </c>
      <c r="X97" s="6">
        <f t="shared" si="40"/>
        <v>157.41833923652104</v>
      </c>
      <c r="Y97" s="6">
        <f t="shared" si="41"/>
        <v>0.64971553423550144</v>
      </c>
      <c r="Z97" s="6">
        <f t="shared" si="42"/>
        <v>1.9275358737937496</v>
      </c>
    </row>
    <row r="98" spans="1:26" s="6" customFormat="1" hidden="1">
      <c r="A98" s="6">
        <v>10</v>
      </c>
      <c r="B98" s="6">
        <v>3</v>
      </c>
      <c r="C98" s="6">
        <v>12</v>
      </c>
      <c r="D98" s="6">
        <f t="shared" si="22"/>
        <v>300</v>
      </c>
      <c r="E98" s="6">
        <f t="shared" si="23"/>
        <v>180</v>
      </c>
      <c r="F98" s="6">
        <f t="shared" si="24"/>
        <v>24.84</v>
      </c>
      <c r="G98" s="6">
        <f t="shared" si="25"/>
        <v>0.31999999999999995</v>
      </c>
      <c r="H98" s="6">
        <f t="shared" si="26"/>
        <v>90.72</v>
      </c>
      <c r="I98" s="6">
        <f t="shared" si="27"/>
        <v>504</v>
      </c>
      <c r="J98" s="6">
        <f t="shared" si="28"/>
        <v>336</v>
      </c>
      <c r="K98" s="6">
        <f t="shared" si="29"/>
        <v>60.48</v>
      </c>
      <c r="L98" s="6">
        <f t="shared" si="30"/>
        <v>6.3504000000000005</v>
      </c>
      <c r="M98" s="6">
        <f t="shared" si="31"/>
        <v>6.6528000000000009</v>
      </c>
      <c r="N98" s="6">
        <f t="shared" si="32"/>
        <v>3.8102399999999998</v>
      </c>
      <c r="O98">
        <f>M98*(($L$3-$K$3)/($L$3-$M$3))</f>
        <v>5.4787764705882367</v>
      </c>
      <c r="P98" s="6">
        <f t="shared" si="33"/>
        <v>2.0410367170626347</v>
      </c>
      <c r="Q98" s="6">
        <f t="shared" si="34"/>
        <v>42</v>
      </c>
      <c r="R98" s="6">
        <f t="shared" si="35"/>
        <v>360</v>
      </c>
      <c r="S98" s="6">
        <f t="shared" si="36"/>
        <v>278.39999999999998</v>
      </c>
      <c r="T98" s="6">
        <f t="shared" si="37"/>
        <v>57.599999999999994</v>
      </c>
      <c r="U98" s="6">
        <f>I98*E98/'[1]Inverter Analysis'!$L$2</f>
        <v>217.39266693077019</v>
      </c>
      <c r="V98" s="6">
        <f t="shared" si="38"/>
        <v>238.0952380952381</v>
      </c>
      <c r="W98" s="6">
        <f t="shared" si="39"/>
        <v>287.35632183908046</v>
      </c>
      <c r="X98" s="6">
        <f t="shared" si="40"/>
        <v>158.73015873015873</v>
      </c>
      <c r="Y98" s="6">
        <f t="shared" si="41"/>
        <v>0.66058924560708154</v>
      </c>
      <c r="Z98" s="6">
        <f t="shared" si="42"/>
        <v>1.8801395999999997</v>
      </c>
    </row>
    <row r="99" spans="1:26" s="15" customFormat="1" hidden="1">
      <c r="A99" s="15">
        <v>12</v>
      </c>
      <c r="B99" s="15">
        <v>3</v>
      </c>
      <c r="C99" s="16">
        <v>10</v>
      </c>
      <c r="D99" s="15">
        <f t="shared" si="22"/>
        <v>300</v>
      </c>
      <c r="E99" s="15">
        <f t="shared" si="23"/>
        <v>180</v>
      </c>
      <c r="F99" s="15">
        <f t="shared" si="24"/>
        <v>24.84</v>
      </c>
      <c r="G99" s="15">
        <f t="shared" si="25"/>
        <v>0.32</v>
      </c>
      <c r="H99" s="15">
        <f t="shared" si="26"/>
        <v>90.72</v>
      </c>
      <c r="I99" s="15">
        <f t="shared" si="27"/>
        <v>504</v>
      </c>
      <c r="J99" s="15">
        <f t="shared" si="28"/>
        <v>336</v>
      </c>
      <c r="K99" s="15">
        <f t="shared" si="29"/>
        <v>60.48</v>
      </c>
      <c r="L99" s="15">
        <f t="shared" si="30"/>
        <v>6.3504000000000005</v>
      </c>
      <c r="M99" s="15">
        <f t="shared" si="31"/>
        <v>6.6528000000000009</v>
      </c>
      <c r="N99" s="15">
        <f t="shared" si="32"/>
        <v>3.8102399999999998</v>
      </c>
      <c r="O99" s="15">
        <f t="shared" si="43"/>
        <v>5.4787764705882367</v>
      </c>
      <c r="P99" s="15">
        <f t="shared" si="33"/>
        <v>2.449244060475162</v>
      </c>
      <c r="Q99" s="15">
        <f t="shared" si="34"/>
        <v>50.4</v>
      </c>
      <c r="R99" s="15">
        <f t="shared" si="35"/>
        <v>360</v>
      </c>
      <c r="S99" s="15">
        <f t="shared" si="36"/>
        <v>278.39999999999998</v>
      </c>
      <c r="T99" s="15">
        <f t="shared" si="37"/>
        <v>57.6</v>
      </c>
      <c r="U99" s="15">
        <f>I99*E99/'[1]Inverter Analysis'!$L$2</f>
        <v>217.39266693077019</v>
      </c>
      <c r="V99" s="15">
        <f t="shared" si="38"/>
        <v>238.0952380952381</v>
      </c>
      <c r="W99" s="15">
        <f t="shared" si="39"/>
        <v>287.35632183908046</v>
      </c>
      <c r="X99" s="15">
        <f t="shared" si="40"/>
        <v>158.73015873015873</v>
      </c>
      <c r="Y99" s="15">
        <f t="shared" si="41"/>
        <v>0.66058924560708154</v>
      </c>
      <c r="Z99" s="15">
        <f t="shared" si="42"/>
        <v>1.8801395999999997</v>
      </c>
    </row>
    <row r="100" spans="1:26" s="6" customFormat="1" hidden="1">
      <c r="A100" s="6">
        <v>15</v>
      </c>
      <c r="B100" s="6">
        <v>3</v>
      </c>
      <c r="C100" s="14">
        <v>8</v>
      </c>
      <c r="D100" s="6">
        <f t="shared" si="22"/>
        <v>300</v>
      </c>
      <c r="E100" s="6">
        <f t="shared" si="23"/>
        <v>180</v>
      </c>
      <c r="F100" s="6">
        <f t="shared" si="24"/>
        <v>24.84</v>
      </c>
      <c r="G100" s="6">
        <f t="shared" si="25"/>
        <v>0.32</v>
      </c>
      <c r="H100" s="6">
        <f t="shared" si="26"/>
        <v>90.72</v>
      </c>
      <c r="I100" s="6">
        <f t="shared" si="27"/>
        <v>504</v>
      </c>
      <c r="J100" s="6">
        <f t="shared" si="28"/>
        <v>336</v>
      </c>
      <c r="K100" s="6">
        <f t="shared" si="29"/>
        <v>60.48</v>
      </c>
      <c r="L100" s="6">
        <f t="shared" si="30"/>
        <v>6.3504000000000005</v>
      </c>
      <c r="M100" s="6">
        <f t="shared" si="31"/>
        <v>6.6528000000000009</v>
      </c>
      <c r="N100" s="6">
        <f t="shared" si="32"/>
        <v>3.8102399999999998</v>
      </c>
      <c r="O100">
        <f t="shared" si="43"/>
        <v>5.4787764705882367</v>
      </c>
      <c r="P100" s="6">
        <f t="shared" si="33"/>
        <v>3.0615550755939522</v>
      </c>
      <c r="Q100" s="6">
        <f t="shared" si="34"/>
        <v>63</v>
      </c>
      <c r="R100" s="6">
        <f t="shared" si="35"/>
        <v>360</v>
      </c>
      <c r="S100" s="6">
        <f t="shared" si="36"/>
        <v>278.39999999999998</v>
      </c>
      <c r="T100" s="6">
        <f t="shared" si="37"/>
        <v>57.6</v>
      </c>
      <c r="U100" s="6">
        <f>I100*E100/'[1]Inverter Analysis'!$L$2</f>
        <v>217.39266693077019</v>
      </c>
      <c r="V100" s="6">
        <f t="shared" si="38"/>
        <v>238.0952380952381</v>
      </c>
      <c r="W100" s="6">
        <f t="shared" si="39"/>
        <v>287.35632183908046</v>
      </c>
      <c r="X100" s="6">
        <f t="shared" si="40"/>
        <v>158.73015873015873</v>
      </c>
      <c r="Y100" s="6">
        <f t="shared" si="41"/>
        <v>0.66058924560708154</v>
      </c>
      <c r="Z100" s="6">
        <f t="shared" si="42"/>
        <v>1.8801395999999997</v>
      </c>
    </row>
    <row r="101" spans="1:26" hidden="1">
      <c r="A101">
        <v>13</v>
      </c>
      <c r="B101">
        <v>3</v>
      </c>
      <c r="C101" s="12">
        <v>9</v>
      </c>
      <c r="D101">
        <f t="shared" si="22"/>
        <v>300</v>
      </c>
      <c r="E101">
        <f t="shared" si="23"/>
        <v>180</v>
      </c>
      <c r="F101">
        <f t="shared" si="24"/>
        <v>24.219000000000001</v>
      </c>
      <c r="G101">
        <f t="shared" si="25"/>
        <v>0.312</v>
      </c>
      <c r="H101">
        <f t="shared" si="26"/>
        <v>88.451999999999998</v>
      </c>
      <c r="I101">
        <f t="shared" si="27"/>
        <v>491.40000000000003</v>
      </c>
      <c r="J101">
        <f t="shared" si="28"/>
        <v>327.59999999999997</v>
      </c>
      <c r="K101">
        <f t="shared" si="29"/>
        <v>58.967999999999989</v>
      </c>
      <c r="L101">
        <f t="shared" si="30"/>
        <v>6.1916400000000005</v>
      </c>
      <c r="M101">
        <f t="shared" si="31"/>
        <v>6.4864800000000011</v>
      </c>
      <c r="N101">
        <f t="shared" si="32"/>
        <v>3.7149840000000003</v>
      </c>
      <c r="O101">
        <f t="shared" si="43"/>
        <v>5.3418070588235311</v>
      </c>
      <c r="P101">
        <f t="shared" si="33"/>
        <v>2.6533477321814254</v>
      </c>
      <c r="Q101">
        <f t="shared" si="34"/>
        <v>54.6</v>
      </c>
      <c r="R101">
        <f t="shared" si="35"/>
        <v>351</v>
      </c>
      <c r="S101">
        <f t="shared" si="36"/>
        <v>271.43999999999994</v>
      </c>
      <c r="T101">
        <f t="shared" si="37"/>
        <v>56.16</v>
      </c>
      <c r="U101">
        <f>I101*E101/'[1]Inverter Analysis'!$L$2</f>
        <v>211.95785025750095</v>
      </c>
      <c r="V101">
        <f t="shared" si="38"/>
        <v>244.20024420024421</v>
      </c>
      <c r="W101">
        <f t="shared" si="39"/>
        <v>294.72443265546718</v>
      </c>
      <c r="X101">
        <f t="shared" si="40"/>
        <v>162.80016280016278</v>
      </c>
      <c r="Y101">
        <f t="shared" si="41"/>
        <v>0.69489992963269609</v>
      </c>
      <c r="Z101">
        <f t="shared" si="42"/>
        <v>1.7426250145687494</v>
      </c>
    </row>
    <row r="102" spans="1:26" s="15" customFormat="1" hidden="1">
      <c r="A102" s="15">
        <v>14</v>
      </c>
      <c r="B102" s="15">
        <v>3</v>
      </c>
      <c r="C102" s="16">
        <v>8</v>
      </c>
      <c r="D102" s="15">
        <f t="shared" si="22"/>
        <v>300</v>
      </c>
      <c r="E102" s="15">
        <f t="shared" si="23"/>
        <v>180</v>
      </c>
      <c r="F102" s="15">
        <f t="shared" si="24"/>
        <v>23.184000000000001</v>
      </c>
      <c r="G102" s="15">
        <f t="shared" si="25"/>
        <v>0.29866666666666664</v>
      </c>
      <c r="H102" s="15">
        <f t="shared" si="26"/>
        <v>84.671999999999997</v>
      </c>
      <c r="I102" s="15">
        <f t="shared" si="27"/>
        <v>470.40000000000003</v>
      </c>
      <c r="J102" s="15">
        <f t="shared" si="28"/>
        <v>313.59999999999997</v>
      </c>
      <c r="K102" s="15">
        <f t="shared" si="29"/>
        <v>56.447999999999993</v>
      </c>
      <c r="L102" s="15">
        <f t="shared" si="30"/>
        <v>5.9270400000000008</v>
      </c>
      <c r="M102" s="15">
        <f t="shared" si="31"/>
        <v>6.2092800000000006</v>
      </c>
      <c r="N102" s="15">
        <f t="shared" si="32"/>
        <v>3.5562240000000003</v>
      </c>
      <c r="O102" s="15">
        <f t="shared" si="43"/>
        <v>5.1135247058823543</v>
      </c>
      <c r="P102" s="15">
        <f t="shared" si="33"/>
        <v>2.8574514038876893</v>
      </c>
      <c r="Q102" s="15">
        <f t="shared" si="34"/>
        <v>58.800000000000004</v>
      </c>
      <c r="R102" s="15">
        <f t="shared" si="35"/>
        <v>336</v>
      </c>
      <c r="S102" s="15">
        <f t="shared" si="36"/>
        <v>259.83999999999997</v>
      </c>
      <c r="T102" s="15">
        <f t="shared" si="37"/>
        <v>53.759999999999991</v>
      </c>
      <c r="U102" s="15">
        <f>I102*E102/'[1]Inverter Analysis'!$L$2</f>
        <v>202.89982246871887</v>
      </c>
      <c r="V102" s="15">
        <f t="shared" si="38"/>
        <v>255.10204081632656</v>
      </c>
      <c r="W102" s="15">
        <f t="shared" si="39"/>
        <v>307.88177339901483</v>
      </c>
      <c r="X102" s="15">
        <f t="shared" si="40"/>
        <v>170.06802721088434</v>
      </c>
      <c r="Y102" s="15">
        <f t="shared" si="41"/>
        <v>0.75832949113057857</v>
      </c>
      <c r="Z102" s="15">
        <f t="shared" si="42"/>
        <v>1.5286231295999995</v>
      </c>
    </row>
    <row r="103" spans="1:26" hidden="1">
      <c r="A103">
        <v>16</v>
      </c>
      <c r="B103">
        <v>3</v>
      </c>
      <c r="C103" s="12">
        <v>7</v>
      </c>
      <c r="D103">
        <f t="shared" si="22"/>
        <v>300</v>
      </c>
      <c r="E103">
        <f t="shared" si="23"/>
        <v>180</v>
      </c>
      <c r="F103">
        <f t="shared" si="24"/>
        <v>23.184000000000001</v>
      </c>
      <c r="G103">
        <f t="shared" si="25"/>
        <v>0.29866666666666664</v>
      </c>
      <c r="H103">
        <f t="shared" si="26"/>
        <v>84.671999999999997</v>
      </c>
      <c r="I103">
        <f t="shared" si="27"/>
        <v>470.40000000000003</v>
      </c>
      <c r="J103">
        <f t="shared" si="28"/>
        <v>313.59999999999997</v>
      </c>
      <c r="K103">
        <f t="shared" si="29"/>
        <v>56.447999999999993</v>
      </c>
      <c r="L103">
        <f t="shared" si="30"/>
        <v>5.9270400000000008</v>
      </c>
      <c r="M103">
        <f t="shared" si="31"/>
        <v>6.2092800000000006</v>
      </c>
      <c r="N103">
        <f t="shared" si="32"/>
        <v>3.5562240000000003</v>
      </c>
      <c r="O103">
        <f t="shared" si="43"/>
        <v>5.1135247058823543</v>
      </c>
      <c r="P103">
        <f t="shared" si="33"/>
        <v>3.2656587473002161</v>
      </c>
      <c r="Q103">
        <f t="shared" si="34"/>
        <v>67.2</v>
      </c>
      <c r="R103">
        <f t="shared" si="35"/>
        <v>336</v>
      </c>
      <c r="S103">
        <f t="shared" si="36"/>
        <v>259.83999999999997</v>
      </c>
      <c r="T103">
        <f t="shared" si="37"/>
        <v>53.759999999999991</v>
      </c>
      <c r="U103">
        <f>I103*E103/'[1]Inverter Analysis'!$L$2</f>
        <v>202.89982246871887</v>
      </c>
      <c r="V103">
        <f t="shared" si="38"/>
        <v>255.10204081632656</v>
      </c>
      <c r="W103">
        <f t="shared" si="39"/>
        <v>307.88177339901483</v>
      </c>
      <c r="X103">
        <f t="shared" si="40"/>
        <v>170.06802721088434</v>
      </c>
      <c r="Y103">
        <f t="shared" si="41"/>
        <v>0.75832949113057857</v>
      </c>
      <c r="Z103">
        <f t="shared" si="42"/>
        <v>1.5286231295999995</v>
      </c>
    </row>
    <row r="104" spans="1:26" hidden="1">
      <c r="A104">
        <v>10</v>
      </c>
      <c r="B104">
        <v>3</v>
      </c>
      <c r="C104" s="12">
        <v>11</v>
      </c>
      <c r="D104">
        <f t="shared" si="22"/>
        <v>300</v>
      </c>
      <c r="E104">
        <f t="shared" si="23"/>
        <v>180</v>
      </c>
      <c r="F104">
        <f t="shared" si="24"/>
        <v>22.77</v>
      </c>
      <c r="G104">
        <f t="shared" si="25"/>
        <v>0.29333333333333333</v>
      </c>
      <c r="H104">
        <f t="shared" si="26"/>
        <v>83.16</v>
      </c>
      <c r="I104">
        <f t="shared" si="27"/>
        <v>462</v>
      </c>
      <c r="J104">
        <f t="shared" si="28"/>
        <v>308</v>
      </c>
      <c r="K104">
        <f t="shared" si="29"/>
        <v>55.44</v>
      </c>
      <c r="L104">
        <f t="shared" si="30"/>
        <v>5.821200000000001</v>
      </c>
      <c r="M104">
        <f t="shared" si="31"/>
        <v>6.0984000000000007</v>
      </c>
      <c r="N104">
        <f t="shared" si="32"/>
        <v>3.4927200000000003</v>
      </c>
      <c r="O104">
        <f t="shared" si="43"/>
        <v>5.022211764705883</v>
      </c>
      <c r="P104">
        <f t="shared" si="33"/>
        <v>2.0410367170626347</v>
      </c>
      <c r="Q104">
        <f t="shared" si="34"/>
        <v>42</v>
      </c>
      <c r="R104">
        <f t="shared" si="35"/>
        <v>330</v>
      </c>
      <c r="S104">
        <f t="shared" si="36"/>
        <v>255.2</v>
      </c>
      <c r="T104">
        <f t="shared" si="37"/>
        <v>52.8</v>
      </c>
      <c r="U104">
        <f>I104*E104/'[1]Inverter Analysis'!$L$2</f>
        <v>199.27661135320602</v>
      </c>
      <c r="V104">
        <f t="shared" si="38"/>
        <v>259.74025974025972</v>
      </c>
      <c r="W104">
        <f t="shared" si="39"/>
        <v>313.47962382445144</v>
      </c>
      <c r="X104">
        <f t="shared" si="40"/>
        <v>173.16017316017317</v>
      </c>
      <c r="Y104">
        <f t="shared" si="41"/>
        <v>0.78615579642495659</v>
      </c>
      <c r="Z104">
        <f t="shared" si="42"/>
        <v>1.4481862312499996</v>
      </c>
    </row>
    <row r="105" spans="1:26" hidden="1">
      <c r="A105">
        <v>11</v>
      </c>
      <c r="B105">
        <v>3</v>
      </c>
      <c r="C105" s="12">
        <v>10</v>
      </c>
      <c r="D105">
        <f t="shared" si="22"/>
        <v>300</v>
      </c>
      <c r="E105">
        <f t="shared" si="23"/>
        <v>180</v>
      </c>
      <c r="F105">
        <f t="shared" si="24"/>
        <v>22.77</v>
      </c>
      <c r="G105">
        <f t="shared" si="25"/>
        <v>0.29333333333333333</v>
      </c>
      <c r="H105">
        <f t="shared" si="26"/>
        <v>83.16</v>
      </c>
      <c r="I105">
        <f t="shared" si="27"/>
        <v>462</v>
      </c>
      <c r="J105">
        <f t="shared" si="28"/>
        <v>308</v>
      </c>
      <c r="K105">
        <f t="shared" si="29"/>
        <v>55.44</v>
      </c>
      <c r="L105">
        <f t="shared" si="30"/>
        <v>5.821200000000001</v>
      </c>
      <c r="M105">
        <f t="shared" si="31"/>
        <v>6.0984000000000007</v>
      </c>
      <c r="N105">
        <f t="shared" si="32"/>
        <v>3.4927200000000003</v>
      </c>
      <c r="O105">
        <f t="shared" si="43"/>
        <v>5.022211764705883</v>
      </c>
      <c r="P105">
        <f t="shared" si="33"/>
        <v>2.2451403887688981</v>
      </c>
      <c r="Q105">
        <f t="shared" si="34"/>
        <v>46.2</v>
      </c>
      <c r="R105">
        <f t="shared" si="35"/>
        <v>330</v>
      </c>
      <c r="S105">
        <f t="shared" si="36"/>
        <v>255.2</v>
      </c>
      <c r="T105">
        <f t="shared" si="37"/>
        <v>52.8</v>
      </c>
      <c r="U105">
        <f>I105*E105/'[1]Inverter Analysis'!$L$2</f>
        <v>199.27661135320602</v>
      </c>
      <c r="V105">
        <f t="shared" si="38"/>
        <v>259.74025974025972</v>
      </c>
      <c r="W105">
        <f t="shared" si="39"/>
        <v>313.47962382445144</v>
      </c>
      <c r="X105">
        <f t="shared" si="40"/>
        <v>173.16017316017317</v>
      </c>
      <c r="Y105">
        <f t="shared" si="41"/>
        <v>0.78615579642495659</v>
      </c>
      <c r="Z105">
        <f t="shared" si="42"/>
        <v>1.4481862312499996</v>
      </c>
    </row>
    <row r="106" spans="1:26" hidden="1">
      <c r="A106">
        <v>12</v>
      </c>
      <c r="B106">
        <v>3</v>
      </c>
      <c r="C106" s="12">
        <v>9</v>
      </c>
      <c r="D106">
        <f t="shared" si="22"/>
        <v>300</v>
      </c>
      <c r="E106">
        <f t="shared" si="23"/>
        <v>180</v>
      </c>
      <c r="F106">
        <f t="shared" si="24"/>
        <v>22.356000000000002</v>
      </c>
      <c r="G106">
        <f t="shared" si="25"/>
        <v>0.28800000000000003</v>
      </c>
      <c r="H106">
        <f t="shared" si="26"/>
        <v>81.647999999999996</v>
      </c>
      <c r="I106">
        <f t="shared" si="27"/>
        <v>453.6</v>
      </c>
      <c r="J106">
        <f t="shared" si="28"/>
        <v>302.39999999999998</v>
      </c>
      <c r="K106">
        <f t="shared" si="29"/>
        <v>54.431999999999995</v>
      </c>
      <c r="L106">
        <f t="shared" si="30"/>
        <v>5.7153600000000004</v>
      </c>
      <c r="M106">
        <f t="shared" si="31"/>
        <v>5.9875200000000017</v>
      </c>
      <c r="N106">
        <f t="shared" si="32"/>
        <v>3.4292160000000003</v>
      </c>
      <c r="O106">
        <f t="shared" si="43"/>
        <v>4.9308988235294136</v>
      </c>
      <c r="P106">
        <f t="shared" si="33"/>
        <v>2.449244060475162</v>
      </c>
      <c r="Q106">
        <f t="shared" si="34"/>
        <v>50.400000000000006</v>
      </c>
      <c r="R106">
        <f t="shared" si="35"/>
        <v>324</v>
      </c>
      <c r="S106">
        <f t="shared" si="36"/>
        <v>250.55999999999997</v>
      </c>
      <c r="T106">
        <f t="shared" si="37"/>
        <v>51.84</v>
      </c>
      <c r="U106">
        <f>I106*E106/'[1]Inverter Analysis'!$L$2</f>
        <v>195.65340023769318</v>
      </c>
      <c r="V106">
        <f t="shared" si="38"/>
        <v>264.55026455026456</v>
      </c>
      <c r="W106">
        <f t="shared" si="39"/>
        <v>319.28480204342276</v>
      </c>
      <c r="X106">
        <f t="shared" si="40"/>
        <v>176.3668430335097</v>
      </c>
      <c r="Y106">
        <f t="shared" si="41"/>
        <v>0.81554227852726124</v>
      </c>
      <c r="Z106">
        <f t="shared" si="42"/>
        <v>1.3706217683999997</v>
      </c>
    </row>
    <row r="107" spans="1:26" hidden="1">
      <c r="A107">
        <v>15</v>
      </c>
      <c r="B107">
        <v>3</v>
      </c>
      <c r="C107" s="12">
        <v>7</v>
      </c>
      <c r="D107">
        <f t="shared" si="22"/>
        <v>300</v>
      </c>
      <c r="E107">
        <f t="shared" si="23"/>
        <v>180</v>
      </c>
      <c r="F107">
        <f t="shared" si="24"/>
        <v>21.734999999999999</v>
      </c>
      <c r="G107">
        <f t="shared" si="25"/>
        <v>0.28000000000000003</v>
      </c>
      <c r="H107">
        <f t="shared" si="26"/>
        <v>79.38</v>
      </c>
      <c r="I107">
        <f t="shared" si="27"/>
        <v>441</v>
      </c>
      <c r="J107">
        <f t="shared" si="28"/>
        <v>294</v>
      </c>
      <c r="K107">
        <f t="shared" si="29"/>
        <v>52.92</v>
      </c>
      <c r="L107">
        <f t="shared" si="30"/>
        <v>5.5566000000000004</v>
      </c>
      <c r="M107">
        <f t="shared" si="31"/>
        <v>5.821200000000001</v>
      </c>
      <c r="N107">
        <f t="shared" si="32"/>
        <v>3.3339600000000003</v>
      </c>
      <c r="O107">
        <f t="shared" si="43"/>
        <v>4.7939294117647071</v>
      </c>
      <c r="P107">
        <f t="shared" si="33"/>
        <v>3.0615550755939522</v>
      </c>
      <c r="Q107">
        <f t="shared" si="34"/>
        <v>63</v>
      </c>
      <c r="R107">
        <f t="shared" si="35"/>
        <v>315</v>
      </c>
      <c r="S107">
        <f t="shared" si="36"/>
        <v>243.6</v>
      </c>
      <c r="T107">
        <f t="shared" si="37"/>
        <v>50.400000000000006</v>
      </c>
      <c r="U107">
        <f>I107*E107/'[1]Inverter Analysis'!$L$2</f>
        <v>190.21858356442394</v>
      </c>
      <c r="V107">
        <f t="shared" si="38"/>
        <v>272.10884353741494</v>
      </c>
      <c r="W107">
        <f t="shared" si="39"/>
        <v>328.40722495894909</v>
      </c>
      <c r="X107">
        <f t="shared" si="40"/>
        <v>181.40589569160997</v>
      </c>
      <c r="Y107">
        <f t="shared" si="41"/>
        <v>0.86281044324190226</v>
      </c>
      <c r="Z107">
        <f t="shared" si="42"/>
        <v>1.2595466460937501</v>
      </c>
    </row>
    <row r="108" spans="1:26" s="15" customFormat="1" hidden="1">
      <c r="A108" s="15">
        <v>13</v>
      </c>
      <c r="B108" s="15">
        <v>3</v>
      </c>
      <c r="C108" s="16">
        <v>8</v>
      </c>
      <c r="D108" s="15">
        <f t="shared" si="22"/>
        <v>300</v>
      </c>
      <c r="E108" s="15">
        <f t="shared" si="23"/>
        <v>180</v>
      </c>
      <c r="F108" s="15">
        <f t="shared" si="24"/>
        <v>21.527999999999999</v>
      </c>
      <c r="G108" s="15">
        <f t="shared" si="25"/>
        <v>0.27733333333333332</v>
      </c>
      <c r="H108" s="15">
        <f t="shared" si="26"/>
        <v>78.623999999999995</v>
      </c>
      <c r="I108" s="15">
        <f t="shared" si="27"/>
        <v>436.8</v>
      </c>
      <c r="J108" s="15">
        <f t="shared" si="28"/>
        <v>291.2</v>
      </c>
      <c r="K108" s="15">
        <f t="shared" si="29"/>
        <v>52.415999999999997</v>
      </c>
      <c r="L108" s="15">
        <f t="shared" si="30"/>
        <v>5.5036800000000001</v>
      </c>
      <c r="M108" s="15">
        <f t="shared" si="31"/>
        <v>5.7657600000000011</v>
      </c>
      <c r="N108" s="15">
        <f t="shared" si="32"/>
        <v>3.3022080000000007</v>
      </c>
      <c r="O108" s="15">
        <f t="shared" si="43"/>
        <v>4.7482729411764719</v>
      </c>
      <c r="P108" s="15">
        <f t="shared" si="33"/>
        <v>2.6533477321814254</v>
      </c>
      <c r="Q108" s="15">
        <f t="shared" si="34"/>
        <v>54.6</v>
      </c>
      <c r="R108" s="15">
        <f t="shared" si="35"/>
        <v>312</v>
      </c>
      <c r="S108" s="15">
        <f t="shared" si="36"/>
        <v>241.28</v>
      </c>
      <c r="T108" s="15">
        <f t="shared" si="37"/>
        <v>49.919999999999995</v>
      </c>
      <c r="U108" s="15">
        <f>I108*E108/'[1]Inverter Analysis'!$L$2</f>
        <v>188.40697800666752</v>
      </c>
      <c r="V108" s="15">
        <f t="shared" si="38"/>
        <v>274.72527472527474</v>
      </c>
      <c r="W108" s="15">
        <f t="shared" si="39"/>
        <v>331.56498673740055</v>
      </c>
      <c r="X108" s="15">
        <f t="shared" si="40"/>
        <v>183.15018315018315</v>
      </c>
      <c r="Y108" s="15">
        <f t="shared" si="41"/>
        <v>0.87948272344138079</v>
      </c>
      <c r="Z108" s="15">
        <f t="shared" si="42"/>
        <v>1.2239012447999997</v>
      </c>
    </row>
    <row r="109" spans="1:26" hidden="1">
      <c r="A109">
        <v>10</v>
      </c>
      <c r="B109">
        <v>3</v>
      </c>
      <c r="C109" s="12">
        <v>10</v>
      </c>
      <c r="D109">
        <f t="shared" si="22"/>
        <v>300</v>
      </c>
      <c r="E109">
        <f t="shared" si="23"/>
        <v>180</v>
      </c>
      <c r="F109">
        <f t="shared" si="24"/>
        <v>20.7</v>
      </c>
      <c r="G109">
        <f t="shared" si="25"/>
        <v>0.26666666666666666</v>
      </c>
      <c r="H109">
        <f t="shared" si="26"/>
        <v>75.599999999999994</v>
      </c>
      <c r="I109">
        <f t="shared" si="27"/>
        <v>420</v>
      </c>
      <c r="J109">
        <f t="shared" si="28"/>
        <v>280</v>
      </c>
      <c r="K109">
        <f t="shared" si="29"/>
        <v>50.4</v>
      </c>
      <c r="L109">
        <f t="shared" si="30"/>
        <v>5.2919999999999998</v>
      </c>
      <c r="M109">
        <f t="shared" si="31"/>
        <v>5.5440000000000005</v>
      </c>
      <c r="N109">
        <f t="shared" si="32"/>
        <v>3.1752000000000002</v>
      </c>
      <c r="O109">
        <f t="shared" si="43"/>
        <v>4.5656470588235303</v>
      </c>
      <c r="P109">
        <f t="shared" si="33"/>
        <v>2.0410367170626347</v>
      </c>
      <c r="Q109">
        <f t="shared" si="34"/>
        <v>42</v>
      </c>
      <c r="R109">
        <f t="shared" si="35"/>
        <v>300</v>
      </c>
      <c r="S109">
        <f t="shared" si="36"/>
        <v>232</v>
      </c>
      <c r="T109">
        <f t="shared" si="37"/>
        <v>48</v>
      </c>
      <c r="U109">
        <f>I109*E109/'[1]Inverter Analysis'!$L$2</f>
        <v>181.16055577564182</v>
      </c>
      <c r="V109">
        <f t="shared" si="38"/>
        <v>285.71428571428572</v>
      </c>
      <c r="W109">
        <f t="shared" si="39"/>
        <v>344.82758620689657</v>
      </c>
      <c r="X109">
        <f t="shared" si="40"/>
        <v>190.47619047619048</v>
      </c>
      <c r="Y109">
        <f t="shared" si="41"/>
        <v>0.95124851367419749</v>
      </c>
      <c r="Z109">
        <f t="shared" si="42"/>
        <v>1.0880437499999998</v>
      </c>
    </row>
    <row r="110" spans="1:26" hidden="1">
      <c r="A110">
        <v>11</v>
      </c>
      <c r="B110">
        <v>3</v>
      </c>
      <c r="C110" s="12">
        <v>9</v>
      </c>
      <c r="D110">
        <f t="shared" si="22"/>
        <v>300</v>
      </c>
      <c r="E110">
        <f t="shared" si="23"/>
        <v>180</v>
      </c>
      <c r="F110">
        <f t="shared" si="24"/>
        <v>20.492999999999999</v>
      </c>
      <c r="G110">
        <f t="shared" si="25"/>
        <v>0.26400000000000001</v>
      </c>
      <c r="H110">
        <f t="shared" si="26"/>
        <v>74.843999999999994</v>
      </c>
      <c r="I110">
        <f t="shared" si="27"/>
        <v>415.8</v>
      </c>
      <c r="J110">
        <f t="shared" si="28"/>
        <v>277.2</v>
      </c>
      <c r="K110">
        <f t="shared" si="29"/>
        <v>49.896000000000001</v>
      </c>
      <c r="L110">
        <f t="shared" si="30"/>
        <v>5.2390799999999995</v>
      </c>
      <c r="M110">
        <f t="shared" si="31"/>
        <v>5.4885600000000005</v>
      </c>
      <c r="N110">
        <f t="shared" si="32"/>
        <v>3.1434480000000002</v>
      </c>
      <c r="O110">
        <f t="shared" si="43"/>
        <v>4.5199905882352951</v>
      </c>
      <c r="P110">
        <f t="shared" si="33"/>
        <v>2.2451403887688985</v>
      </c>
      <c r="Q110">
        <f t="shared" si="34"/>
        <v>46.2</v>
      </c>
      <c r="R110">
        <f t="shared" si="35"/>
        <v>297</v>
      </c>
      <c r="S110">
        <f t="shared" si="36"/>
        <v>229.67999999999998</v>
      </c>
      <c r="T110">
        <f t="shared" si="37"/>
        <v>47.52</v>
      </c>
      <c r="U110">
        <f>I110*E110/'[1]Inverter Analysis'!$L$2</f>
        <v>179.34895021788543</v>
      </c>
      <c r="V110">
        <f t="shared" si="38"/>
        <v>288.60028860028859</v>
      </c>
      <c r="W110">
        <f t="shared" si="39"/>
        <v>348.31069313827936</v>
      </c>
      <c r="X110">
        <f t="shared" si="40"/>
        <v>192.4001924001924</v>
      </c>
      <c r="Y110">
        <f t="shared" si="41"/>
        <v>0.97056271163574892</v>
      </c>
      <c r="Z110">
        <f t="shared" si="42"/>
        <v>1.0557277625812498</v>
      </c>
    </row>
    <row r="111" spans="1:26" hidden="1">
      <c r="A111">
        <v>14</v>
      </c>
      <c r="B111">
        <v>3</v>
      </c>
      <c r="C111" s="12">
        <v>7</v>
      </c>
      <c r="D111">
        <f t="shared" si="22"/>
        <v>300</v>
      </c>
      <c r="E111">
        <f t="shared" si="23"/>
        <v>180</v>
      </c>
      <c r="F111">
        <f t="shared" si="24"/>
        <v>20.286000000000001</v>
      </c>
      <c r="G111">
        <f t="shared" si="25"/>
        <v>0.26133333333333331</v>
      </c>
      <c r="H111">
        <f t="shared" si="26"/>
        <v>74.087999999999994</v>
      </c>
      <c r="I111">
        <f t="shared" si="27"/>
        <v>411.6</v>
      </c>
      <c r="J111">
        <f t="shared" si="28"/>
        <v>274.39999999999998</v>
      </c>
      <c r="K111">
        <f t="shared" si="29"/>
        <v>49.391999999999996</v>
      </c>
      <c r="L111">
        <f t="shared" si="30"/>
        <v>5.186160000000001</v>
      </c>
      <c r="M111">
        <f t="shared" si="31"/>
        <v>5.4331200000000006</v>
      </c>
      <c r="N111">
        <f t="shared" si="32"/>
        <v>3.1116959999999998</v>
      </c>
      <c r="O111">
        <f t="shared" si="43"/>
        <v>4.4743341176470599</v>
      </c>
      <c r="P111">
        <f t="shared" si="33"/>
        <v>2.8574514038876893</v>
      </c>
      <c r="Q111">
        <f t="shared" si="34"/>
        <v>58.800000000000004</v>
      </c>
      <c r="R111">
        <f t="shared" si="35"/>
        <v>294</v>
      </c>
      <c r="S111">
        <f t="shared" si="36"/>
        <v>227.35999999999999</v>
      </c>
      <c r="T111">
        <f t="shared" si="37"/>
        <v>47.039999999999992</v>
      </c>
      <c r="U111">
        <f>I111*E111/'[1]Inverter Analysis'!$L$2</f>
        <v>177.53734466012901</v>
      </c>
      <c r="V111">
        <f t="shared" si="38"/>
        <v>291.54518950437318</v>
      </c>
      <c r="W111">
        <f t="shared" si="39"/>
        <v>351.86488388458832</v>
      </c>
      <c r="X111">
        <f t="shared" si="40"/>
        <v>194.36345966958211</v>
      </c>
      <c r="Y111">
        <f t="shared" si="41"/>
        <v>0.99047117208891855</v>
      </c>
      <c r="Z111">
        <f t="shared" si="42"/>
        <v>1.02405807315</v>
      </c>
    </row>
    <row r="112" spans="1:26" hidden="1">
      <c r="A112">
        <v>12</v>
      </c>
      <c r="B112">
        <v>3</v>
      </c>
      <c r="C112" s="12">
        <v>8</v>
      </c>
      <c r="D112">
        <f t="shared" si="22"/>
        <v>300</v>
      </c>
      <c r="E112">
        <f t="shared" si="23"/>
        <v>180</v>
      </c>
      <c r="F112">
        <f t="shared" si="24"/>
        <v>19.872</v>
      </c>
      <c r="G112">
        <f t="shared" si="25"/>
        <v>0.25600000000000001</v>
      </c>
      <c r="H112">
        <f t="shared" si="26"/>
        <v>72.576000000000008</v>
      </c>
      <c r="I112">
        <f t="shared" si="27"/>
        <v>403.20000000000005</v>
      </c>
      <c r="J112">
        <f t="shared" si="28"/>
        <v>268.79999999999995</v>
      </c>
      <c r="K112">
        <f t="shared" si="29"/>
        <v>48.383999999999993</v>
      </c>
      <c r="L112">
        <f t="shared" si="30"/>
        <v>5.0803200000000004</v>
      </c>
      <c r="M112">
        <f t="shared" si="31"/>
        <v>5.3222400000000016</v>
      </c>
      <c r="N112">
        <f t="shared" si="32"/>
        <v>3.0481919999999998</v>
      </c>
      <c r="O112">
        <f t="shared" si="43"/>
        <v>4.3830211764705895</v>
      </c>
      <c r="P112">
        <f t="shared" si="33"/>
        <v>2.4492440604751624</v>
      </c>
      <c r="Q112">
        <f t="shared" si="34"/>
        <v>50.400000000000006</v>
      </c>
      <c r="R112">
        <f t="shared" si="35"/>
        <v>288</v>
      </c>
      <c r="S112">
        <f t="shared" si="36"/>
        <v>222.71999999999997</v>
      </c>
      <c r="T112">
        <f t="shared" si="37"/>
        <v>46.08</v>
      </c>
      <c r="U112">
        <f>I112*E112/'[1]Inverter Analysis'!$L$2</f>
        <v>173.91413354461619</v>
      </c>
      <c r="V112">
        <f t="shared" si="38"/>
        <v>297.61904761904765</v>
      </c>
      <c r="W112">
        <f t="shared" si="39"/>
        <v>359.19540229885064</v>
      </c>
      <c r="X112">
        <f t="shared" si="40"/>
        <v>198.4126984126984</v>
      </c>
      <c r="Y112">
        <f t="shared" si="41"/>
        <v>1.0321706962610651</v>
      </c>
      <c r="Z112">
        <f t="shared" si="42"/>
        <v>0.96263147519999981</v>
      </c>
    </row>
    <row r="113" spans="1:26" hidden="1">
      <c r="A113">
        <v>16</v>
      </c>
      <c r="B113">
        <v>3</v>
      </c>
      <c r="C113">
        <v>6</v>
      </c>
      <c r="D113">
        <f t="shared" si="22"/>
        <v>300</v>
      </c>
      <c r="E113">
        <f t="shared" si="23"/>
        <v>180</v>
      </c>
      <c r="F113">
        <f t="shared" si="24"/>
        <v>19.872</v>
      </c>
      <c r="G113">
        <f t="shared" si="25"/>
        <v>0.25600000000000001</v>
      </c>
      <c r="H113">
        <f t="shared" si="26"/>
        <v>72.576000000000008</v>
      </c>
      <c r="I113">
        <f t="shared" si="27"/>
        <v>403.20000000000005</v>
      </c>
      <c r="J113">
        <f t="shared" si="28"/>
        <v>268.79999999999995</v>
      </c>
      <c r="K113">
        <f t="shared" si="29"/>
        <v>48.383999999999993</v>
      </c>
      <c r="L113">
        <f t="shared" si="30"/>
        <v>5.0803200000000004</v>
      </c>
      <c r="M113">
        <f t="shared" si="31"/>
        <v>5.3222400000000016</v>
      </c>
      <c r="N113">
        <f t="shared" si="32"/>
        <v>3.0481919999999998</v>
      </c>
      <c r="O113">
        <f t="shared" si="43"/>
        <v>4.3830211764705895</v>
      </c>
      <c r="P113">
        <f t="shared" si="33"/>
        <v>3.2656587473002165</v>
      </c>
      <c r="Q113">
        <f t="shared" si="34"/>
        <v>67.2</v>
      </c>
      <c r="R113">
        <f t="shared" si="35"/>
        <v>288</v>
      </c>
      <c r="S113">
        <f t="shared" si="36"/>
        <v>222.71999999999997</v>
      </c>
      <c r="T113">
        <f t="shared" si="37"/>
        <v>46.08</v>
      </c>
      <c r="U113">
        <f>I113*E113/'[1]Inverter Analysis'!$L$2</f>
        <v>173.91413354461619</v>
      </c>
      <c r="V113">
        <f t="shared" si="38"/>
        <v>297.61904761904765</v>
      </c>
      <c r="W113">
        <f t="shared" si="39"/>
        <v>359.19540229885064</v>
      </c>
      <c r="X113">
        <f t="shared" si="40"/>
        <v>198.4126984126984</v>
      </c>
      <c r="Y113">
        <f t="shared" si="41"/>
        <v>1.0321706962610651</v>
      </c>
      <c r="Z113">
        <f t="shared" si="42"/>
        <v>0.96263147519999981</v>
      </c>
    </row>
    <row r="114" spans="1:26" hidden="1">
      <c r="A114">
        <v>12</v>
      </c>
      <c r="B114">
        <v>2</v>
      </c>
      <c r="C114">
        <v>12</v>
      </c>
      <c r="D114">
        <f t="shared" si="22"/>
        <v>200</v>
      </c>
      <c r="E114">
        <f t="shared" si="23"/>
        <v>120</v>
      </c>
      <c r="F114">
        <f t="shared" si="24"/>
        <v>19.872</v>
      </c>
      <c r="G114">
        <f t="shared" si="25"/>
        <v>0.57600000000000007</v>
      </c>
      <c r="H114">
        <f t="shared" si="26"/>
        <v>72.576000000000008</v>
      </c>
      <c r="I114">
        <f t="shared" si="27"/>
        <v>604.80000000000007</v>
      </c>
      <c r="J114">
        <f t="shared" si="28"/>
        <v>403.2</v>
      </c>
      <c r="K114">
        <f t="shared" si="29"/>
        <v>48.384</v>
      </c>
      <c r="L114">
        <f t="shared" si="30"/>
        <v>5.0803200000000004</v>
      </c>
      <c r="M114">
        <f t="shared" si="31"/>
        <v>5.3222400000000007</v>
      </c>
      <c r="N114">
        <f t="shared" si="32"/>
        <v>3.0481920000000007</v>
      </c>
      <c r="O114">
        <f t="shared" si="43"/>
        <v>4.3830211764705895</v>
      </c>
      <c r="P114">
        <f t="shared" si="33"/>
        <v>1.6328293736501083</v>
      </c>
      <c r="Q114">
        <f t="shared" si="34"/>
        <v>50.400000000000006</v>
      </c>
      <c r="R114">
        <f t="shared" si="35"/>
        <v>288</v>
      </c>
      <c r="S114">
        <f t="shared" si="36"/>
        <v>334.08</v>
      </c>
      <c r="T114">
        <f t="shared" si="37"/>
        <v>69.12</v>
      </c>
      <c r="U114">
        <f>I114*E114/'[1]Inverter Analysis'!$L$2</f>
        <v>173.91413354461619</v>
      </c>
      <c r="V114">
        <f t="shared" si="38"/>
        <v>198.4126984126984</v>
      </c>
      <c r="W114">
        <f t="shared" si="39"/>
        <v>239.46360153256705</v>
      </c>
      <c r="X114">
        <f t="shared" si="40"/>
        <v>132.27513227513225</v>
      </c>
      <c r="Y114">
        <f t="shared" si="41"/>
        <v>0.45874253167158441</v>
      </c>
      <c r="Z114">
        <f t="shared" si="42"/>
        <v>2.1659208191999997</v>
      </c>
    </row>
    <row r="115" spans="1:26" hidden="1">
      <c r="A115">
        <v>16</v>
      </c>
      <c r="B115">
        <v>2</v>
      </c>
      <c r="C115" s="12">
        <v>9</v>
      </c>
      <c r="D115">
        <f t="shared" si="22"/>
        <v>200</v>
      </c>
      <c r="E115">
        <f t="shared" si="23"/>
        <v>120</v>
      </c>
      <c r="F115">
        <f t="shared" si="24"/>
        <v>19.872</v>
      </c>
      <c r="G115">
        <f t="shared" si="25"/>
        <v>0.57600000000000007</v>
      </c>
      <c r="H115">
        <f t="shared" si="26"/>
        <v>72.576000000000008</v>
      </c>
      <c r="I115">
        <f t="shared" si="27"/>
        <v>604.80000000000007</v>
      </c>
      <c r="J115">
        <f t="shared" si="28"/>
        <v>403.2</v>
      </c>
      <c r="K115">
        <f t="shared" si="29"/>
        <v>48.384</v>
      </c>
      <c r="L115">
        <f t="shared" si="30"/>
        <v>5.0803200000000004</v>
      </c>
      <c r="M115">
        <f t="shared" si="31"/>
        <v>5.3222400000000007</v>
      </c>
      <c r="N115">
        <f t="shared" si="32"/>
        <v>3.0481920000000007</v>
      </c>
      <c r="O115">
        <f t="shared" si="43"/>
        <v>4.3830211764705895</v>
      </c>
      <c r="P115">
        <f t="shared" si="33"/>
        <v>2.1771058315334777</v>
      </c>
      <c r="Q115">
        <f t="shared" si="34"/>
        <v>67.2</v>
      </c>
      <c r="R115">
        <f t="shared" si="35"/>
        <v>288</v>
      </c>
      <c r="S115">
        <f t="shared" si="36"/>
        <v>334.08</v>
      </c>
      <c r="T115">
        <f t="shared" si="37"/>
        <v>69.12</v>
      </c>
      <c r="U115">
        <f>I115*E115/'[1]Inverter Analysis'!$L$2</f>
        <v>173.91413354461619</v>
      </c>
      <c r="V115">
        <f t="shared" si="38"/>
        <v>198.4126984126984</v>
      </c>
      <c r="W115">
        <f t="shared" si="39"/>
        <v>239.46360153256705</v>
      </c>
      <c r="X115">
        <f t="shared" si="40"/>
        <v>132.27513227513225</v>
      </c>
      <c r="Y115">
        <f t="shared" si="41"/>
        <v>0.45874253167158441</v>
      </c>
      <c r="Z115">
        <f t="shared" si="42"/>
        <v>2.1659208191999997</v>
      </c>
    </row>
    <row r="116" spans="1:26" hidden="1">
      <c r="A116">
        <v>13</v>
      </c>
      <c r="B116">
        <v>2</v>
      </c>
      <c r="C116" s="12">
        <v>11</v>
      </c>
      <c r="D116">
        <f t="shared" si="22"/>
        <v>200</v>
      </c>
      <c r="E116">
        <f t="shared" si="23"/>
        <v>120</v>
      </c>
      <c r="F116">
        <f t="shared" si="24"/>
        <v>19.734000000000002</v>
      </c>
      <c r="G116">
        <f t="shared" si="25"/>
        <v>0.57200000000000006</v>
      </c>
      <c r="H116">
        <f t="shared" si="26"/>
        <v>72.072000000000003</v>
      </c>
      <c r="I116">
        <f t="shared" si="27"/>
        <v>600.6</v>
      </c>
      <c r="J116">
        <f t="shared" si="28"/>
        <v>400.4</v>
      </c>
      <c r="K116">
        <f t="shared" si="29"/>
        <v>48.048000000000002</v>
      </c>
      <c r="L116">
        <f t="shared" si="30"/>
        <v>5.0450400000000002</v>
      </c>
      <c r="M116">
        <f t="shared" si="31"/>
        <v>5.2852800000000011</v>
      </c>
      <c r="N116">
        <f t="shared" si="32"/>
        <v>3.0270240000000004</v>
      </c>
      <c r="O116">
        <f t="shared" si="43"/>
        <v>4.3525835294117661</v>
      </c>
      <c r="P116">
        <f t="shared" si="33"/>
        <v>1.7688984881209502</v>
      </c>
      <c r="Q116">
        <f t="shared" si="34"/>
        <v>54.6</v>
      </c>
      <c r="R116">
        <f t="shared" si="35"/>
        <v>286</v>
      </c>
      <c r="S116">
        <f t="shared" si="36"/>
        <v>331.76</v>
      </c>
      <c r="T116">
        <f t="shared" si="37"/>
        <v>68.640000000000015</v>
      </c>
      <c r="U116">
        <f>I116*E116/'[1]Inverter Analysis'!$L$2</f>
        <v>172.70639650611187</v>
      </c>
      <c r="V116">
        <f t="shared" si="38"/>
        <v>199.80019980019981</v>
      </c>
      <c r="W116">
        <f t="shared" si="39"/>
        <v>241.13817217265495</v>
      </c>
      <c r="X116">
        <f t="shared" si="40"/>
        <v>133.20013320013319</v>
      </c>
      <c r="Y116">
        <f t="shared" si="41"/>
        <v>0.46518094463015186</v>
      </c>
      <c r="Z116">
        <f t="shared" si="42"/>
        <v>2.1211101000374999</v>
      </c>
    </row>
    <row r="117" spans="1:26" hidden="1">
      <c r="A117" s="7">
        <v>14</v>
      </c>
      <c r="B117" s="7">
        <v>2</v>
      </c>
      <c r="C117" s="13">
        <v>10</v>
      </c>
      <c r="D117" s="7">
        <f t="shared" si="22"/>
        <v>200</v>
      </c>
      <c r="E117" s="7">
        <f t="shared" si="23"/>
        <v>120</v>
      </c>
      <c r="F117" s="7">
        <f t="shared" si="24"/>
        <v>19.32</v>
      </c>
      <c r="G117" s="7">
        <f t="shared" si="25"/>
        <v>0.56000000000000005</v>
      </c>
      <c r="H117" s="7">
        <f t="shared" si="26"/>
        <v>70.56</v>
      </c>
      <c r="I117" s="7">
        <f t="shared" si="27"/>
        <v>588</v>
      </c>
      <c r="J117" s="7">
        <f t="shared" si="28"/>
        <v>392</v>
      </c>
      <c r="K117" s="7">
        <f t="shared" si="29"/>
        <v>47.04</v>
      </c>
      <c r="L117" s="7">
        <f t="shared" si="30"/>
        <v>4.9391999999999996</v>
      </c>
      <c r="M117" s="7">
        <f t="shared" si="31"/>
        <v>5.1744000000000003</v>
      </c>
      <c r="N117" s="7">
        <f t="shared" si="32"/>
        <v>2.9635199999999999</v>
      </c>
      <c r="O117">
        <f t="shared" si="43"/>
        <v>4.2612705882352948</v>
      </c>
      <c r="P117" s="7">
        <f t="shared" si="33"/>
        <v>1.9049676025917925</v>
      </c>
      <c r="Q117" s="7">
        <f t="shared" si="34"/>
        <v>58.8</v>
      </c>
      <c r="R117" s="7">
        <f t="shared" si="35"/>
        <v>280</v>
      </c>
      <c r="S117" s="7">
        <f t="shared" si="36"/>
        <v>324.8</v>
      </c>
      <c r="T117" s="7">
        <f t="shared" si="37"/>
        <v>67.2</v>
      </c>
      <c r="U117" s="7">
        <f>I117*E117/'[1]Inverter Analysis'!$L$2</f>
        <v>169.08318539059906</v>
      </c>
      <c r="V117" s="7">
        <f t="shared" si="38"/>
        <v>204.08163265306123</v>
      </c>
      <c r="W117" s="7">
        <f t="shared" si="39"/>
        <v>246.30541871921181</v>
      </c>
      <c r="X117" s="7">
        <f t="shared" si="40"/>
        <v>136.05442176870747</v>
      </c>
      <c r="Y117" s="7">
        <f t="shared" si="41"/>
        <v>0.48533087432357008</v>
      </c>
      <c r="Z117" s="7">
        <f t="shared" si="42"/>
        <v>1.9903947</v>
      </c>
    </row>
    <row r="118" spans="1:26" hidden="1">
      <c r="A118">
        <v>15</v>
      </c>
      <c r="B118">
        <v>2</v>
      </c>
      <c r="C118" s="12">
        <v>9</v>
      </c>
      <c r="D118">
        <f t="shared" si="22"/>
        <v>200</v>
      </c>
      <c r="E118">
        <f t="shared" si="23"/>
        <v>120</v>
      </c>
      <c r="F118">
        <f t="shared" si="24"/>
        <v>18.63</v>
      </c>
      <c r="G118">
        <f t="shared" si="25"/>
        <v>0.54</v>
      </c>
      <c r="H118">
        <f t="shared" si="26"/>
        <v>68.040000000000006</v>
      </c>
      <c r="I118">
        <f t="shared" si="27"/>
        <v>567</v>
      </c>
      <c r="J118">
        <f t="shared" si="28"/>
        <v>378</v>
      </c>
      <c r="K118">
        <f t="shared" si="29"/>
        <v>45.36</v>
      </c>
      <c r="L118">
        <f t="shared" si="30"/>
        <v>4.7628000000000004</v>
      </c>
      <c r="M118">
        <f t="shared" si="31"/>
        <v>4.9896000000000003</v>
      </c>
      <c r="N118">
        <f t="shared" si="32"/>
        <v>2.8576799999999998</v>
      </c>
      <c r="O118">
        <f t="shared" si="43"/>
        <v>4.1090823529411766</v>
      </c>
      <c r="P118">
        <f t="shared" si="33"/>
        <v>2.0410367170626347</v>
      </c>
      <c r="Q118">
        <f t="shared" si="34"/>
        <v>63</v>
      </c>
      <c r="R118">
        <f t="shared" si="35"/>
        <v>270</v>
      </c>
      <c r="S118">
        <f t="shared" si="36"/>
        <v>313.2</v>
      </c>
      <c r="T118">
        <f t="shared" si="37"/>
        <v>64.800000000000011</v>
      </c>
      <c r="U118">
        <f>I118*E118/'[1]Inverter Analysis'!$L$2</f>
        <v>163.04450019807766</v>
      </c>
      <c r="V118">
        <f t="shared" si="38"/>
        <v>211.64021164021165</v>
      </c>
      <c r="W118">
        <f t="shared" si="39"/>
        <v>255.4278416347382</v>
      </c>
      <c r="X118">
        <f t="shared" si="40"/>
        <v>141.09347442680777</v>
      </c>
      <c r="Y118">
        <f t="shared" si="41"/>
        <v>0.52194705825744725</v>
      </c>
      <c r="Z118">
        <f t="shared" si="42"/>
        <v>1.7846637609374996</v>
      </c>
    </row>
    <row r="119" spans="1:26" hidden="1">
      <c r="A119">
        <v>11</v>
      </c>
      <c r="B119">
        <v>2</v>
      </c>
      <c r="C119">
        <v>12</v>
      </c>
      <c r="D119">
        <f t="shared" si="22"/>
        <v>200</v>
      </c>
      <c r="E119">
        <f t="shared" si="23"/>
        <v>120</v>
      </c>
      <c r="F119">
        <f t="shared" si="24"/>
        <v>18.216000000000001</v>
      </c>
      <c r="G119">
        <f t="shared" si="25"/>
        <v>0.52800000000000002</v>
      </c>
      <c r="H119">
        <f t="shared" si="26"/>
        <v>66.528000000000006</v>
      </c>
      <c r="I119">
        <f t="shared" si="27"/>
        <v>554.4</v>
      </c>
      <c r="J119">
        <f t="shared" si="28"/>
        <v>369.59999999999997</v>
      </c>
      <c r="K119">
        <f t="shared" si="29"/>
        <v>44.35199999999999</v>
      </c>
      <c r="L119">
        <f t="shared" si="30"/>
        <v>4.6569599999999998</v>
      </c>
      <c r="M119">
        <f t="shared" si="31"/>
        <v>4.8787200000000004</v>
      </c>
      <c r="N119">
        <f t="shared" si="32"/>
        <v>2.7941759999999998</v>
      </c>
      <c r="O119">
        <f t="shared" si="43"/>
        <v>4.0177694117647063</v>
      </c>
      <c r="P119">
        <f t="shared" si="33"/>
        <v>1.4967602591792655</v>
      </c>
      <c r="Q119">
        <f t="shared" si="34"/>
        <v>46.199999999999996</v>
      </c>
      <c r="R119">
        <f t="shared" si="35"/>
        <v>264</v>
      </c>
      <c r="S119">
        <f t="shared" si="36"/>
        <v>306.23999999999995</v>
      </c>
      <c r="T119">
        <f t="shared" si="37"/>
        <v>63.36</v>
      </c>
      <c r="U119">
        <f>I119*E119/'[1]Inverter Analysis'!$L$2</f>
        <v>159.42128908256481</v>
      </c>
      <c r="V119">
        <f t="shared" si="38"/>
        <v>216.45021645021646</v>
      </c>
      <c r="W119">
        <f t="shared" si="39"/>
        <v>261.23301985370955</v>
      </c>
      <c r="X119">
        <f t="shared" si="40"/>
        <v>144.3001443001443</v>
      </c>
      <c r="Y119">
        <f t="shared" si="41"/>
        <v>0.54594152529510898</v>
      </c>
      <c r="Z119">
        <f t="shared" si="42"/>
        <v>1.6683105383999994</v>
      </c>
    </row>
    <row r="120" spans="1:26" hidden="1">
      <c r="A120">
        <v>12</v>
      </c>
      <c r="B120">
        <v>2</v>
      </c>
      <c r="C120" s="12">
        <v>11</v>
      </c>
      <c r="D120">
        <f t="shared" si="22"/>
        <v>200</v>
      </c>
      <c r="E120">
        <f t="shared" si="23"/>
        <v>120</v>
      </c>
      <c r="F120">
        <f t="shared" si="24"/>
        <v>18.216000000000001</v>
      </c>
      <c r="G120">
        <f t="shared" si="25"/>
        <v>0.52800000000000002</v>
      </c>
      <c r="H120">
        <f t="shared" si="26"/>
        <v>66.528000000000006</v>
      </c>
      <c r="I120">
        <f t="shared" si="27"/>
        <v>554.4</v>
      </c>
      <c r="J120">
        <f t="shared" si="28"/>
        <v>369.59999999999997</v>
      </c>
      <c r="K120">
        <f t="shared" si="29"/>
        <v>44.35199999999999</v>
      </c>
      <c r="L120">
        <f t="shared" si="30"/>
        <v>4.6569599999999998</v>
      </c>
      <c r="M120">
        <f t="shared" si="31"/>
        <v>4.8787200000000004</v>
      </c>
      <c r="N120">
        <f t="shared" si="32"/>
        <v>2.7941759999999998</v>
      </c>
      <c r="O120">
        <f t="shared" si="43"/>
        <v>4.0177694117647063</v>
      </c>
      <c r="P120">
        <f t="shared" si="33"/>
        <v>1.6328293736501076</v>
      </c>
      <c r="Q120">
        <f t="shared" si="34"/>
        <v>50.4</v>
      </c>
      <c r="R120">
        <f t="shared" si="35"/>
        <v>264</v>
      </c>
      <c r="S120">
        <f t="shared" si="36"/>
        <v>306.23999999999995</v>
      </c>
      <c r="T120">
        <f t="shared" si="37"/>
        <v>63.36</v>
      </c>
      <c r="U120">
        <f>I120*E120/'[1]Inverter Analysis'!$L$2</f>
        <v>159.42128908256481</v>
      </c>
      <c r="V120">
        <f t="shared" si="38"/>
        <v>216.45021645021646</v>
      </c>
      <c r="W120">
        <f t="shared" si="39"/>
        <v>261.23301985370955</v>
      </c>
      <c r="X120">
        <f t="shared" si="40"/>
        <v>144.3001443001443</v>
      </c>
      <c r="Y120">
        <f t="shared" si="41"/>
        <v>0.54594152529510898</v>
      </c>
      <c r="Z120">
        <f t="shared" si="42"/>
        <v>1.6683105383999994</v>
      </c>
    </row>
    <row r="121" spans="1:26" hidden="1">
      <c r="A121">
        <v>13</v>
      </c>
      <c r="B121">
        <v>2</v>
      </c>
      <c r="C121" s="12">
        <v>10</v>
      </c>
      <c r="D121">
        <f t="shared" si="22"/>
        <v>200</v>
      </c>
      <c r="E121">
        <f t="shared" si="23"/>
        <v>120</v>
      </c>
      <c r="F121">
        <f t="shared" si="24"/>
        <v>17.940000000000001</v>
      </c>
      <c r="G121">
        <f t="shared" si="25"/>
        <v>0.52</v>
      </c>
      <c r="H121">
        <f t="shared" si="26"/>
        <v>65.52</v>
      </c>
      <c r="I121">
        <f t="shared" si="27"/>
        <v>546</v>
      </c>
      <c r="J121">
        <f t="shared" si="28"/>
        <v>364</v>
      </c>
      <c r="K121">
        <f t="shared" si="29"/>
        <v>43.68</v>
      </c>
      <c r="L121">
        <f t="shared" si="30"/>
        <v>4.5864000000000003</v>
      </c>
      <c r="M121">
        <f t="shared" si="31"/>
        <v>4.8048000000000002</v>
      </c>
      <c r="N121">
        <f t="shared" si="32"/>
        <v>2.7518400000000001</v>
      </c>
      <c r="O121">
        <f t="shared" si="43"/>
        <v>3.9568941176470593</v>
      </c>
      <c r="P121">
        <f t="shared" si="33"/>
        <v>1.7688984881209504</v>
      </c>
      <c r="Q121">
        <f t="shared" si="34"/>
        <v>54.6</v>
      </c>
      <c r="R121">
        <f t="shared" si="35"/>
        <v>260</v>
      </c>
      <c r="S121">
        <f t="shared" si="36"/>
        <v>301.60000000000002</v>
      </c>
      <c r="T121">
        <f t="shared" si="37"/>
        <v>62.400000000000006</v>
      </c>
      <c r="U121">
        <f>I121*E121/'[1]Inverter Analysis'!$L$2</f>
        <v>157.00581500555626</v>
      </c>
      <c r="V121">
        <f t="shared" si="38"/>
        <v>219.78021978021977</v>
      </c>
      <c r="W121">
        <f t="shared" si="39"/>
        <v>265.25198938992042</v>
      </c>
      <c r="X121">
        <f t="shared" si="40"/>
        <v>146.52014652014651</v>
      </c>
      <c r="Y121">
        <f t="shared" si="41"/>
        <v>0.56286894300248369</v>
      </c>
      <c r="Z121">
        <f t="shared" si="42"/>
        <v>1.5936214125000001</v>
      </c>
    </row>
    <row r="122" spans="1:26" hidden="1">
      <c r="A122">
        <v>16</v>
      </c>
      <c r="B122">
        <v>2</v>
      </c>
      <c r="C122" s="12">
        <v>8</v>
      </c>
      <c r="D122">
        <f t="shared" si="22"/>
        <v>200</v>
      </c>
      <c r="E122">
        <f t="shared" si="23"/>
        <v>120</v>
      </c>
      <c r="F122">
        <f t="shared" si="24"/>
        <v>17.664000000000001</v>
      </c>
      <c r="G122">
        <f t="shared" si="25"/>
        <v>0.51200000000000001</v>
      </c>
      <c r="H122">
        <f t="shared" si="26"/>
        <v>64.512</v>
      </c>
      <c r="I122">
        <f t="shared" si="27"/>
        <v>537.6</v>
      </c>
      <c r="J122">
        <f t="shared" si="28"/>
        <v>358.4</v>
      </c>
      <c r="K122">
        <f t="shared" si="29"/>
        <v>43.008000000000003</v>
      </c>
      <c r="L122">
        <f t="shared" si="30"/>
        <v>4.5158399999999999</v>
      </c>
      <c r="M122">
        <f t="shared" si="31"/>
        <v>4.7308800000000009</v>
      </c>
      <c r="N122">
        <f t="shared" si="32"/>
        <v>2.7095040000000004</v>
      </c>
      <c r="O122">
        <f t="shared" si="43"/>
        <v>3.8960188235294129</v>
      </c>
      <c r="P122">
        <f t="shared" si="33"/>
        <v>2.1771058315334777</v>
      </c>
      <c r="Q122">
        <f t="shared" si="34"/>
        <v>67.2</v>
      </c>
      <c r="R122">
        <f t="shared" si="35"/>
        <v>256</v>
      </c>
      <c r="S122">
        <f t="shared" si="36"/>
        <v>296.95999999999998</v>
      </c>
      <c r="T122">
        <f t="shared" si="37"/>
        <v>61.44</v>
      </c>
      <c r="U122">
        <f>I122*E122/'[1]Inverter Analysis'!$L$2</f>
        <v>154.5903409285477</v>
      </c>
      <c r="V122">
        <f t="shared" si="38"/>
        <v>223.21428571428572</v>
      </c>
      <c r="W122">
        <f t="shared" si="39"/>
        <v>269.39655172413796</v>
      </c>
      <c r="X122">
        <f t="shared" si="40"/>
        <v>148.8095238095238</v>
      </c>
      <c r="Y122">
        <f t="shared" si="41"/>
        <v>0.58059601664684912</v>
      </c>
      <c r="Z122">
        <f t="shared" si="42"/>
        <v>1.5211954175999998</v>
      </c>
    </row>
    <row r="123" spans="1:26" hidden="1">
      <c r="A123">
        <v>14</v>
      </c>
      <c r="B123">
        <v>2</v>
      </c>
      <c r="C123" s="12">
        <v>9</v>
      </c>
      <c r="D123">
        <f t="shared" si="22"/>
        <v>200</v>
      </c>
      <c r="E123">
        <f t="shared" si="23"/>
        <v>120</v>
      </c>
      <c r="F123">
        <f t="shared" si="24"/>
        <v>17.388000000000002</v>
      </c>
      <c r="G123">
        <f t="shared" si="25"/>
        <v>0.504</v>
      </c>
      <c r="H123">
        <f t="shared" si="26"/>
        <v>63.504000000000005</v>
      </c>
      <c r="I123">
        <f t="shared" si="27"/>
        <v>529.20000000000005</v>
      </c>
      <c r="J123">
        <f t="shared" si="28"/>
        <v>352.79999999999995</v>
      </c>
      <c r="K123">
        <f t="shared" si="29"/>
        <v>42.335999999999991</v>
      </c>
      <c r="L123">
        <f t="shared" si="30"/>
        <v>4.4452800000000003</v>
      </c>
      <c r="M123">
        <f t="shared" si="31"/>
        <v>4.6569600000000007</v>
      </c>
      <c r="N123">
        <f t="shared" si="32"/>
        <v>2.6671680000000002</v>
      </c>
      <c r="O123">
        <f t="shared" si="43"/>
        <v>3.8351435294117655</v>
      </c>
      <c r="P123">
        <f t="shared" si="33"/>
        <v>1.9049676025917925</v>
      </c>
      <c r="Q123">
        <f t="shared" si="34"/>
        <v>58.800000000000004</v>
      </c>
      <c r="R123">
        <f t="shared" si="35"/>
        <v>252</v>
      </c>
      <c r="S123">
        <f t="shared" si="36"/>
        <v>292.31999999999994</v>
      </c>
      <c r="T123">
        <f t="shared" si="37"/>
        <v>60.480000000000004</v>
      </c>
      <c r="U123">
        <f>I123*E123/'[1]Inverter Analysis'!$L$2</f>
        <v>152.17486685153915</v>
      </c>
      <c r="V123">
        <f t="shared" si="38"/>
        <v>226.7573696145125</v>
      </c>
      <c r="W123">
        <f t="shared" si="39"/>
        <v>273.672687465791</v>
      </c>
      <c r="X123">
        <f t="shared" si="40"/>
        <v>151.17157974300829</v>
      </c>
      <c r="Y123">
        <f t="shared" si="41"/>
        <v>0.59917391891798821</v>
      </c>
      <c r="Z123">
        <f t="shared" si="42"/>
        <v>1.4509977362999993</v>
      </c>
    </row>
    <row r="124" spans="1:26" hidden="1">
      <c r="A124">
        <v>11</v>
      </c>
      <c r="B124">
        <v>2</v>
      </c>
      <c r="C124" s="12">
        <v>11</v>
      </c>
      <c r="D124">
        <f t="shared" si="22"/>
        <v>200</v>
      </c>
      <c r="E124">
        <f t="shared" si="23"/>
        <v>120</v>
      </c>
      <c r="F124">
        <f t="shared" si="24"/>
        <v>16.698</v>
      </c>
      <c r="G124">
        <f t="shared" si="25"/>
        <v>0.48399999999999999</v>
      </c>
      <c r="H124">
        <f t="shared" si="26"/>
        <v>60.984000000000009</v>
      </c>
      <c r="I124">
        <f t="shared" si="27"/>
        <v>508.20000000000005</v>
      </c>
      <c r="J124">
        <f t="shared" si="28"/>
        <v>338.79999999999995</v>
      </c>
      <c r="K124">
        <f t="shared" si="29"/>
        <v>40.655999999999992</v>
      </c>
      <c r="L124">
        <f t="shared" si="30"/>
        <v>4.2688800000000002</v>
      </c>
      <c r="M124">
        <f t="shared" si="31"/>
        <v>4.4721600000000006</v>
      </c>
      <c r="N124">
        <f t="shared" si="32"/>
        <v>2.5613280000000005</v>
      </c>
      <c r="O124">
        <f t="shared" si="43"/>
        <v>3.6829552941176478</v>
      </c>
      <c r="P124">
        <f t="shared" si="33"/>
        <v>1.4967602591792657</v>
      </c>
      <c r="Q124">
        <f t="shared" si="34"/>
        <v>46.2</v>
      </c>
      <c r="R124">
        <f t="shared" si="35"/>
        <v>242</v>
      </c>
      <c r="S124">
        <f t="shared" si="36"/>
        <v>280.71999999999997</v>
      </c>
      <c r="T124">
        <f t="shared" si="37"/>
        <v>58.08</v>
      </c>
      <c r="U124">
        <f>I124*E124/'[1]Inverter Analysis'!$L$2</f>
        <v>146.13618165901775</v>
      </c>
      <c r="V124">
        <f t="shared" si="38"/>
        <v>236.12750885478161</v>
      </c>
      <c r="W124">
        <f t="shared" si="39"/>
        <v>284.98147620404677</v>
      </c>
      <c r="X124">
        <f t="shared" si="40"/>
        <v>157.41833923652104</v>
      </c>
      <c r="Y124">
        <f t="shared" si="41"/>
        <v>0.64971553423550144</v>
      </c>
      <c r="Z124">
        <f t="shared" si="42"/>
        <v>1.2850239158624999</v>
      </c>
    </row>
    <row r="125" spans="1:26" hidden="1">
      <c r="A125">
        <v>10</v>
      </c>
      <c r="B125">
        <v>2</v>
      </c>
      <c r="C125">
        <v>12</v>
      </c>
      <c r="D125">
        <f t="shared" si="22"/>
        <v>200</v>
      </c>
      <c r="E125">
        <f t="shared" si="23"/>
        <v>120</v>
      </c>
      <c r="F125">
        <f t="shared" si="24"/>
        <v>16.559999999999999</v>
      </c>
      <c r="G125">
        <f t="shared" si="25"/>
        <v>0.48</v>
      </c>
      <c r="H125">
        <f t="shared" si="26"/>
        <v>60.48</v>
      </c>
      <c r="I125">
        <f t="shared" si="27"/>
        <v>504</v>
      </c>
      <c r="J125">
        <f t="shared" si="28"/>
        <v>336</v>
      </c>
      <c r="K125">
        <f t="shared" si="29"/>
        <v>40.32</v>
      </c>
      <c r="L125">
        <f t="shared" si="30"/>
        <v>4.2336</v>
      </c>
      <c r="M125">
        <f t="shared" si="31"/>
        <v>4.4352000000000009</v>
      </c>
      <c r="N125">
        <f t="shared" si="32"/>
        <v>2.5401599999999998</v>
      </c>
      <c r="O125">
        <f t="shared" si="43"/>
        <v>3.6525176470588248</v>
      </c>
      <c r="P125">
        <f t="shared" si="33"/>
        <v>1.3606911447084233</v>
      </c>
      <c r="Q125">
        <f t="shared" si="34"/>
        <v>42</v>
      </c>
      <c r="R125">
        <f t="shared" si="35"/>
        <v>240</v>
      </c>
      <c r="S125">
        <f t="shared" si="36"/>
        <v>278.39999999999998</v>
      </c>
      <c r="T125">
        <f t="shared" si="37"/>
        <v>57.599999999999994</v>
      </c>
      <c r="U125">
        <f>I125*E125/'[1]Inverter Analysis'!$L$2</f>
        <v>144.92844462051346</v>
      </c>
      <c r="V125">
        <f t="shared" si="38"/>
        <v>238.0952380952381</v>
      </c>
      <c r="W125">
        <f t="shared" si="39"/>
        <v>287.35632183908046</v>
      </c>
      <c r="X125">
        <f t="shared" si="40"/>
        <v>158.73015873015873</v>
      </c>
      <c r="Y125">
        <f t="shared" si="41"/>
        <v>0.66058924560708154</v>
      </c>
      <c r="Z125">
        <f t="shared" si="42"/>
        <v>1.2534263999999997</v>
      </c>
    </row>
    <row r="126" spans="1:26" hidden="1">
      <c r="A126">
        <v>12</v>
      </c>
      <c r="B126">
        <v>2</v>
      </c>
      <c r="C126" s="12">
        <v>10</v>
      </c>
      <c r="D126">
        <f t="shared" si="22"/>
        <v>200</v>
      </c>
      <c r="E126">
        <f t="shared" si="23"/>
        <v>120</v>
      </c>
      <c r="F126">
        <f t="shared" si="24"/>
        <v>16.559999999999999</v>
      </c>
      <c r="G126">
        <f t="shared" si="25"/>
        <v>0.48</v>
      </c>
      <c r="H126">
        <f t="shared" si="26"/>
        <v>60.48</v>
      </c>
      <c r="I126">
        <f t="shared" si="27"/>
        <v>504</v>
      </c>
      <c r="J126">
        <f t="shared" si="28"/>
        <v>336</v>
      </c>
      <c r="K126">
        <f t="shared" si="29"/>
        <v>40.32</v>
      </c>
      <c r="L126">
        <f t="shared" si="30"/>
        <v>4.2336</v>
      </c>
      <c r="M126">
        <f t="shared" si="31"/>
        <v>4.4352000000000009</v>
      </c>
      <c r="N126">
        <f t="shared" si="32"/>
        <v>2.5401599999999998</v>
      </c>
      <c r="O126">
        <f t="shared" si="43"/>
        <v>3.6525176470588248</v>
      </c>
      <c r="P126">
        <f t="shared" si="33"/>
        <v>1.6328293736501081</v>
      </c>
      <c r="Q126">
        <f t="shared" si="34"/>
        <v>50.4</v>
      </c>
      <c r="R126">
        <f t="shared" si="35"/>
        <v>240</v>
      </c>
      <c r="S126">
        <f t="shared" si="36"/>
        <v>278.39999999999998</v>
      </c>
      <c r="T126">
        <f t="shared" si="37"/>
        <v>57.599999999999994</v>
      </c>
      <c r="U126">
        <f>I126*E126/'[1]Inverter Analysis'!$L$2</f>
        <v>144.92844462051346</v>
      </c>
      <c r="V126">
        <f t="shared" si="38"/>
        <v>238.0952380952381</v>
      </c>
      <c r="W126">
        <f t="shared" si="39"/>
        <v>287.35632183908046</v>
      </c>
      <c r="X126">
        <f t="shared" si="40"/>
        <v>158.73015873015873</v>
      </c>
      <c r="Y126">
        <f t="shared" si="41"/>
        <v>0.66058924560708154</v>
      </c>
      <c r="Z126">
        <f t="shared" si="42"/>
        <v>1.2534263999999997</v>
      </c>
    </row>
    <row r="127" spans="1:26" hidden="1">
      <c r="A127">
        <v>15</v>
      </c>
      <c r="B127">
        <v>2</v>
      </c>
      <c r="C127" s="12">
        <v>8</v>
      </c>
      <c r="D127">
        <f t="shared" si="22"/>
        <v>200</v>
      </c>
      <c r="E127">
        <f t="shared" si="23"/>
        <v>120</v>
      </c>
      <c r="F127">
        <f t="shared" si="24"/>
        <v>16.559999999999999</v>
      </c>
      <c r="G127">
        <f t="shared" si="25"/>
        <v>0.48</v>
      </c>
      <c r="H127">
        <f t="shared" si="26"/>
        <v>60.48</v>
      </c>
      <c r="I127">
        <f t="shared" si="27"/>
        <v>504</v>
      </c>
      <c r="J127">
        <f t="shared" si="28"/>
        <v>336</v>
      </c>
      <c r="K127">
        <f t="shared" si="29"/>
        <v>40.32</v>
      </c>
      <c r="L127">
        <f t="shared" si="30"/>
        <v>4.2336</v>
      </c>
      <c r="M127">
        <f t="shared" si="31"/>
        <v>4.4352000000000009</v>
      </c>
      <c r="N127">
        <f t="shared" si="32"/>
        <v>2.5401599999999998</v>
      </c>
      <c r="O127">
        <f t="shared" si="43"/>
        <v>3.6525176470588248</v>
      </c>
      <c r="P127">
        <f t="shared" si="33"/>
        <v>2.0410367170626351</v>
      </c>
      <c r="Q127">
        <f t="shared" si="34"/>
        <v>63</v>
      </c>
      <c r="R127">
        <f t="shared" si="35"/>
        <v>240</v>
      </c>
      <c r="S127">
        <f t="shared" si="36"/>
        <v>278.39999999999998</v>
      </c>
      <c r="T127">
        <f t="shared" si="37"/>
        <v>57.599999999999994</v>
      </c>
      <c r="U127">
        <f>I127*E127/'[1]Inverter Analysis'!$L$2</f>
        <v>144.92844462051346</v>
      </c>
      <c r="V127">
        <f t="shared" si="38"/>
        <v>238.0952380952381</v>
      </c>
      <c r="W127">
        <f t="shared" si="39"/>
        <v>287.35632183908046</v>
      </c>
      <c r="X127">
        <f t="shared" si="40"/>
        <v>158.73015873015873</v>
      </c>
      <c r="Y127">
        <f t="shared" si="41"/>
        <v>0.66058924560708154</v>
      </c>
      <c r="Z127">
        <f t="shared" si="42"/>
        <v>1.2534263999999997</v>
      </c>
    </row>
    <row r="128" spans="1:26" hidden="1">
      <c r="A128">
        <v>13</v>
      </c>
      <c r="B128">
        <v>2</v>
      </c>
      <c r="C128" s="12">
        <v>9</v>
      </c>
      <c r="D128">
        <f t="shared" si="22"/>
        <v>200</v>
      </c>
      <c r="E128">
        <f t="shared" si="23"/>
        <v>120</v>
      </c>
      <c r="F128">
        <f t="shared" si="24"/>
        <v>16.146000000000001</v>
      </c>
      <c r="G128">
        <f t="shared" si="25"/>
        <v>0.46800000000000003</v>
      </c>
      <c r="H128">
        <f t="shared" si="26"/>
        <v>58.968000000000011</v>
      </c>
      <c r="I128">
        <f t="shared" si="27"/>
        <v>491.40000000000003</v>
      </c>
      <c r="J128">
        <f t="shared" si="28"/>
        <v>327.59999999999997</v>
      </c>
      <c r="K128">
        <f t="shared" si="29"/>
        <v>39.311999999999991</v>
      </c>
      <c r="L128">
        <f t="shared" si="30"/>
        <v>4.1277600000000003</v>
      </c>
      <c r="M128">
        <f t="shared" si="31"/>
        <v>4.3243200000000011</v>
      </c>
      <c r="N128">
        <f t="shared" si="32"/>
        <v>2.4766560000000002</v>
      </c>
      <c r="O128">
        <f t="shared" si="43"/>
        <v>3.5612047058823539</v>
      </c>
      <c r="P128">
        <f t="shared" si="33"/>
        <v>1.7688984881209504</v>
      </c>
      <c r="Q128">
        <f t="shared" si="34"/>
        <v>54.6</v>
      </c>
      <c r="R128">
        <f t="shared" si="35"/>
        <v>234</v>
      </c>
      <c r="S128">
        <f t="shared" si="36"/>
        <v>271.43999999999994</v>
      </c>
      <c r="T128">
        <f t="shared" si="37"/>
        <v>56.160000000000004</v>
      </c>
      <c r="U128">
        <f>I128*E128/'[1]Inverter Analysis'!$L$2</f>
        <v>141.30523350500064</v>
      </c>
      <c r="V128">
        <f t="shared" si="38"/>
        <v>244.20024420024421</v>
      </c>
      <c r="W128">
        <f t="shared" si="39"/>
        <v>294.72443265546718</v>
      </c>
      <c r="X128">
        <f t="shared" si="40"/>
        <v>162.80016280016278</v>
      </c>
      <c r="Y128">
        <f t="shared" si="41"/>
        <v>0.69489992963269609</v>
      </c>
      <c r="Z128">
        <f t="shared" si="42"/>
        <v>1.1617500097124998</v>
      </c>
    </row>
    <row r="129" spans="1:26" hidden="1">
      <c r="A129">
        <v>14</v>
      </c>
      <c r="B129">
        <v>2</v>
      </c>
      <c r="C129" s="12">
        <v>8</v>
      </c>
      <c r="D129">
        <f t="shared" si="22"/>
        <v>200</v>
      </c>
      <c r="E129">
        <f t="shared" si="23"/>
        <v>120</v>
      </c>
      <c r="F129">
        <f t="shared" si="24"/>
        <v>15.456</v>
      </c>
      <c r="G129">
        <f t="shared" si="25"/>
        <v>0.44800000000000001</v>
      </c>
      <c r="H129">
        <f t="shared" si="26"/>
        <v>56.448000000000008</v>
      </c>
      <c r="I129">
        <f t="shared" si="27"/>
        <v>470.40000000000003</v>
      </c>
      <c r="J129">
        <f t="shared" si="28"/>
        <v>313.59999999999997</v>
      </c>
      <c r="K129">
        <f t="shared" si="29"/>
        <v>37.631999999999991</v>
      </c>
      <c r="L129">
        <f t="shared" si="30"/>
        <v>3.9513600000000006</v>
      </c>
      <c r="M129">
        <f t="shared" si="31"/>
        <v>4.1395200000000001</v>
      </c>
      <c r="N129">
        <f t="shared" si="32"/>
        <v>2.3708160000000005</v>
      </c>
      <c r="O129">
        <f t="shared" si="43"/>
        <v>3.4090164705882358</v>
      </c>
      <c r="P129">
        <f t="shared" si="33"/>
        <v>1.9049676025917928</v>
      </c>
      <c r="Q129">
        <f t="shared" si="34"/>
        <v>58.800000000000004</v>
      </c>
      <c r="R129">
        <f t="shared" si="35"/>
        <v>224</v>
      </c>
      <c r="S129">
        <f t="shared" si="36"/>
        <v>259.83999999999997</v>
      </c>
      <c r="T129">
        <f t="shared" si="37"/>
        <v>53.76</v>
      </c>
      <c r="U129">
        <f>I129*E129/'[1]Inverter Analysis'!$L$2</f>
        <v>135.26654831247924</v>
      </c>
      <c r="V129">
        <f t="shared" si="38"/>
        <v>255.10204081632656</v>
      </c>
      <c r="W129">
        <f t="shared" si="39"/>
        <v>307.88177339901483</v>
      </c>
      <c r="X129">
        <f t="shared" si="40"/>
        <v>170.06802721088434</v>
      </c>
      <c r="Y129">
        <f t="shared" si="41"/>
        <v>0.75832949113057857</v>
      </c>
      <c r="Z129">
        <f t="shared" si="42"/>
        <v>1.0190820863999996</v>
      </c>
    </row>
    <row r="130" spans="1:26" hidden="1">
      <c r="A130">
        <v>16</v>
      </c>
      <c r="B130">
        <v>2</v>
      </c>
      <c r="C130" s="12">
        <v>7</v>
      </c>
      <c r="D130">
        <f t="shared" si="22"/>
        <v>200</v>
      </c>
      <c r="E130">
        <f t="shared" si="23"/>
        <v>120</v>
      </c>
      <c r="F130">
        <f t="shared" si="24"/>
        <v>15.456</v>
      </c>
      <c r="G130">
        <f t="shared" si="25"/>
        <v>0.44800000000000001</v>
      </c>
      <c r="H130">
        <f t="shared" si="26"/>
        <v>56.448000000000008</v>
      </c>
      <c r="I130">
        <f t="shared" si="27"/>
        <v>470.40000000000003</v>
      </c>
      <c r="J130">
        <f t="shared" si="28"/>
        <v>313.59999999999997</v>
      </c>
      <c r="K130">
        <f t="shared" si="29"/>
        <v>37.631999999999991</v>
      </c>
      <c r="L130">
        <f t="shared" si="30"/>
        <v>3.9513600000000006</v>
      </c>
      <c r="M130">
        <f t="shared" si="31"/>
        <v>4.1395200000000001</v>
      </c>
      <c r="N130">
        <f t="shared" si="32"/>
        <v>2.3708160000000005</v>
      </c>
      <c r="O130">
        <f t="shared" si="43"/>
        <v>3.4090164705882358</v>
      </c>
      <c r="P130">
        <f t="shared" si="33"/>
        <v>2.1771058315334773</v>
      </c>
      <c r="Q130">
        <f t="shared" si="34"/>
        <v>67.2</v>
      </c>
      <c r="R130">
        <f t="shared" si="35"/>
        <v>224</v>
      </c>
      <c r="S130">
        <f t="shared" si="36"/>
        <v>259.83999999999997</v>
      </c>
      <c r="T130">
        <f t="shared" si="37"/>
        <v>53.76</v>
      </c>
      <c r="U130">
        <f>I130*E130/'[1]Inverter Analysis'!$L$2</f>
        <v>135.26654831247924</v>
      </c>
      <c r="V130">
        <f t="shared" si="38"/>
        <v>255.10204081632656</v>
      </c>
      <c r="W130">
        <f t="shared" si="39"/>
        <v>307.88177339901483</v>
      </c>
      <c r="X130">
        <f t="shared" si="40"/>
        <v>170.06802721088434</v>
      </c>
      <c r="Y130">
        <f t="shared" si="41"/>
        <v>0.75832949113057857</v>
      </c>
      <c r="Z130">
        <f t="shared" si="42"/>
        <v>1.0190820863999996</v>
      </c>
    </row>
    <row r="131" spans="1:26" hidden="1">
      <c r="A131">
        <v>10</v>
      </c>
      <c r="B131">
        <v>2</v>
      </c>
      <c r="C131" s="12">
        <v>11</v>
      </c>
      <c r="D131">
        <f t="shared" si="22"/>
        <v>200</v>
      </c>
      <c r="E131">
        <f t="shared" si="23"/>
        <v>120</v>
      </c>
      <c r="F131">
        <f t="shared" si="24"/>
        <v>15.18</v>
      </c>
      <c r="G131">
        <f t="shared" si="25"/>
        <v>0.44</v>
      </c>
      <c r="H131">
        <f t="shared" si="26"/>
        <v>55.44</v>
      </c>
      <c r="I131">
        <f t="shared" si="27"/>
        <v>462</v>
      </c>
      <c r="J131">
        <f t="shared" si="28"/>
        <v>308</v>
      </c>
      <c r="K131">
        <f t="shared" si="29"/>
        <v>36.96</v>
      </c>
      <c r="L131">
        <f t="shared" si="30"/>
        <v>3.8808000000000002</v>
      </c>
      <c r="M131">
        <f t="shared" si="31"/>
        <v>4.0656000000000008</v>
      </c>
      <c r="N131">
        <f t="shared" si="32"/>
        <v>2.3284799999999999</v>
      </c>
      <c r="O131">
        <f t="shared" si="43"/>
        <v>3.3481411764705893</v>
      </c>
      <c r="P131">
        <f t="shared" si="33"/>
        <v>1.3606911447084231</v>
      </c>
      <c r="Q131">
        <f t="shared" si="34"/>
        <v>42</v>
      </c>
      <c r="R131">
        <f t="shared" si="35"/>
        <v>220</v>
      </c>
      <c r="S131">
        <f t="shared" si="36"/>
        <v>255.2</v>
      </c>
      <c r="T131">
        <f t="shared" si="37"/>
        <v>52.8</v>
      </c>
      <c r="U131">
        <f>I131*E131/'[1]Inverter Analysis'!$L$2</f>
        <v>132.85107423547069</v>
      </c>
      <c r="V131">
        <f t="shared" si="38"/>
        <v>259.74025974025972</v>
      </c>
      <c r="W131">
        <f t="shared" si="39"/>
        <v>313.47962382445144</v>
      </c>
      <c r="X131">
        <f t="shared" si="40"/>
        <v>173.16017316017317</v>
      </c>
      <c r="Y131">
        <f t="shared" si="41"/>
        <v>0.78615579642495659</v>
      </c>
      <c r="Z131">
        <f t="shared" si="42"/>
        <v>0.96545748749999993</v>
      </c>
    </row>
    <row r="132" spans="1:26" hidden="1">
      <c r="A132">
        <v>11</v>
      </c>
      <c r="B132">
        <v>2</v>
      </c>
      <c r="C132" s="12">
        <v>10</v>
      </c>
      <c r="D132">
        <f t="shared" si="22"/>
        <v>200</v>
      </c>
      <c r="E132">
        <f t="shared" si="23"/>
        <v>120</v>
      </c>
      <c r="F132">
        <f t="shared" si="24"/>
        <v>15.18</v>
      </c>
      <c r="G132">
        <f t="shared" si="25"/>
        <v>0.43999999999999995</v>
      </c>
      <c r="H132">
        <f t="shared" si="26"/>
        <v>55.44</v>
      </c>
      <c r="I132">
        <f t="shared" si="27"/>
        <v>462</v>
      </c>
      <c r="J132">
        <f t="shared" si="28"/>
        <v>308</v>
      </c>
      <c r="K132">
        <f t="shared" si="29"/>
        <v>36.96</v>
      </c>
      <c r="L132">
        <f t="shared" si="30"/>
        <v>3.8808000000000002</v>
      </c>
      <c r="M132">
        <f t="shared" si="31"/>
        <v>4.0656000000000008</v>
      </c>
      <c r="N132">
        <f t="shared" si="32"/>
        <v>2.3284799999999999</v>
      </c>
      <c r="O132">
        <f t="shared" si="43"/>
        <v>3.3481411764705893</v>
      </c>
      <c r="P132">
        <f t="shared" si="33"/>
        <v>1.4967602591792655</v>
      </c>
      <c r="Q132">
        <f t="shared" si="34"/>
        <v>46.2</v>
      </c>
      <c r="R132">
        <f t="shared" si="35"/>
        <v>220</v>
      </c>
      <c r="S132">
        <f t="shared" si="36"/>
        <v>255.2</v>
      </c>
      <c r="T132">
        <f t="shared" si="37"/>
        <v>52.8</v>
      </c>
      <c r="U132">
        <f>I132*E132/'[1]Inverter Analysis'!$L$2</f>
        <v>132.85107423547069</v>
      </c>
      <c r="V132">
        <f t="shared" si="38"/>
        <v>259.74025974025972</v>
      </c>
      <c r="W132">
        <f t="shared" si="39"/>
        <v>313.47962382445144</v>
      </c>
      <c r="X132">
        <f t="shared" si="40"/>
        <v>173.16017316017317</v>
      </c>
      <c r="Y132">
        <f t="shared" si="41"/>
        <v>0.78615579642495659</v>
      </c>
      <c r="Z132">
        <f t="shared" si="42"/>
        <v>0.96545748749999993</v>
      </c>
    </row>
    <row r="133" spans="1:26" hidden="1">
      <c r="A133">
        <v>12</v>
      </c>
      <c r="B133">
        <v>2</v>
      </c>
      <c r="C133" s="12">
        <v>9</v>
      </c>
      <c r="D133">
        <f t="shared" si="22"/>
        <v>200</v>
      </c>
      <c r="E133">
        <f t="shared" si="23"/>
        <v>120</v>
      </c>
      <c r="F133">
        <f t="shared" si="24"/>
        <v>14.904</v>
      </c>
      <c r="G133">
        <f t="shared" si="25"/>
        <v>0.432</v>
      </c>
      <c r="H133">
        <f t="shared" si="26"/>
        <v>54.432000000000002</v>
      </c>
      <c r="I133">
        <f t="shared" si="27"/>
        <v>453.6</v>
      </c>
      <c r="J133">
        <f t="shared" si="28"/>
        <v>302.39999999999998</v>
      </c>
      <c r="K133">
        <f t="shared" si="29"/>
        <v>36.287999999999997</v>
      </c>
      <c r="L133">
        <f t="shared" si="30"/>
        <v>3.8102400000000003</v>
      </c>
      <c r="M133">
        <f t="shared" si="31"/>
        <v>3.9916800000000006</v>
      </c>
      <c r="N133">
        <f t="shared" si="32"/>
        <v>2.2861440000000002</v>
      </c>
      <c r="O133">
        <f t="shared" si="43"/>
        <v>3.2872658823529419</v>
      </c>
      <c r="P133">
        <f t="shared" si="33"/>
        <v>1.6328293736501081</v>
      </c>
      <c r="Q133">
        <f t="shared" si="34"/>
        <v>50.400000000000006</v>
      </c>
      <c r="R133">
        <f t="shared" si="35"/>
        <v>216</v>
      </c>
      <c r="S133">
        <f t="shared" si="36"/>
        <v>250.55999999999997</v>
      </c>
      <c r="T133">
        <f t="shared" si="37"/>
        <v>51.839999999999996</v>
      </c>
      <c r="U133">
        <f>I133*E133/'[1]Inverter Analysis'!$L$2</f>
        <v>130.43560015846211</v>
      </c>
      <c r="V133">
        <f t="shared" si="38"/>
        <v>264.55026455026456</v>
      </c>
      <c r="W133">
        <f t="shared" si="39"/>
        <v>319.28480204342276</v>
      </c>
      <c r="X133">
        <f t="shared" si="40"/>
        <v>176.3668430335097</v>
      </c>
      <c r="Y133">
        <f t="shared" si="41"/>
        <v>0.81554227852726124</v>
      </c>
      <c r="Z133">
        <f t="shared" si="42"/>
        <v>0.91374784559999978</v>
      </c>
    </row>
    <row r="134" spans="1:26" hidden="1">
      <c r="A134">
        <v>15</v>
      </c>
      <c r="B134">
        <v>2</v>
      </c>
      <c r="C134" s="12">
        <v>7</v>
      </c>
      <c r="D134">
        <f t="shared" ref="D134:D197" si="44">B134*$J$3</f>
        <v>200</v>
      </c>
      <c r="E134">
        <f t="shared" ref="E134:E197" si="45">B134*$I$3</f>
        <v>120</v>
      </c>
      <c r="F134">
        <f t="shared" ref="F134:F197" si="46">A134*B134*C134*$Q$3/1000</f>
        <v>14.49</v>
      </c>
      <c r="G134">
        <f t="shared" ref="G134:G197" si="47">((B134*$R$3^(-1))^(-1))*A134*C134</f>
        <v>0.42</v>
      </c>
      <c r="H134">
        <f t="shared" ref="H134:H197" si="48">E134*I134/1000</f>
        <v>52.92</v>
      </c>
      <c r="I134">
        <f t="shared" ref="I134:I197" si="49">A134*C134*4.2</f>
        <v>441</v>
      </c>
      <c r="J134">
        <f t="shared" ref="J134:J197" si="50">C134*A134*$K$3</f>
        <v>294</v>
      </c>
      <c r="K134">
        <f t="shared" ref="K134:K197" si="51">E134*J134/1000</f>
        <v>35.28</v>
      </c>
      <c r="L134">
        <f t="shared" ref="L134:L197" si="52">$N$3/1000*I134*B134/1000</f>
        <v>3.7044000000000001</v>
      </c>
      <c r="M134">
        <f t="shared" ref="M134:M197" si="53">$O$3/1000*I134*B134/1000</f>
        <v>3.8808000000000002</v>
      </c>
      <c r="N134">
        <f t="shared" ref="N134:N197" si="54">$P$3/1000*I134*B134/1000</f>
        <v>2.2226399999999997</v>
      </c>
      <c r="O134">
        <f t="shared" si="43"/>
        <v>3.1959529411764711</v>
      </c>
      <c r="P134">
        <f t="shared" ref="P134:P197" si="55">$H$3/1000*B134*I134/277.8/C134</f>
        <v>2.0410367170626347</v>
      </c>
      <c r="Q134">
        <f t="shared" ref="Q134:Q197" si="56">I134/C134</f>
        <v>63</v>
      </c>
      <c r="R134">
        <f t="shared" ref="R134:R197" si="57">(A134*B134*C134)</f>
        <v>210</v>
      </c>
      <c r="S134">
        <f t="shared" ref="S134:S197" si="58">J134-(G134*E134)</f>
        <v>243.6</v>
      </c>
      <c r="T134">
        <f t="shared" ref="T134:T197" si="59">G134*E134</f>
        <v>50.4</v>
      </c>
      <c r="U134">
        <f>I134*E134/'[1]Inverter Analysis'!$L$2</f>
        <v>126.81238904294929</v>
      </c>
      <c r="V134">
        <f t="shared" ref="V134:V197" si="60">80000/J134</f>
        <v>272.10884353741494</v>
      </c>
      <c r="W134">
        <f t="shared" ref="W134:W197" si="61">80000/S134</f>
        <v>328.40722495894909</v>
      </c>
      <c r="X134">
        <f t="shared" ref="X134:X197" si="62">80000/I134</f>
        <v>181.40589569160997</v>
      </c>
      <c r="Y134">
        <f t="shared" ref="Y134:Y197" si="63">(MAX(V134:X134)^2)*$R$3/1000</f>
        <v>0.86281044324190226</v>
      </c>
      <c r="Z134">
        <f t="shared" ref="Z134:Z197" si="64">($S$3*F134/(Y134*1000))*10</f>
        <v>0.83969776406250018</v>
      </c>
    </row>
    <row r="135" spans="1:26" hidden="1">
      <c r="A135">
        <v>13</v>
      </c>
      <c r="B135">
        <v>2</v>
      </c>
      <c r="C135" s="12">
        <v>8</v>
      </c>
      <c r="D135">
        <f t="shared" si="44"/>
        <v>200</v>
      </c>
      <c r="E135">
        <f t="shared" si="45"/>
        <v>120</v>
      </c>
      <c r="F135">
        <f t="shared" si="46"/>
        <v>14.352</v>
      </c>
      <c r="G135">
        <f t="shared" si="47"/>
        <v>0.41600000000000004</v>
      </c>
      <c r="H135">
        <f t="shared" si="48"/>
        <v>52.415999999999997</v>
      </c>
      <c r="I135">
        <f t="shared" si="49"/>
        <v>436.8</v>
      </c>
      <c r="J135">
        <f t="shared" si="50"/>
        <v>291.2</v>
      </c>
      <c r="K135">
        <f t="shared" si="51"/>
        <v>34.944000000000003</v>
      </c>
      <c r="L135">
        <f t="shared" si="52"/>
        <v>3.6691200000000004</v>
      </c>
      <c r="M135">
        <f t="shared" si="53"/>
        <v>3.8438400000000006</v>
      </c>
      <c r="N135">
        <f t="shared" si="54"/>
        <v>2.2014720000000003</v>
      </c>
      <c r="O135">
        <f t="shared" ref="O135:O198" si="65">M135*(($L$3-$K$3)/($L$3-$M$3))</f>
        <v>3.1655152941176476</v>
      </c>
      <c r="P135">
        <f t="shared" si="55"/>
        <v>1.7688984881209504</v>
      </c>
      <c r="Q135">
        <f t="shared" si="56"/>
        <v>54.6</v>
      </c>
      <c r="R135">
        <f t="shared" si="57"/>
        <v>208</v>
      </c>
      <c r="S135">
        <f t="shared" si="58"/>
        <v>241.27999999999997</v>
      </c>
      <c r="T135">
        <f t="shared" si="59"/>
        <v>49.92</v>
      </c>
      <c r="U135">
        <f>I135*E135/'[1]Inverter Analysis'!$L$2</f>
        <v>125.604652004445</v>
      </c>
      <c r="V135">
        <f t="shared" si="60"/>
        <v>274.72527472527474</v>
      </c>
      <c r="W135">
        <f t="shared" si="61"/>
        <v>331.56498673740055</v>
      </c>
      <c r="X135">
        <f t="shared" si="62"/>
        <v>183.15018315018315</v>
      </c>
      <c r="Y135">
        <f t="shared" si="63"/>
        <v>0.87948272344138079</v>
      </c>
      <c r="Z135">
        <f t="shared" si="64"/>
        <v>0.81593416320000001</v>
      </c>
    </row>
    <row r="136" spans="1:26" hidden="1">
      <c r="A136">
        <v>10</v>
      </c>
      <c r="B136">
        <v>2</v>
      </c>
      <c r="C136" s="12">
        <v>10</v>
      </c>
      <c r="D136">
        <f t="shared" si="44"/>
        <v>200</v>
      </c>
      <c r="E136">
        <f t="shared" si="45"/>
        <v>120</v>
      </c>
      <c r="F136">
        <f t="shared" si="46"/>
        <v>13.8</v>
      </c>
      <c r="G136">
        <f t="shared" si="47"/>
        <v>0.4</v>
      </c>
      <c r="H136">
        <f t="shared" si="48"/>
        <v>50.4</v>
      </c>
      <c r="I136">
        <f t="shared" si="49"/>
        <v>420</v>
      </c>
      <c r="J136">
        <f t="shared" si="50"/>
        <v>280</v>
      </c>
      <c r="K136">
        <f t="shared" si="51"/>
        <v>33.6</v>
      </c>
      <c r="L136">
        <f t="shared" si="52"/>
        <v>3.528</v>
      </c>
      <c r="M136">
        <f t="shared" si="53"/>
        <v>3.6960000000000006</v>
      </c>
      <c r="N136">
        <f t="shared" si="54"/>
        <v>2.1168</v>
      </c>
      <c r="O136">
        <f t="shared" si="65"/>
        <v>3.0437647058823538</v>
      </c>
      <c r="P136">
        <f t="shared" si="55"/>
        <v>1.3606911447084233</v>
      </c>
      <c r="Q136">
        <f t="shared" si="56"/>
        <v>42</v>
      </c>
      <c r="R136">
        <f t="shared" si="57"/>
        <v>200</v>
      </c>
      <c r="S136">
        <f t="shared" si="58"/>
        <v>232</v>
      </c>
      <c r="T136">
        <f t="shared" si="59"/>
        <v>48</v>
      </c>
      <c r="U136">
        <f>I136*E136/'[1]Inverter Analysis'!$L$2</f>
        <v>120.77370385042789</v>
      </c>
      <c r="V136">
        <f t="shared" si="60"/>
        <v>285.71428571428572</v>
      </c>
      <c r="W136">
        <f t="shared" si="61"/>
        <v>344.82758620689657</v>
      </c>
      <c r="X136">
        <f t="shared" si="62"/>
        <v>190.47619047619048</v>
      </c>
      <c r="Y136">
        <f t="shared" si="63"/>
        <v>0.95124851367419749</v>
      </c>
      <c r="Z136">
        <f t="shared" si="64"/>
        <v>0.72536249999999991</v>
      </c>
    </row>
    <row r="137" spans="1:26" hidden="1">
      <c r="A137">
        <v>11</v>
      </c>
      <c r="B137">
        <v>2</v>
      </c>
      <c r="C137" s="12">
        <v>9</v>
      </c>
      <c r="D137">
        <f t="shared" si="44"/>
        <v>200</v>
      </c>
      <c r="E137">
        <f t="shared" si="45"/>
        <v>120</v>
      </c>
      <c r="F137">
        <f t="shared" si="46"/>
        <v>13.662000000000001</v>
      </c>
      <c r="G137">
        <f t="shared" si="47"/>
        <v>0.39599999999999996</v>
      </c>
      <c r="H137">
        <f t="shared" si="48"/>
        <v>49.896000000000001</v>
      </c>
      <c r="I137">
        <f t="shared" si="49"/>
        <v>415.8</v>
      </c>
      <c r="J137">
        <f t="shared" si="50"/>
        <v>277.2</v>
      </c>
      <c r="K137">
        <f t="shared" si="51"/>
        <v>33.264000000000003</v>
      </c>
      <c r="L137">
        <f t="shared" si="52"/>
        <v>3.4927200000000003</v>
      </c>
      <c r="M137">
        <f t="shared" si="53"/>
        <v>3.6590400000000005</v>
      </c>
      <c r="N137">
        <f t="shared" si="54"/>
        <v>2.0956320000000002</v>
      </c>
      <c r="O137">
        <f t="shared" si="65"/>
        <v>3.0133270588235299</v>
      </c>
      <c r="P137">
        <f t="shared" si="55"/>
        <v>1.4967602591792657</v>
      </c>
      <c r="Q137">
        <f t="shared" si="56"/>
        <v>46.2</v>
      </c>
      <c r="R137">
        <f t="shared" si="57"/>
        <v>198</v>
      </c>
      <c r="S137">
        <f t="shared" si="58"/>
        <v>229.68</v>
      </c>
      <c r="T137">
        <f t="shared" si="59"/>
        <v>47.519999999999996</v>
      </c>
      <c r="U137">
        <f>I137*E137/'[1]Inverter Analysis'!$L$2</f>
        <v>119.56596681192362</v>
      </c>
      <c r="V137">
        <f t="shared" si="60"/>
        <v>288.60028860028859</v>
      </c>
      <c r="W137">
        <f t="shared" si="61"/>
        <v>348.31069313827936</v>
      </c>
      <c r="X137">
        <f t="shared" si="62"/>
        <v>192.4001924001924</v>
      </c>
      <c r="Y137">
        <f t="shared" si="63"/>
        <v>0.97056271163574892</v>
      </c>
      <c r="Z137">
        <f t="shared" si="64"/>
        <v>0.70381850838749993</v>
      </c>
    </row>
    <row r="138" spans="1:26" hidden="1">
      <c r="A138">
        <v>14</v>
      </c>
      <c r="B138">
        <v>2</v>
      </c>
      <c r="C138" s="12">
        <v>7</v>
      </c>
      <c r="D138">
        <f t="shared" si="44"/>
        <v>200</v>
      </c>
      <c r="E138">
        <f t="shared" si="45"/>
        <v>120</v>
      </c>
      <c r="F138">
        <f t="shared" si="46"/>
        <v>13.523999999999999</v>
      </c>
      <c r="G138">
        <f t="shared" si="47"/>
        <v>0.39200000000000002</v>
      </c>
      <c r="H138">
        <f t="shared" si="48"/>
        <v>49.392000000000003</v>
      </c>
      <c r="I138">
        <f t="shared" si="49"/>
        <v>411.6</v>
      </c>
      <c r="J138">
        <f t="shared" si="50"/>
        <v>274.39999999999998</v>
      </c>
      <c r="K138">
        <f t="shared" si="51"/>
        <v>32.927999999999997</v>
      </c>
      <c r="L138">
        <f t="shared" si="52"/>
        <v>3.4574400000000005</v>
      </c>
      <c r="M138">
        <f t="shared" si="53"/>
        <v>3.6220800000000004</v>
      </c>
      <c r="N138">
        <f t="shared" si="54"/>
        <v>2.0744639999999999</v>
      </c>
      <c r="O138">
        <f t="shared" si="65"/>
        <v>2.9828894117647065</v>
      </c>
      <c r="P138">
        <f t="shared" si="55"/>
        <v>1.9049676025917925</v>
      </c>
      <c r="Q138">
        <f t="shared" si="56"/>
        <v>58.800000000000004</v>
      </c>
      <c r="R138">
        <f t="shared" si="57"/>
        <v>196</v>
      </c>
      <c r="S138">
        <f t="shared" si="58"/>
        <v>227.35999999999999</v>
      </c>
      <c r="T138">
        <f t="shared" si="59"/>
        <v>47.04</v>
      </c>
      <c r="U138">
        <f>I138*E138/'[1]Inverter Analysis'!$L$2</f>
        <v>118.35822977341934</v>
      </c>
      <c r="V138">
        <f t="shared" si="60"/>
        <v>291.54518950437318</v>
      </c>
      <c r="W138">
        <f t="shared" si="61"/>
        <v>351.86488388458832</v>
      </c>
      <c r="X138">
        <f t="shared" si="62"/>
        <v>194.36345966958211</v>
      </c>
      <c r="Y138">
        <f t="shared" si="63"/>
        <v>0.99047117208891855</v>
      </c>
      <c r="Z138">
        <f t="shared" si="64"/>
        <v>0.68270538209999976</v>
      </c>
    </row>
    <row r="139" spans="1:26" hidden="1">
      <c r="A139">
        <v>12</v>
      </c>
      <c r="B139">
        <v>2</v>
      </c>
      <c r="C139" s="12">
        <v>8</v>
      </c>
      <c r="D139">
        <f t="shared" si="44"/>
        <v>200</v>
      </c>
      <c r="E139">
        <f t="shared" si="45"/>
        <v>120</v>
      </c>
      <c r="F139">
        <f t="shared" si="46"/>
        <v>13.247999999999999</v>
      </c>
      <c r="G139">
        <f t="shared" si="47"/>
        <v>0.38400000000000001</v>
      </c>
      <c r="H139">
        <f t="shared" si="48"/>
        <v>48.384000000000007</v>
      </c>
      <c r="I139">
        <f t="shared" si="49"/>
        <v>403.20000000000005</v>
      </c>
      <c r="J139">
        <f t="shared" si="50"/>
        <v>268.79999999999995</v>
      </c>
      <c r="K139">
        <f t="shared" si="51"/>
        <v>32.255999999999993</v>
      </c>
      <c r="L139">
        <f t="shared" si="52"/>
        <v>3.3868800000000006</v>
      </c>
      <c r="M139">
        <f t="shared" si="53"/>
        <v>3.5481600000000006</v>
      </c>
      <c r="N139">
        <f t="shared" si="54"/>
        <v>2.0321280000000002</v>
      </c>
      <c r="O139">
        <f t="shared" si="65"/>
        <v>2.9220141176470595</v>
      </c>
      <c r="P139">
        <f t="shared" si="55"/>
        <v>1.6328293736501081</v>
      </c>
      <c r="Q139">
        <f t="shared" si="56"/>
        <v>50.400000000000006</v>
      </c>
      <c r="R139">
        <f t="shared" si="57"/>
        <v>192</v>
      </c>
      <c r="S139">
        <f t="shared" si="58"/>
        <v>222.71999999999997</v>
      </c>
      <c r="T139">
        <f t="shared" si="59"/>
        <v>46.08</v>
      </c>
      <c r="U139">
        <f>I139*E139/'[1]Inverter Analysis'!$L$2</f>
        <v>115.9427556964108</v>
      </c>
      <c r="V139">
        <f t="shared" si="60"/>
        <v>297.61904761904765</v>
      </c>
      <c r="W139">
        <f t="shared" si="61"/>
        <v>359.19540229885064</v>
      </c>
      <c r="X139">
        <f t="shared" si="62"/>
        <v>198.4126984126984</v>
      </c>
      <c r="Y139">
        <f t="shared" si="63"/>
        <v>1.0321706962610651</v>
      </c>
      <c r="Z139">
        <f t="shared" si="64"/>
        <v>0.64175431679999972</v>
      </c>
    </row>
    <row r="140" spans="1:26" hidden="1">
      <c r="A140">
        <v>16</v>
      </c>
      <c r="B140">
        <v>2</v>
      </c>
      <c r="C140">
        <v>6</v>
      </c>
      <c r="D140">
        <f t="shared" si="44"/>
        <v>200</v>
      </c>
      <c r="E140">
        <f t="shared" si="45"/>
        <v>120</v>
      </c>
      <c r="F140">
        <f t="shared" si="46"/>
        <v>13.247999999999999</v>
      </c>
      <c r="G140">
        <f t="shared" si="47"/>
        <v>0.38400000000000001</v>
      </c>
      <c r="H140">
        <f t="shared" si="48"/>
        <v>48.384000000000007</v>
      </c>
      <c r="I140">
        <f t="shared" si="49"/>
        <v>403.20000000000005</v>
      </c>
      <c r="J140">
        <f t="shared" si="50"/>
        <v>268.79999999999995</v>
      </c>
      <c r="K140">
        <f t="shared" si="51"/>
        <v>32.255999999999993</v>
      </c>
      <c r="L140">
        <f t="shared" si="52"/>
        <v>3.3868800000000006</v>
      </c>
      <c r="M140">
        <f t="shared" si="53"/>
        <v>3.5481600000000006</v>
      </c>
      <c r="N140">
        <f t="shared" si="54"/>
        <v>2.0321280000000002</v>
      </c>
      <c r="O140">
        <f t="shared" si="65"/>
        <v>2.9220141176470595</v>
      </c>
      <c r="P140">
        <f t="shared" si="55"/>
        <v>2.1771058315334773</v>
      </c>
      <c r="Q140">
        <f t="shared" si="56"/>
        <v>67.2</v>
      </c>
      <c r="R140">
        <f t="shared" si="57"/>
        <v>192</v>
      </c>
      <c r="S140">
        <f t="shared" si="58"/>
        <v>222.71999999999997</v>
      </c>
      <c r="T140">
        <f t="shared" si="59"/>
        <v>46.08</v>
      </c>
      <c r="U140">
        <f>I140*E140/'[1]Inverter Analysis'!$L$2</f>
        <v>115.9427556964108</v>
      </c>
      <c r="V140">
        <f t="shared" si="60"/>
        <v>297.61904761904765</v>
      </c>
      <c r="W140">
        <f t="shared" si="61"/>
        <v>359.19540229885064</v>
      </c>
      <c r="X140">
        <f t="shared" si="62"/>
        <v>198.4126984126984</v>
      </c>
      <c r="Y140">
        <f t="shared" si="63"/>
        <v>1.0321706962610651</v>
      </c>
      <c r="Z140">
        <f t="shared" si="64"/>
        <v>0.64175431679999972</v>
      </c>
    </row>
    <row r="141" spans="1:26" hidden="1">
      <c r="A141" s="8">
        <v>16</v>
      </c>
      <c r="B141" s="12">
        <v>6</v>
      </c>
      <c r="C141" s="12">
        <v>12</v>
      </c>
      <c r="D141">
        <f t="shared" si="44"/>
        <v>600</v>
      </c>
      <c r="E141">
        <f t="shared" si="45"/>
        <v>360</v>
      </c>
      <c r="F141">
        <f t="shared" si="46"/>
        <v>79.488</v>
      </c>
      <c r="G141">
        <f t="shared" si="47"/>
        <v>0.25600000000000001</v>
      </c>
      <c r="H141">
        <f t="shared" si="48"/>
        <v>290.30400000000003</v>
      </c>
      <c r="I141">
        <f t="shared" si="49"/>
        <v>806.40000000000009</v>
      </c>
      <c r="J141">
        <f t="shared" si="50"/>
        <v>537.59999999999991</v>
      </c>
      <c r="K141">
        <f t="shared" si="51"/>
        <v>193.53599999999997</v>
      </c>
      <c r="L141">
        <f t="shared" si="52"/>
        <v>20.321280000000002</v>
      </c>
      <c r="M141">
        <f t="shared" si="53"/>
        <v>21.288960000000007</v>
      </c>
      <c r="N141">
        <f t="shared" si="54"/>
        <v>12.192767999999999</v>
      </c>
      <c r="O141">
        <f t="shared" si="65"/>
        <v>17.532084705882358</v>
      </c>
      <c r="P141">
        <f t="shared" si="55"/>
        <v>6.5313174946004331</v>
      </c>
      <c r="Q141">
        <f t="shared" si="56"/>
        <v>67.2</v>
      </c>
      <c r="R141">
        <f t="shared" si="57"/>
        <v>1152</v>
      </c>
      <c r="S141">
        <f t="shared" si="58"/>
        <v>445.43999999999994</v>
      </c>
      <c r="T141">
        <f t="shared" si="59"/>
        <v>92.16</v>
      </c>
      <c r="U141">
        <f>I141*E141/'[1]Inverter Analysis'!$L$2</f>
        <v>695.65653417846477</v>
      </c>
      <c r="V141">
        <f t="shared" si="60"/>
        <v>148.80952380952382</v>
      </c>
      <c r="W141">
        <f t="shared" si="61"/>
        <v>179.59770114942532</v>
      </c>
      <c r="X141">
        <f t="shared" si="62"/>
        <v>99.206349206349202</v>
      </c>
      <c r="Y141">
        <f t="shared" si="63"/>
        <v>0.25804267406526626</v>
      </c>
      <c r="Z141">
        <f t="shared" si="64"/>
        <v>15.402103603199997</v>
      </c>
    </row>
    <row r="142" spans="1:26" hidden="1">
      <c r="A142" s="8">
        <v>15</v>
      </c>
      <c r="B142" s="12">
        <v>6</v>
      </c>
      <c r="C142" s="12">
        <v>12</v>
      </c>
      <c r="D142">
        <f t="shared" si="44"/>
        <v>600</v>
      </c>
      <c r="E142">
        <f t="shared" si="45"/>
        <v>360</v>
      </c>
      <c r="F142">
        <f t="shared" si="46"/>
        <v>74.52</v>
      </c>
      <c r="G142">
        <f t="shared" si="47"/>
        <v>0.24</v>
      </c>
      <c r="H142">
        <f t="shared" si="48"/>
        <v>272.16000000000003</v>
      </c>
      <c r="I142">
        <f t="shared" si="49"/>
        <v>756</v>
      </c>
      <c r="J142">
        <f t="shared" si="50"/>
        <v>503.99999999999994</v>
      </c>
      <c r="K142">
        <f t="shared" si="51"/>
        <v>181.43999999999997</v>
      </c>
      <c r="L142">
        <f t="shared" si="52"/>
        <v>19.051200000000001</v>
      </c>
      <c r="M142">
        <f t="shared" si="53"/>
        <v>19.958400000000001</v>
      </c>
      <c r="N142">
        <f t="shared" si="54"/>
        <v>11.430720000000001</v>
      </c>
      <c r="O142">
        <f t="shared" si="65"/>
        <v>16.436329411764707</v>
      </c>
      <c r="P142">
        <f t="shared" si="55"/>
        <v>6.1231101511879045</v>
      </c>
      <c r="Q142">
        <f t="shared" si="56"/>
        <v>63</v>
      </c>
      <c r="R142">
        <f t="shared" si="57"/>
        <v>1080</v>
      </c>
      <c r="S142">
        <f t="shared" si="58"/>
        <v>417.59999999999997</v>
      </c>
      <c r="T142">
        <f t="shared" si="59"/>
        <v>86.399999999999991</v>
      </c>
      <c r="U142">
        <f>I142*E142/'[1]Inverter Analysis'!$L$2</f>
        <v>652.17800079231063</v>
      </c>
      <c r="V142">
        <f t="shared" si="60"/>
        <v>158.73015873015873</v>
      </c>
      <c r="W142">
        <f t="shared" si="61"/>
        <v>191.57088122605364</v>
      </c>
      <c r="X142">
        <f t="shared" si="62"/>
        <v>105.82010582010582</v>
      </c>
      <c r="Y142">
        <f t="shared" si="63"/>
        <v>0.29359522026981405</v>
      </c>
      <c r="Z142">
        <f t="shared" si="64"/>
        <v>12.690942299999996</v>
      </c>
    </row>
    <row r="143" spans="1:26" hidden="1">
      <c r="A143" s="8">
        <v>16</v>
      </c>
      <c r="B143" s="12">
        <v>6</v>
      </c>
      <c r="C143" s="12">
        <v>11</v>
      </c>
      <c r="D143">
        <f t="shared" si="44"/>
        <v>600</v>
      </c>
      <c r="E143">
        <f t="shared" si="45"/>
        <v>360</v>
      </c>
      <c r="F143">
        <f t="shared" si="46"/>
        <v>72.864000000000004</v>
      </c>
      <c r="G143">
        <f t="shared" si="47"/>
        <v>0.23466666666666666</v>
      </c>
      <c r="H143">
        <f t="shared" si="48"/>
        <v>266.11200000000002</v>
      </c>
      <c r="I143">
        <f t="shared" si="49"/>
        <v>739.2</v>
      </c>
      <c r="J143">
        <f t="shared" si="50"/>
        <v>492.79999999999995</v>
      </c>
      <c r="K143">
        <f t="shared" si="51"/>
        <v>177.40799999999996</v>
      </c>
      <c r="L143">
        <f t="shared" si="52"/>
        <v>18.627840000000003</v>
      </c>
      <c r="M143">
        <f t="shared" si="53"/>
        <v>19.514880000000005</v>
      </c>
      <c r="N143">
        <f t="shared" si="54"/>
        <v>11.176704000000001</v>
      </c>
      <c r="O143">
        <f t="shared" si="65"/>
        <v>16.071077647058829</v>
      </c>
      <c r="P143">
        <f t="shared" si="55"/>
        <v>6.5313174946004322</v>
      </c>
      <c r="Q143">
        <f t="shared" si="56"/>
        <v>67.2</v>
      </c>
      <c r="R143">
        <f t="shared" si="57"/>
        <v>1056</v>
      </c>
      <c r="S143">
        <f t="shared" si="58"/>
        <v>408.31999999999994</v>
      </c>
      <c r="T143">
        <f t="shared" si="59"/>
        <v>84.48</v>
      </c>
      <c r="U143">
        <f>I143*E143/'[1]Inverter Analysis'!$L$2</f>
        <v>637.68515633025925</v>
      </c>
      <c r="V143">
        <f t="shared" si="60"/>
        <v>162.33766233766235</v>
      </c>
      <c r="W143">
        <f t="shared" si="61"/>
        <v>195.92476489028215</v>
      </c>
      <c r="X143">
        <f t="shared" si="62"/>
        <v>108.22510822510822</v>
      </c>
      <c r="Y143">
        <f t="shared" si="63"/>
        <v>0.30709210797849867</v>
      </c>
      <c r="Z143">
        <f t="shared" si="64"/>
        <v>11.863541606399998</v>
      </c>
    </row>
    <row r="144" spans="1:26" hidden="1">
      <c r="A144">
        <v>14</v>
      </c>
      <c r="B144" s="12">
        <v>6</v>
      </c>
      <c r="C144" s="12">
        <v>12</v>
      </c>
      <c r="D144">
        <f t="shared" si="44"/>
        <v>600</v>
      </c>
      <c r="E144">
        <f t="shared" si="45"/>
        <v>360</v>
      </c>
      <c r="F144">
        <f t="shared" si="46"/>
        <v>69.552000000000007</v>
      </c>
      <c r="G144">
        <f t="shared" si="47"/>
        <v>0.22399999999999998</v>
      </c>
      <c r="H144">
        <f t="shared" si="48"/>
        <v>254.01599999999999</v>
      </c>
      <c r="I144">
        <f t="shared" si="49"/>
        <v>705.6</v>
      </c>
      <c r="J144">
        <f t="shared" si="50"/>
        <v>470.4</v>
      </c>
      <c r="K144">
        <f t="shared" si="51"/>
        <v>169.34399999999999</v>
      </c>
      <c r="L144">
        <f t="shared" si="52"/>
        <v>17.781120000000001</v>
      </c>
      <c r="M144">
        <f t="shared" si="53"/>
        <v>18.627840000000003</v>
      </c>
      <c r="N144">
        <f t="shared" si="54"/>
        <v>10.668672000000001</v>
      </c>
      <c r="O144">
        <f t="shared" si="65"/>
        <v>15.340574117647062</v>
      </c>
      <c r="P144">
        <f t="shared" si="55"/>
        <v>5.7149028077753776</v>
      </c>
      <c r="Q144">
        <f t="shared" si="56"/>
        <v>58.800000000000004</v>
      </c>
      <c r="R144">
        <f t="shared" si="57"/>
        <v>1008</v>
      </c>
      <c r="S144">
        <f t="shared" si="58"/>
        <v>389.76</v>
      </c>
      <c r="T144">
        <f t="shared" si="59"/>
        <v>80.639999999999986</v>
      </c>
      <c r="U144">
        <f>I144*E144/'[1]Inverter Analysis'!$L$2</f>
        <v>608.6994674061566</v>
      </c>
      <c r="V144">
        <f t="shared" si="60"/>
        <v>170.06802721088437</v>
      </c>
      <c r="W144">
        <f t="shared" si="61"/>
        <v>205.25451559934319</v>
      </c>
      <c r="X144">
        <f t="shared" si="62"/>
        <v>113.37868480725623</v>
      </c>
      <c r="Y144">
        <f t="shared" si="63"/>
        <v>0.3370353293913681</v>
      </c>
      <c r="Z144">
        <f t="shared" si="64"/>
        <v>10.318206124800003</v>
      </c>
    </row>
    <row r="145" spans="1:26" hidden="1">
      <c r="A145" s="8">
        <v>15</v>
      </c>
      <c r="B145" s="12">
        <v>6</v>
      </c>
      <c r="C145" s="12">
        <v>11</v>
      </c>
      <c r="D145">
        <f t="shared" si="44"/>
        <v>600</v>
      </c>
      <c r="E145">
        <f t="shared" si="45"/>
        <v>360</v>
      </c>
      <c r="F145">
        <f t="shared" si="46"/>
        <v>68.31</v>
      </c>
      <c r="G145">
        <f t="shared" si="47"/>
        <v>0.22</v>
      </c>
      <c r="H145">
        <f t="shared" si="48"/>
        <v>249.48</v>
      </c>
      <c r="I145">
        <f t="shared" si="49"/>
        <v>693</v>
      </c>
      <c r="J145">
        <f t="shared" si="50"/>
        <v>461.99999999999994</v>
      </c>
      <c r="K145">
        <f t="shared" si="51"/>
        <v>166.31999999999996</v>
      </c>
      <c r="L145">
        <f t="shared" si="52"/>
        <v>17.4636</v>
      </c>
      <c r="M145">
        <f t="shared" si="53"/>
        <v>18.295200000000001</v>
      </c>
      <c r="N145">
        <f t="shared" si="54"/>
        <v>10.478159999999999</v>
      </c>
      <c r="O145">
        <f t="shared" si="65"/>
        <v>15.066635294117649</v>
      </c>
      <c r="P145">
        <f t="shared" si="55"/>
        <v>6.1231101511879045</v>
      </c>
      <c r="Q145">
        <f t="shared" si="56"/>
        <v>63</v>
      </c>
      <c r="R145">
        <f t="shared" si="57"/>
        <v>990</v>
      </c>
      <c r="S145">
        <f t="shared" si="58"/>
        <v>382.79999999999995</v>
      </c>
      <c r="T145">
        <f t="shared" si="59"/>
        <v>79.2</v>
      </c>
      <c r="U145">
        <f>I145*E145/'[1]Inverter Analysis'!$L$2</f>
        <v>597.82983405961807</v>
      </c>
      <c r="V145">
        <f t="shared" si="60"/>
        <v>173.16017316017317</v>
      </c>
      <c r="W145">
        <f t="shared" si="61"/>
        <v>208.98641588296763</v>
      </c>
      <c r="X145">
        <f t="shared" si="62"/>
        <v>115.44011544011543</v>
      </c>
      <c r="Y145">
        <f t="shared" si="63"/>
        <v>0.34940257618886966</v>
      </c>
      <c r="Z145">
        <f t="shared" si="64"/>
        <v>9.7752570609374985</v>
      </c>
    </row>
    <row r="146" spans="1:26" hidden="1">
      <c r="A146" s="8">
        <v>16</v>
      </c>
      <c r="B146" s="9">
        <v>5</v>
      </c>
      <c r="C146" s="9">
        <v>12</v>
      </c>
      <c r="D146">
        <f t="shared" si="44"/>
        <v>500</v>
      </c>
      <c r="E146">
        <f t="shared" si="45"/>
        <v>300</v>
      </c>
      <c r="F146">
        <f t="shared" si="46"/>
        <v>66.239999999999995</v>
      </c>
      <c r="G146">
        <f t="shared" si="47"/>
        <v>0.30720000000000003</v>
      </c>
      <c r="H146">
        <f t="shared" si="48"/>
        <v>241.92000000000002</v>
      </c>
      <c r="I146">
        <f t="shared" si="49"/>
        <v>806.40000000000009</v>
      </c>
      <c r="J146">
        <f t="shared" si="50"/>
        <v>537.59999999999991</v>
      </c>
      <c r="K146">
        <f t="shared" si="51"/>
        <v>161.27999999999997</v>
      </c>
      <c r="L146">
        <f t="shared" si="52"/>
        <v>16.9344</v>
      </c>
      <c r="M146">
        <f t="shared" si="53"/>
        <v>17.740800000000004</v>
      </c>
      <c r="N146">
        <f t="shared" si="54"/>
        <v>10.160640000000001</v>
      </c>
      <c r="O146">
        <f t="shared" si="65"/>
        <v>14.610070588235299</v>
      </c>
      <c r="P146">
        <f t="shared" si="55"/>
        <v>5.4427645788336934</v>
      </c>
      <c r="Q146">
        <f t="shared" si="56"/>
        <v>67.2</v>
      </c>
      <c r="R146">
        <f t="shared" si="57"/>
        <v>960</v>
      </c>
      <c r="S146">
        <f t="shared" si="58"/>
        <v>445.43999999999988</v>
      </c>
      <c r="T146">
        <f t="shared" si="59"/>
        <v>92.160000000000011</v>
      </c>
      <c r="U146">
        <f>I146*E146/'[1]Inverter Analysis'!$L$2</f>
        <v>579.71377848205395</v>
      </c>
      <c r="V146">
        <f t="shared" si="60"/>
        <v>148.80952380952382</v>
      </c>
      <c r="W146">
        <f t="shared" si="61"/>
        <v>179.59770114942535</v>
      </c>
      <c r="X146">
        <f t="shared" si="62"/>
        <v>99.206349206349202</v>
      </c>
      <c r="Y146">
        <f t="shared" si="63"/>
        <v>0.25804267406526638</v>
      </c>
      <c r="Z146">
        <f t="shared" si="64"/>
        <v>12.835086335999989</v>
      </c>
    </row>
    <row r="147" spans="1:26" hidden="1">
      <c r="A147" s="8">
        <v>16</v>
      </c>
      <c r="B147" s="12">
        <v>6</v>
      </c>
      <c r="C147" s="12">
        <v>10</v>
      </c>
      <c r="D147">
        <f t="shared" si="44"/>
        <v>600</v>
      </c>
      <c r="E147">
        <f t="shared" si="45"/>
        <v>360</v>
      </c>
      <c r="F147">
        <f t="shared" si="46"/>
        <v>66.239999999999995</v>
      </c>
      <c r="G147">
        <f t="shared" si="47"/>
        <v>0.21333333333333332</v>
      </c>
      <c r="H147">
        <f t="shared" si="48"/>
        <v>241.92</v>
      </c>
      <c r="I147">
        <f t="shared" si="49"/>
        <v>672</v>
      </c>
      <c r="J147">
        <f t="shared" si="50"/>
        <v>448</v>
      </c>
      <c r="K147">
        <f t="shared" si="51"/>
        <v>161.28</v>
      </c>
      <c r="L147">
        <f t="shared" si="52"/>
        <v>16.9344</v>
      </c>
      <c r="M147">
        <f t="shared" si="53"/>
        <v>17.740800000000004</v>
      </c>
      <c r="N147">
        <f t="shared" si="54"/>
        <v>10.160639999999999</v>
      </c>
      <c r="O147">
        <f t="shared" si="65"/>
        <v>14.610070588235299</v>
      </c>
      <c r="P147">
        <f t="shared" si="55"/>
        <v>6.5313174946004322</v>
      </c>
      <c r="Q147">
        <f t="shared" si="56"/>
        <v>67.2</v>
      </c>
      <c r="R147">
        <f t="shared" si="57"/>
        <v>960</v>
      </c>
      <c r="S147">
        <f t="shared" si="58"/>
        <v>371.2</v>
      </c>
      <c r="T147">
        <f t="shared" si="59"/>
        <v>76.8</v>
      </c>
      <c r="U147">
        <f>I147*E147/'[1]Inverter Analysis'!$L$2</f>
        <v>579.71377848205384</v>
      </c>
      <c r="V147">
        <f t="shared" si="60"/>
        <v>178.57142857142858</v>
      </c>
      <c r="W147">
        <f t="shared" si="61"/>
        <v>215.51724137931035</v>
      </c>
      <c r="X147">
        <f t="shared" si="62"/>
        <v>119.04761904761905</v>
      </c>
      <c r="Y147">
        <f t="shared" si="63"/>
        <v>0.37158145065398335</v>
      </c>
      <c r="Z147">
        <f t="shared" si="64"/>
        <v>8.9132543999999996</v>
      </c>
    </row>
    <row r="148" spans="1:26" hidden="1">
      <c r="A148">
        <v>13</v>
      </c>
      <c r="B148" s="12">
        <v>6</v>
      </c>
      <c r="C148" s="12">
        <v>12</v>
      </c>
      <c r="D148">
        <f t="shared" si="44"/>
        <v>600</v>
      </c>
      <c r="E148">
        <f t="shared" si="45"/>
        <v>360</v>
      </c>
      <c r="F148">
        <f t="shared" si="46"/>
        <v>64.584000000000003</v>
      </c>
      <c r="G148">
        <f t="shared" si="47"/>
        <v>0.20799999999999999</v>
      </c>
      <c r="H148">
        <f t="shared" si="48"/>
        <v>235.87200000000004</v>
      </c>
      <c r="I148">
        <f t="shared" si="49"/>
        <v>655.20000000000005</v>
      </c>
      <c r="J148">
        <f t="shared" si="50"/>
        <v>436.79999999999995</v>
      </c>
      <c r="K148">
        <f t="shared" si="51"/>
        <v>157.24799999999996</v>
      </c>
      <c r="L148">
        <f t="shared" si="52"/>
        <v>16.511040000000001</v>
      </c>
      <c r="M148">
        <f t="shared" si="53"/>
        <v>17.297280000000004</v>
      </c>
      <c r="N148">
        <f t="shared" si="54"/>
        <v>9.906623999999999</v>
      </c>
      <c r="O148">
        <f t="shared" si="65"/>
        <v>14.244818823529416</v>
      </c>
      <c r="P148">
        <f t="shared" si="55"/>
        <v>5.3066954643628508</v>
      </c>
      <c r="Q148">
        <f t="shared" si="56"/>
        <v>54.6</v>
      </c>
      <c r="R148">
        <f t="shared" si="57"/>
        <v>936</v>
      </c>
      <c r="S148">
        <f t="shared" si="58"/>
        <v>361.91999999999996</v>
      </c>
      <c r="T148">
        <f t="shared" si="59"/>
        <v>74.88</v>
      </c>
      <c r="U148">
        <f>I148*E148/'[1]Inverter Analysis'!$L$2</f>
        <v>565.22093402000257</v>
      </c>
      <c r="V148">
        <f t="shared" si="60"/>
        <v>183.15018315018318</v>
      </c>
      <c r="W148">
        <f t="shared" si="61"/>
        <v>221.04332449160037</v>
      </c>
      <c r="X148">
        <f t="shared" si="62"/>
        <v>122.10012210012209</v>
      </c>
      <c r="Y148">
        <f t="shared" si="63"/>
        <v>0.39088121041839152</v>
      </c>
      <c r="Z148">
        <f t="shared" si="64"/>
        <v>8.2613334023999982</v>
      </c>
    </row>
    <row r="149" spans="1:26" hidden="1">
      <c r="A149">
        <v>14</v>
      </c>
      <c r="B149" s="12">
        <v>6</v>
      </c>
      <c r="C149" s="12">
        <v>11</v>
      </c>
      <c r="D149">
        <f t="shared" si="44"/>
        <v>600</v>
      </c>
      <c r="E149">
        <f t="shared" si="45"/>
        <v>360</v>
      </c>
      <c r="F149">
        <f t="shared" si="46"/>
        <v>63.756</v>
      </c>
      <c r="G149">
        <f t="shared" si="47"/>
        <v>0.20533333333333331</v>
      </c>
      <c r="H149">
        <f t="shared" si="48"/>
        <v>232.84800000000004</v>
      </c>
      <c r="I149">
        <f t="shared" si="49"/>
        <v>646.80000000000007</v>
      </c>
      <c r="J149">
        <f t="shared" si="50"/>
        <v>431.2</v>
      </c>
      <c r="K149">
        <f t="shared" si="51"/>
        <v>155.232</v>
      </c>
      <c r="L149">
        <f t="shared" si="52"/>
        <v>16.299360000000004</v>
      </c>
      <c r="M149">
        <f t="shared" si="53"/>
        <v>17.075520000000004</v>
      </c>
      <c r="N149">
        <f t="shared" si="54"/>
        <v>9.7796160000000025</v>
      </c>
      <c r="O149">
        <f t="shared" si="65"/>
        <v>14.062192941176475</v>
      </c>
      <c r="P149">
        <f t="shared" si="55"/>
        <v>5.7149028077753785</v>
      </c>
      <c r="Q149">
        <f t="shared" si="56"/>
        <v>58.800000000000004</v>
      </c>
      <c r="R149">
        <f t="shared" si="57"/>
        <v>924</v>
      </c>
      <c r="S149">
        <f t="shared" si="58"/>
        <v>357.28</v>
      </c>
      <c r="T149">
        <f t="shared" si="59"/>
        <v>73.919999999999987</v>
      </c>
      <c r="U149">
        <f>I149*E149/'[1]Inverter Analysis'!$L$2</f>
        <v>557.97451178897688</v>
      </c>
      <c r="V149">
        <f t="shared" si="60"/>
        <v>185.5287569573284</v>
      </c>
      <c r="W149">
        <f t="shared" si="61"/>
        <v>223.91401701746531</v>
      </c>
      <c r="X149">
        <f t="shared" si="62"/>
        <v>123.68583797155225</v>
      </c>
      <c r="Y149">
        <f t="shared" si="63"/>
        <v>0.40109989613518193</v>
      </c>
      <c r="Z149">
        <f t="shared" si="64"/>
        <v>7.9476460370999984</v>
      </c>
    </row>
    <row r="150" spans="1:26" hidden="1">
      <c r="A150" s="8">
        <v>15</v>
      </c>
      <c r="B150" s="9">
        <v>5</v>
      </c>
      <c r="C150" s="9">
        <v>12</v>
      </c>
      <c r="D150">
        <f t="shared" si="44"/>
        <v>500</v>
      </c>
      <c r="E150">
        <f t="shared" si="45"/>
        <v>300</v>
      </c>
      <c r="F150">
        <f t="shared" si="46"/>
        <v>62.1</v>
      </c>
      <c r="G150">
        <f t="shared" si="47"/>
        <v>0.28800000000000003</v>
      </c>
      <c r="H150">
        <f t="shared" si="48"/>
        <v>226.8</v>
      </c>
      <c r="I150">
        <f t="shared" si="49"/>
        <v>756</v>
      </c>
      <c r="J150">
        <f t="shared" si="50"/>
        <v>503.99999999999994</v>
      </c>
      <c r="K150">
        <f t="shared" si="51"/>
        <v>151.19999999999996</v>
      </c>
      <c r="L150">
        <f t="shared" si="52"/>
        <v>15.876000000000001</v>
      </c>
      <c r="M150">
        <f t="shared" si="53"/>
        <v>16.632000000000001</v>
      </c>
      <c r="N150">
        <f t="shared" si="54"/>
        <v>9.5256000000000007</v>
      </c>
      <c r="O150">
        <f t="shared" si="65"/>
        <v>13.69694117647059</v>
      </c>
      <c r="P150">
        <f t="shared" si="55"/>
        <v>5.1025917926565869</v>
      </c>
      <c r="Q150">
        <f t="shared" si="56"/>
        <v>63</v>
      </c>
      <c r="R150">
        <f t="shared" si="57"/>
        <v>900</v>
      </c>
      <c r="S150">
        <f t="shared" si="58"/>
        <v>417.59999999999991</v>
      </c>
      <c r="T150">
        <f t="shared" si="59"/>
        <v>86.4</v>
      </c>
      <c r="U150">
        <f>I150*E150/'[1]Inverter Analysis'!$L$2</f>
        <v>543.4816673269255</v>
      </c>
      <c r="V150">
        <f t="shared" si="60"/>
        <v>158.73015873015873</v>
      </c>
      <c r="W150">
        <f t="shared" si="61"/>
        <v>191.57088122605367</v>
      </c>
      <c r="X150">
        <f t="shared" si="62"/>
        <v>105.82010582010582</v>
      </c>
      <c r="Y150">
        <f t="shared" si="63"/>
        <v>0.29359522026981416</v>
      </c>
      <c r="Z150">
        <f t="shared" si="64"/>
        <v>10.575785249999994</v>
      </c>
    </row>
    <row r="151" spans="1:26" hidden="1">
      <c r="A151" s="8">
        <v>15</v>
      </c>
      <c r="B151" s="12">
        <v>6</v>
      </c>
      <c r="C151" s="12">
        <v>10</v>
      </c>
      <c r="D151">
        <f t="shared" si="44"/>
        <v>600</v>
      </c>
      <c r="E151">
        <f t="shared" si="45"/>
        <v>360</v>
      </c>
      <c r="F151">
        <f t="shared" si="46"/>
        <v>62.1</v>
      </c>
      <c r="G151">
        <f t="shared" si="47"/>
        <v>0.2</v>
      </c>
      <c r="H151">
        <f t="shared" si="48"/>
        <v>226.8</v>
      </c>
      <c r="I151">
        <f t="shared" si="49"/>
        <v>630</v>
      </c>
      <c r="J151">
        <f t="shared" si="50"/>
        <v>420</v>
      </c>
      <c r="K151">
        <f t="shared" si="51"/>
        <v>151.19999999999999</v>
      </c>
      <c r="L151">
        <f t="shared" si="52"/>
        <v>15.875999999999999</v>
      </c>
      <c r="M151">
        <f t="shared" si="53"/>
        <v>16.632000000000001</v>
      </c>
      <c r="N151">
        <f t="shared" si="54"/>
        <v>9.525599999999999</v>
      </c>
      <c r="O151">
        <f t="shared" si="65"/>
        <v>13.69694117647059</v>
      </c>
      <c r="P151">
        <f t="shared" si="55"/>
        <v>6.1231101511879045</v>
      </c>
      <c r="Q151">
        <f t="shared" si="56"/>
        <v>63</v>
      </c>
      <c r="R151">
        <f t="shared" si="57"/>
        <v>900</v>
      </c>
      <c r="S151">
        <f t="shared" si="58"/>
        <v>348</v>
      </c>
      <c r="T151">
        <f t="shared" si="59"/>
        <v>72</v>
      </c>
      <c r="U151">
        <f>I151*E151/'[1]Inverter Analysis'!$L$2</f>
        <v>543.4816673269255</v>
      </c>
      <c r="V151">
        <f t="shared" si="60"/>
        <v>190.47619047619048</v>
      </c>
      <c r="W151">
        <f t="shared" si="61"/>
        <v>229.88505747126436</v>
      </c>
      <c r="X151">
        <f t="shared" si="62"/>
        <v>126.98412698412699</v>
      </c>
      <c r="Y151">
        <f t="shared" si="63"/>
        <v>0.42277711718853217</v>
      </c>
      <c r="Z151">
        <f t="shared" si="64"/>
        <v>7.3442953124999999</v>
      </c>
    </row>
    <row r="152" spans="1:26" hidden="1">
      <c r="A152" s="8">
        <v>16</v>
      </c>
      <c r="B152" s="9">
        <v>5</v>
      </c>
      <c r="C152" s="12">
        <v>11</v>
      </c>
      <c r="D152">
        <f t="shared" si="44"/>
        <v>500</v>
      </c>
      <c r="E152">
        <f t="shared" si="45"/>
        <v>300</v>
      </c>
      <c r="F152">
        <f t="shared" si="46"/>
        <v>60.72</v>
      </c>
      <c r="G152">
        <f t="shared" si="47"/>
        <v>0.28160000000000002</v>
      </c>
      <c r="H152">
        <f t="shared" si="48"/>
        <v>221.76</v>
      </c>
      <c r="I152">
        <f t="shared" si="49"/>
        <v>739.2</v>
      </c>
      <c r="J152">
        <f t="shared" si="50"/>
        <v>492.79999999999995</v>
      </c>
      <c r="K152">
        <f t="shared" si="51"/>
        <v>147.84</v>
      </c>
      <c r="L152">
        <f t="shared" si="52"/>
        <v>15.523200000000001</v>
      </c>
      <c r="M152">
        <f t="shared" si="53"/>
        <v>16.262400000000003</v>
      </c>
      <c r="N152">
        <f t="shared" si="54"/>
        <v>9.3139199999999995</v>
      </c>
      <c r="O152">
        <f t="shared" si="65"/>
        <v>13.392564705882357</v>
      </c>
      <c r="P152">
        <f t="shared" si="55"/>
        <v>5.4427645788336925</v>
      </c>
      <c r="Q152">
        <f t="shared" si="56"/>
        <v>67.2</v>
      </c>
      <c r="R152">
        <f t="shared" si="57"/>
        <v>880</v>
      </c>
      <c r="S152">
        <f t="shared" si="58"/>
        <v>408.31999999999994</v>
      </c>
      <c r="T152">
        <f t="shared" si="59"/>
        <v>84.48</v>
      </c>
      <c r="U152">
        <f>I152*E152/'[1]Inverter Analysis'!$L$2</f>
        <v>531.40429694188276</v>
      </c>
      <c r="V152">
        <f t="shared" si="60"/>
        <v>162.33766233766235</v>
      </c>
      <c r="W152">
        <f t="shared" si="61"/>
        <v>195.92476489028215</v>
      </c>
      <c r="X152">
        <f t="shared" si="62"/>
        <v>108.22510822510822</v>
      </c>
      <c r="Y152">
        <f t="shared" si="63"/>
        <v>0.30709210797849867</v>
      </c>
      <c r="Z152">
        <f t="shared" si="64"/>
        <v>9.8862846719999986</v>
      </c>
    </row>
    <row r="153" spans="1:26" hidden="1">
      <c r="A153">
        <v>14</v>
      </c>
      <c r="B153" s="9">
        <v>5</v>
      </c>
      <c r="C153">
        <v>12</v>
      </c>
      <c r="D153">
        <f t="shared" si="44"/>
        <v>500</v>
      </c>
      <c r="E153">
        <f t="shared" si="45"/>
        <v>300</v>
      </c>
      <c r="F153">
        <f t="shared" si="46"/>
        <v>57.96</v>
      </c>
      <c r="G153">
        <f t="shared" si="47"/>
        <v>0.26879999999999998</v>
      </c>
      <c r="H153">
        <f t="shared" si="48"/>
        <v>211.68</v>
      </c>
      <c r="I153">
        <f t="shared" si="49"/>
        <v>705.6</v>
      </c>
      <c r="J153">
        <f t="shared" si="50"/>
        <v>470.4</v>
      </c>
      <c r="K153">
        <f t="shared" si="51"/>
        <v>141.12</v>
      </c>
      <c r="L153">
        <f t="shared" si="52"/>
        <v>14.817600000000002</v>
      </c>
      <c r="M153">
        <f t="shared" si="53"/>
        <v>15.523200000000001</v>
      </c>
      <c r="N153">
        <f t="shared" si="54"/>
        <v>8.8905600000000007</v>
      </c>
      <c r="O153">
        <f t="shared" si="65"/>
        <v>12.783811764705884</v>
      </c>
      <c r="P153">
        <f t="shared" si="55"/>
        <v>4.7624190064794814</v>
      </c>
      <c r="Q153">
        <f t="shared" si="56"/>
        <v>58.800000000000004</v>
      </c>
      <c r="R153">
        <f t="shared" si="57"/>
        <v>840</v>
      </c>
      <c r="S153">
        <f t="shared" si="58"/>
        <v>389.76</v>
      </c>
      <c r="T153">
        <f t="shared" si="59"/>
        <v>80.64</v>
      </c>
      <c r="U153">
        <f>I153*E153/'[1]Inverter Analysis'!$L$2</f>
        <v>507.24955617179717</v>
      </c>
      <c r="V153">
        <f t="shared" si="60"/>
        <v>170.06802721088437</v>
      </c>
      <c r="W153">
        <f t="shared" si="61"/>
        <v>205.25451559934319</v>
      </c>
      <c r="X153">
        <f t="shared" si="62"/>
        <v>113.37868480725623</v>
      </c>
      <c r="Y153">
        <f t="shared" si="63"/>
        <v>0.3370353293913681</v>
      </c>
      <c r="Z153">
        <f t="shared" si="64"/>
        <v>8.5985051040000009</v>
      </c>
    </row>
    <row r="154" spans="1:26" hidden="1">
      <c r="A154" s="8">
        <v>15</v>
      </c>
      <c r="B154" s="9">
        <v>5</v>
      </c>
      <c r="C154" s="12">
        <v>11</v>
      </c>
      <c r="D154">
        <f t="shared" si="44"/>
        <v>500</v>
      </c>
      <c r="E154">
        <f t="shared" si="45"/>
        <v>300</v>
      </c>
      <c r="F154">
        <f t="shared" si="46"/>
        <v>56.924999999999997</v>
      </c>
      <c r="G154">
        <f t="shared" si="47"/>
        <v>0.26400000000000001</v>
      </c>
      <c r="H154">
        <f t="shared" si="48"/>
        <v>207.9</v>
      </c>
      <c r="I154">
        <f t="shared" si="49"/>
        <v>693</v>
      </c>
      <c r="J154">
        <f t="shared" si="50"/>
        <v>461.99999999999994</v>
      </c>
      <c r="K154">
        <f t="shared" si="51"/>
        <v>138.59999999999997</v>
      </c>
      <c r="L154">
        <f t="shared" si="52"/>
        <v>14.553000000000001</v>
      </c>
      <c r="M154">
        <f t="shared" si="53"/>
        <v>15.246000000000002</v>
      </c>
      <c r="N154">
        <f t="shared" si="54"/>
        <v>8.7317999999999998</v>
      </c>
      <c r="O154">
        <f t="shared" si="65"/>
        <v>12.555529411764709</v>
      </c>
      <c r="P154">
        <f t="shared" si="55"/>
        <v>5.1025917926565869</v>
      </c>
      <c r="Q154">
        <f t="shared" si="56"/>
        <v>63</v>
      </c>
      <c r="R154">
        <f t="shared" si="57"/>
        <v>825</v>
      </c>
      <c r="S154">
        <f t="shared" si="58"/>
        <v>382.79999999999995</v>
      </c>
      <c r="T154">
        <f t="shared" si="59"/>
        <v>79.2</v>
      </c>
      <c r="U154">
        <f>I154*E154/'[1]Inverter Analysis'!$L$2</f>
        <v>498.19152838301505</v>
      </c>
      <c r="V154">
        <f t="shared" si="60"/>
        <v>173.16017316017317</v>
      </c>
      <c r="W154">
        <f t="shared" si="61"/>
        <v>208.98641588296763</v>
      </c>
      <c r="X154">
        <f t="shared" si="62"/>
        <v>115.44011544011543</v>
      </c>
      <c r="Y154">
        <f t="shared" si="63"/>
        <v>0.34940257618886966</v>
      </c>
      <c r="Z154">
        <f t="shared" si="64"/>
        <v>8.1460475507812475</v>
      </c>
    </row>
    <row r="155" spans="1:26" hidden="1">
      <c r="A155" s="8">
        <v>16</v>
      </c>
      <c r="B155" s="9">
        <v>5</v>
      </c>
      <c r="C155" s="12">
        <v>10</v>
      </c>
      <c r="D155">
        <f t="shared" si="44"/>
        <v>500</v>
      </c>
      <c r="E155">
        <f t="shared" si="45"/>
        <v>300</v>
      </c>
      <c r="F155">
        <f t="shared" si="46"/>
        <v>55.2</v>
      </c>
      <c r="G155">
        <f t="shared" si="47"/>
        <v>0.25600000000000001</v>
      </c>
      <c r="H155">
        <f t="shared" si="48"/>
        <v>201.6</v>
      </c>
      <c r="I155">
        <f t="shared" si="49"/>
        <v>672</v>
      </c>
      <c r="J155">
        <f t="shared" si="50"/>
        <v>448</v>
      </c>
      <c r="K155">
        <f t="shared" si="51"/>
        <v>134.4</v>
      </c>
      <c r="L155">
        <f t="shared" si="52"/>
        <v>14.112</v>
      </c>
      <c r="M155">
        <f t="shared" si="53"/>
        <v>14.784000000000001</v>
      </c>
      <c r="N155">
        <f t="shared" si="54"/>
        <v>8.4672000000000001</v>
      </c>
      <c r="O155">
        <f t="shared" si="65"/>
        <v>12.175058823529413</v>
      </c>
      <c r="P155">
        <f t="shared" si="55"/>
        <v>5.4427645788336934</v>
      </c>
      <c r="Q155">
        <f t="shared" si="56"/>
        <v>67.2</v>
      </c>
      <c r="R155">
        <f t="shared" si="57"/>
        <v>800</v>
      </c>
      <c r="S155">
        <f t="shared" si="58"/>
        <v>371.2</v>
      </c>
      <c r="T155">
        <f t="shared" si="59"/>
        <v>76.8</v>
      </c>
      <c r="U155">
        <f>I155*E155/'[1]Inverter Analysis'!$L$2</f>
        <v>483.09481540171157</v>
      </c>
      <c r="V155">
        <f t="shared" si="60"/>
        <v>178.57142857142858</v>
      </c>
      <c r="W155">
        <f t="shared" si="61"/>
        <v>215.51724137931035</v>
      </c>
      <c r="X155">
        <f t="shared" si="62"/>
        <v>119.04761904761905</v>
      </c>
      <c r="Y155">
        <f t="shared" si="63"/>
        <v>0.37158145065398335</v>
      </c>
      <c r="Z155">
        <f t="shared" si="64"/>
        <v>7.4277120000000005</v>
      </c>
    </row>
    <row r="156" spans="1:26" hidden="1">
      <c r="A156">
        <v>13</v>
      </c>
      <c r="B156" s="9">
        <v>5</v>
      </c>
      <c r="C156">
        <v>12</v>
      </c>
      <c r="D156">
        <f t="shared" si="44"/>
        <v>500</v>
      </c>
      <c r="E156">
        <f t="shared" si="45"/>
        <v>300</v>
      </c>
      <c r="F156">
        <f t="shared" si="46"/>
        <v>53.82</v>
      </c>
      <c r="G156">
        <f t="shared" si="47"/>
        <v>0.24960000000000004</v>
      </c>
      <c r="H156">
        <f t="shared" si="48"/>
        <v>196.56</v>
      </c>
      <c r="I156">
        <f t="shared" si="49"/>
        <v>655.20000000000005</v>
      </c>
      <c r="J156">
        <f t="shared" si="50"/>
        <v>436.79999999999995</v>
      </c>
      <c r="K156">
        <f t="shared" si="51"/>
        <v>131.04</v>
      </c>
      <c r="L156">
        <f t="shared" si="52"/>
        <v>13.7592</v>
      </c>
      <c r="M156">
        <f t="shared" si="53"/>
        <v>14.414400000000004</v>
      </c>
      <c r="N156">
        <f t="shared" si="54"/>
        <v>8.2555200000000006</v>
      </c>
      <c r="O156">
        <f t="shared" si="65"/>
        <v>11.870682352941181</v>
      </c>
      <c r="P156">
        <f t="shared" si="55"/>
        <v>4.4222462203023758</v>
      </c>
      <c r="Q156">
        <f t="shared" si="56"/>
        <v>54.6</v>
      </c>
      <c r="R156">
        <f t="shared" si="57"/>
        <v>780</v>
      </c>
      <c r="S156">
        <f t="shared" si="58"/>
        <v>361.91999999999996</v>
      </c>
      <c r="T156">
        <f t="shared" si="59"/>
        <v>74.88000000000001</v>
      </c>
      <c r="U156">
        <f>I156*E156/'[1]Inverter Analysis'!$L$2</f>
        <v>471.01744501666877</v>
      </c>
      <c r="V156">
        <f t="shared" si="60"/>
        <v>183.15018315018318</v>
      </c>
      <c r="W156">
        <f t="shared" si="61"/>
        <v>221.04332449160037</v>
      </c>
      <c r="X156">
        <f t="shared" si="62"/>
        <v>122.10012210012209</v>
      </c>
      <c r="Y156">
        <f t="shared" si="63"/>
        <v>0.39088121041839152</v>
      </c>
      <c r="Z156">
        <f t="shared" si="64"/>
        <v>6.8844445019999991</v>
      </c>
    </row>
    <row r="157" spans="1:26" hidden="1">
      <c r="A157">
        <v>14</v>
      </c>
      <c r="B157" s="9">
        <v>5</v>
      </c>
      <c r="C157" s="12">
        <v>11</v>
      </c>
      <c r="D157">
        <f t="shared" si="44"/>
        <v>500</v>
      </c>
      <c r="E157">
        <f t="shared" si="45"/>
        <v>300</v>
      </c>
      <c r="F157">
        <f t="shared" si="46"/>
        <v>53.13</v>
      </c>
      <c r="G157">
        <f t="shared" si="47"/>
        <v>0.24640000000000001</v>
      </c>
      <c r="H157">
        <f t="shared" si="48"/>
        <v>194.04000000000002</v>
      </c>
      <c r="I157">
        <f t="shared" si="49"/>
        <v>646.80000000000007</v>
      </c>
      <c r="J157">
        <f t="shared" si="50"/>
        <v>431.2</v>
      </c>
      <c r="K157">
        <f t="shared" si="51"/>
        <v>129.36000000000001</v>
      </c>
      <c r="L157">
        <f t="shared" si="52"/>
        <v>13.582800000000002</v>
      </c>
      <c r="M157">
        <f t="shared" si="53"/>
        <v>14.229600000000001</v>
      </c>
      <c r="N157">
        <f t="shared" si="54"/>
        <v>8.14968</v>
      </c>
      <c r="O157">
        <f t="shared" si="65"/>
        <v>11.718494117647062</v>
      </c>
      <c r="P157">
        <f t="shared" si="55"/>
        <v>4.7624190064794822</v>
      </c>
      <c r="Q157">
        <f t="shared" si="56"/>
        <v>58.800000000000004</v>
      </c>
      <c r="R157">
        <f t="shared" si="57"/>
        <v>770</v>
      </c>
      <c r="S157">
        <f t="shared" si="58"/>
        <v>357.28</v>
      </c>
      <c r="T157">
        <f t="shared" si="59"/>
        <v>73.92</v>
      </c>
      <c r="U157">
        <f>I157*E157/'[1]Inverter Analysis'!$L$2</f>
        <v>464.97875982414746</v>
      </c>
      <c r="V157">
        <f t="shared" si="60"/>
        <v>185.5287569573284</v>
      </c>
      <c r="W157">
        <f t="shared" si="61"/>
        <v>223.91401701746531</v>
      </c>
      <c r="X157">
        <f t="shared" si="62"/>
        <v>123.68583797155225</v>
      </c>
      <c r="Y157">
        <f t="shared" si="63"/>
        <v>0.40109989613518193</v>
      </c>
      <c r="Z157">
        <f t="shared" si="64"/>
        <v>6.6230383642500001</v>
      </c>
    </row>
    <row r="158" spans="1:26" hidden="1">
      <c r="A158">
        <v>16</v>
      </c>
      <c r="B158">
        <v>4</v>
      </c>
      <c r="C158">
        <v>12</v>
      </c>
      <c r="D158">
        <f t="shared" si="44"/>
        <v>400</v>
      </c>
      <c r="E158">
        <f t="shared" si="45"/>
        <v>240</v>
      </c>
      <c r="F158">
        <f t="shared" si="46"/>
        <v>52.991999999999997</v>
      </c>
      <c r="G158">
        <f t="shared" si="47"/>
        <v>0.38400000000000001</v>
      </c>
      <c r="H158">
        <f t="shared" si="48"/>
        <v>193.53600000000003</v>
      </c>
      <c r="I158">
        <f t="shared" si="49"/>
        <v>806.40000000000009</v>
      </c>
      <c r="J158">
        <f t="shared" si="50"/>
        <v>537.59999999999991</v>
      </c>
      <c r="K158">
        <f t="shared" si="51"/>
        <v>129.02399999999997</v>
      </c>
      <c r="L158">
        <f t="shared" si="52"/>
        <v>13.547520000000002</v>
      </c>
      <c r="M158">
        <f t="shared" si="53"/>
        <v>14.192640000000003</v>
      </c>
      <c r="N158">
        <f t="shared" si="54"/>
        <v>8.1285120000000006</v>
      </c>
      <c r="O158">
        <f t="shared" si="65"/>
        <v>11.688056470588238</v>
      </c>
      <c r="P158">
        <f t="shared" si="55"/>
        <v>4.3542116630669545</v>
      </c>
      <c r="Q158">
        <f t="shared" si="56"/>
        <v>67.2</v>
      </c>
      <c r="R158">
        <f t="shared" si="57"/>
        <v>768</v>
      </c>
      <c r="S158">
        <f t="shared" si="58"/>
        <v>445.43999999999994</v>
      </c>
      <c r="T158">
        <f t="shared" si="59"/>
        <v>92.16</v>
      </c>
      <c r="U158">
        <f>I158*E158/'[1]Inverter Analysis'!$L$2</f>
        <v>463.7710227856432</v>
      </c>
      <c r="V158">
        <f t="shared" si="60"/>
        <v>148.80952380952382</v>
      </c>
      <c r="W158">
        <f t="shared" si="61"/>
        <v>179.59770114942532</v>
      </c>
      <c r="X158">
        <f t="shared" si="62"/>
        <v>99.206349206349202</v>
      </c>
      <c r="Y158">
        <f t="shared" si="63"/>
        <v>0.25804267406526626</v>
      </c>
      <c r="Z158">
        <f t="shared" si="64"/>
        <v>10.268069068799996</v>
      </c>
    </row>
    <row r="159" spans="1:26" hidden="1">
      <c r="A159" s="8">
        <v>15</v>
      </c>
      <c r="B159" s="9">
        <v>5</v>
      </c>
      <c r="C159" s="12">
        <v>10</v>
      </c>
      <c r="D159">
        <f t="shared" si="44"/>
        <v>500</v>
      </c>
      <c r="E159">
        <f t="shared" si="45"/>
        <v>300</v>
      </c>
      <c r="F159">
        <f t="shared" si="46"/>
        <v>51.75</v>
      </c>
      <c r="G159">
        <f t="shared" si="47"/>
        <v>0.24</v>
      </c>
      <c r="H159">
        <f t="shared" si="48"/>
        <v>189</v>
      </c>
      <c r="I159">
        <f t="shared" si="49"/>
        <v>630</v>
      </c>
      <c r="J159">
        <f t="shared" si="50"/>
        <v>420</v>
      </c>
      <c r="K159">
        <f t="shared" si="51"/>
        <v>126</v>
      </c>
      <c r="L159">
        <f t="shared" si="52"/>
        <v>13.23</v>
      </c>
      <c r="M159">
        <f t="shared" si="53"/>
        <v>13.86</v>
      </c>
      <c r="N159">
        <f t="shared" si="54"/>
        <v>7.9379999999999997</v>
      </c>
      <c r="O159">
        <f t="shared" si="65"/>
        <v>11.414117647058823</v>
      </c>
      <c r="P159">
        <f t="shared" si="55"/>
        <v>5.1025917926565878</v>
      </c>
      <c r="Q159">
        <f t="shared" si="56"/>
        <v>63</v>
      </c>
      <c r="R159">
        <f t="shared" si="57"/>
        <v>750</v>
      </c>
      <c r="S159">
        <f t="shared" si="58"/>
        <v>348</v>
      </c>
      <c r="T159">
        <f t="shared" si="59"/>
        <v>72</v>
      </c>
      <c r="U159">
        <f>I159*E159/'[1]Inverter Analysis'!$L$2</f>
        <v>452.90138943910461</v>
      </c>
      <c r="V159">
        <f t="shared" si="60"/>
        <v>190.47619047619048</v>
      </c>
      <c r="W159">
        <f t="shared" si="61"/>
        <v>229.88505747126436</v>
      </c>
      <c r="X159">
        <f t="shared" si="62"/>
        <v>126.98412698412699</v>
      </c>
      <c r="Y159">
        <f t="shared" si="63"/>
        <v>0.42277711718853217</v>
      </c>
      <c r="Z159">
        <f t="shared" si="64"/>
        <v>6.1202460937500005</v>
      </c>
    </row>
    <row r="160" spans="1:26" hidden="1">
      <c r="A160">
        <v>15</v>
      </c>
      <c r="B160">
        <v>4</v>
      </c>
      <c r="C160">
        <v>12</v>
      </c>
      <c r="D160">
        <f t="shared" si="44"/>
        <v>400</v>
      </c>
      <c r="E160">
        <f t="shared" si="45"/>
        <v>240</v>
      </c>
      <c r="F160">
        <f t="shared" si="46"/>
        <v>49.68</v>
      </c>
      <c r="G160">
        <f t="shared" si="47"/>
        <v>0.36</v>
      </c>
      <c r="H160">
        <f t="shared" si="48"/>
        <v>181.44</v>
      </c>
      <c r="I160">
        <f t="shared" si="49"/>
        <v>756</v>
      </c>
      <c r="J160">
        <f t="shared" si="50"/>
        <v>503.99999999999994</v>
      </c>
      <c r="K160">
        <f t="shared" si="51"/>
        <v>120.95999999999998</v>
      </c>
      <c r="L160">
        <f t="shared" si="52"/>
        <v>12.700800000000001</v>
      </c>
      <c r="M160">
        <f t="shared" si="53"/>
        <v>13.3056</v>
      </c>
      <c r="N160">
        <f t="shared" si="54"/>
        <v>7.6204800000000006</v>
      </c>
      <c r="O160">
        <f t="shared" si="65"/>
        <v>10.957552941176472</v>
      </c>
      <c r="P160">
        <f t="shared" si="55"/>
        <v>4.0820734341252694</v>
      </c>
      <c r="Q160">
        <f t="shared" si="56"/>
        <v>63</v>
      </c>
      <c r="R160">
        <f t="shared" si="57"/>
        <v>720</v>
      </c>
      <c r="S160">
        <f t="shared" si="58"/>
        <v>417.59999999999997</v>
      </c>
      <c r="T160">
        <f t="shared" si="59"/>
        <v>86.399999999999991</v>
      </c>
      <c r="U160">
        <f>I160*E160/'[1]Inverter Analysis'!$L$2</f>
        <v>434.78533386154038</v>
      </c>
      <c r="V160">
        <f t="shared" si="60"/>
        <v>158.73015873015873</v>
      </c>
      <c r="W160">
        <f t="shared" si="61"/>
        <v>191.57088122605364</v>
      </c>
      <c r="X160">
        <f t="shared" si="62"/>
        <v>105.82010582010582</v>
      </c>
      <c r="Y160">
        <f t="shared" si="63"/>
        <v>0.29359522026981405</v>
      </c>
      <c r="Z160">
        <f t="shared" si="64"/>
        <v>8.4606282000000004</v>
      </c>
    </row>
    <row r="161" spans="1:26" hidden="1">
      <c r="A161">
        <v>16</v>
      </c>
      <c r="B161">
        <v>4</v>
      </c>
      <c r="C161" s="12">
        <v>11</v>
      </c>
      <c r="D161">
        <f t="shared" si="44"/>
        <v>400</v>
      </c>
      <c r="E161">
        <f t="shared" si="45"/>
        <v>240</v>
      </c>
      <c r="F161">
        <f t="shared" si="46"/>
        <v>48.576000000000001</v>
      </c>
      <c r="G161">
        <f t="shared" si="47"/>
        <v>0.35199999999999998</v>
      </c>
      <c r="H161">
        <f t="shared" si="48"/>
        <v>177.40799999999999</v>
      </c>
      <c r="I161">
        <f t="shared" si="49"/>
        <v>739.2</v>
      </c>
      <c r="J161">
        <f t="shared" si="50"/>
        <v>492.79999999999995</v>
      </c>
      <c r="K161">
        <f t="shared" si="51"/>
        <v>118.27199999999999</v>
      </c>
      <c r="L161">
        <f t="shared" si="52"/>
        <v>12.418560000000001</v>
      </c>
      <c r="M161">
        <f t="shared" si="53"/>
        <v>13.009920000000001</v>
      </c>
      <c r="N161">
        <f t="shared" si="54"/>
        <v>7.451136</v>
      </c>
      <c r="O161">
        <f t="shared" si="65"/>
        <v>10.714051764705884</v>
      </c>
      <c r="P161">
        <f t="shared" si="55"/>
        <v>4.3542116630669545</v>
      </c>
      <c r="Q161">
        <f t="shared" si="56"/>
        <v>67.2</v>
      </c>
      <c r="R161">
        <f t="shared" si="57"/>
        <v>704</v>
      </c>
      <c r="S161">
        <f t="shared" si="58"/>
        <v>408.31999999999994</v>
      </c>
      <c r="T161">
        <f t="shared" si="59"/>
        <v>84.47999999999999</v>
      </c>
      <c r="U161">
        <f>I161*E161/'[1]Inverter Analysis'!$L$2</f>
        <v>425.12343755350616</v>
      </c>
      <c r="V161">
        <f t="shared" si="60"/>
        <v>162.33766233766235</v>
      </c>
      <c r="W161">
        <f t="shared" si="61"/>
        <v>195.92476489028215</v>
      </c>
      <c r="X161">
        <f t="shared" si="62"/>
        <v>108.22510822510822</v>
      </c>
      <c r="Y161">
        <f t="shared" si="63"/>
        <v>0.30709210797849867</v>
      </c>
      <c r="Z161">
        <f t="shared" si="64"/>
        <v>7.9090277375999989</v>
      </c>
    </row>
    <row r="162" spans="1:26" hidden="1">
      <c r="A162">
        <v>14</v>
      </c>
      <c r="B162">
        <v>4</v>
      </c>
      <c r="C162">
        <v>12</v>
      </c>
      <c r="D162">
        <f t="shared" si="44"/>
        <v>400</v>
      </c>
      <c r="E162">
        <f t="shared" si="45"/>
        <v>240</v>
      </c>
      <c r="F162">
        <f t="shared" si="46"/>
        <v>46.368000000000002</v>
      </c>
      <c r="G162">
        <f t="shared" si="47"/>
        <v>0.33600000000000002</v>
      </c>
      <c r="H162">
        <f t="shared" si="48"/>
        <v>169.34399999999999</v>
      </c>
      <c r="I162">
        <f t="shared" si="49"/>
        <v>705.6</v>
      </c>
      <c r="J162">
        <f t="shared" si="50"/>
        <v>470.4</v>
      </c>
      <c r="K162">
        <f t="shared" si="51"/>
        <v>112.896</v>
      </c>
      <c r="L162">
        <f t="shared" si="52"/>
        <v>11.854080000000002</v>
      </c>
      <c r="M162">
        <f t="shared" si="53"/>
        <v>12.418560000000001</v>
      </c>
      <c r="N162">
        <f t="shared" si="54"/>
        <v>7.1124480000000005</v>
      </c>
      <c r="O162">
        <f t="shared" si="65"/>
        <v>10.227049411764709</v>
      </c>
      <c r="P162">
        <f t="shared" si="55"/>
        <v>3.8099352051835855</v>
      </c>
      <c r="Q162">
        <f t="shared" si="56"/>
        <v>58.800000000000004</v>
      </c>
      <c r="R162">
        <f t="shared" si="57"/>
        <v>672</v>
      </c>
      <c r="S162">
        <f t="shared" si="58"/>
        <v>389.76</v>
      </c>
      <c r="T162">
        <f t="shared" si="59"/>
        <v>80.64</v>
      </c>
      <c r="U162">
        <f>I162*E162/'[1]Inverter Analysis'!$L$2</f>
        <v>405.79964493743773</v>
      </c>
      <c r="V162">
        <f t="shared" si="60"/>
        <v>170.06802721088437</v>
      </c>
      <c r="W162">
        <f t="shared" si="61"/>
        <v>205.25451559934319</v>
      </c>
      <c r="X162">
        <f t="shared" si="62"/>
        <v>113.37868480725623</v>
      </c>
      <c r="Y162">
        <f t="shared" si="63"/>
        <v>0.3370353293913681</v>
      </c>
      <c r="Z162">
        <f t="shared" si="64"/>
        <v>6.8788040831999995</v>
      </c>
    </row>
    <row r="163" spans="1:26" hidden="1">
      <c r="A163">
        <v>15</v>
      </c>
      <c r="B163">
        <v>4</v>
      </c>
      <c r="C163" s="12">
        <v>11</v>
      </c>
      <c r="D163">
        <f t="shared" si="44"/>
        <v>400</v>
      </c>
      <c r="E163">
        <f t="shared" si="45"/>
        <v>240</v>
      </c>
      <c r="F163">
        <f t="shared" si="46"/>
        <v>45.54</v>
      </c>
      <c r="G163">
        <f t="shared" si="47"/>
        <v>0.32999999999999996</v>
      </c>
      <c r="H163">
        <f t="shared" si="48"/>
        <v>166.32</v>
      </c>
      <c r="I163">
        <f t="shared" si="49"/>
        <v>693</v>
      </c>
      <c r="J163">
        <f t="shared" si="50"/>
        <v>461.99999999999994</v>
      </c>
      <c r="K163">
        <f t="shared" si="51"/>
        <v>110.87999999999998</v>
      </c>
      <c r="L163">
        <f t="shared" si="52"/>
        <v>11.6424</v>
      </c>
      <c r="M163">
        <f t="shared" si="53"/>
        <v>12.196800000000001</v>
      </c>
      <c r="N163">
        <f t="shared" si="54"/>
        <v>6.9854399999999996</v>
      </c>
      <c r="O163">
        <f t="shared" si="65"/>
        <v>10.044423529411766</v>
      </c>
      <c r="P163">
        <f t="shared" si="55"/>
        <v>4.0820734341252694</v>
      </c>
      <c r="Q163">
        <f t="shared" si="56"/>
        <v>63</v>
      </c>
      <c r="R163">
        <f t="shared" si="57"/>
        <v>660</v>
      </c>
      <c r="S163">
        <f t="shared" si="58"/>
        <v>382.79999999999995</v>
      </c>
      <c r="T163">
        <f t="shared" si="59"/>
        <v>79.199999999999989</v>
      </c>
      <c r="U163">
        <f>I163*E163/'[1]Inverter Analysis'!$L$2</f>
        <v>398.55322270641204</v>
      </c>
      <c r="V163">
        <f t="shared" si="60"/>
        <v>173.16017316017317</v>
      </c>
      <c r="W163">
        <f t="shared" si="61"/>
        <v>208.98641588296763</v>
      </c>
      <c r="X163">
        <f t="shared" si="62"/>
        <v>115.44011544011543</v>
      </c>
      <c r="Y163">
        <f t="shared" si="63"/>
        <v>0.34940257618886966</v>
      </c>
      <c r="Z163">
        <f t="shared" si="64"/>
        <v>6.5168380406249984</v>
      </c>
    </row>
    <row r="164" spans="1:26" hidden="1">
      <c r="A164">
        <v>16</v>
      </c>
      <c r="B164">
        <v>4</v>
      </c>
      <c r="C164" s="12">
        <v>10</v>
      </c>
      <c r="D164">
        <f t="shared" si="44"/>
        <v>400</v>
      </c>
      <c r="E164">
        <f t="shared" si="45"/>
        <v>240</v>
      </c>
      <c r="F164">
        <f t="shared" si="46"/>
        <v>44.16</v>
      </c>
      <c r="G164">
        <f t="shared" si="47"/>
        <v>0.32</v>
      </c>
      <c r="H164">
        <f t="shared" si="48"/>
        <v>161.28</v>
      </c>
      <c r="I164">
        <f t="shared" si="49"/>
        <v>672</v>
      </c>
      <c r="J164">
        <f t="shared" si="50"/>
        <v>448</v>
      </c>
      <c r="K164">
        <f t="shared" si="51"/>
        <v>107.52</v>
      </c>
      <c r="L164">
        <f t="shared" si="52"/>
        <v>11.2896</v>
      </c>
      <c r="M164">
        <f t="shared" si="53"/>
        <v>11.827200000000001</v>
      </c>
      <c r="N164">
        <f t="shared" si="54"/>
        <v>6.7737600000000002</v>
      </c>
      <c r="O164">
        <f t="shared" si="65"/>
        <v>9.7400470588235315</v>
      </c>
      <c r="P164">
        <f t="shared" si="55"/>
        <v>4.3542116630669545</v>
      </c>
      <c r="Q164">
        <f t="shared" si="56"/>
        <v>67.2</v>
      </c>
      <c r="R164">
        <f t="shared" si="57"/>
        <v>640</v>
      </c>
      <c r="S164">
        <f t="shared" si="58"/>
        <v>371.2</v>
      </c>
      <c r="T164">
        <f t="shared" si="59"/>
        <v>76.8</v>
      </c>
      <c r="U164">
        <f>I164*E164/'[1]Inverter Analysis'!$L$2</f>
        <v>386.47585232136925</v>
      </c>
      <c r="V164">
        <f t="shared" si="60"/>
        <v>178.57142857142858</v>
      </c>
      <c r="W164">
        <f t="shared" si="61"/>
        <v>215.51724137931035</v>
      </c>
      <c r="X164">
        <f t="shared" si="62"/>
        <v>119.04761904761905</v>
      </c>
      <c r="Y164">
        <f t="shared" si="63"/>
        <v>0.37158145065398335</v>
      </c>
      <c r="Z164">
        <f t="shared" si="64"/>
        <v>5.9421695999999997</v>
      </c>
    </row>
    <row r="165" spans="1:26" hidden="1">
      <c r="A165">
        <v>13</v>
      </c>
      <c r="B165">
        <v>4</v>
      </c>
      <c r="C165">
        <v>12</v>
      </c>
      <c r="D165">
        <f t="shared" si="44"/>
        <v>400</v>
      </c>
      <c r="E165">
        <f t="shared" si="45"/>
        <v>240</v>
      </c>
      <c r="F165">
        <f t="shared" si="46"/>
        <v>43.055999999999997</v>
      </c>
      <c r="G165">
        <f t="shared" si="47"/>
        <v>0.31200000000000006</v>
      </c>
      <c r="H165">
        <f t="shared" si="48"/>
        <v>157.24799999999999</v>
      </c>
      <c r="I165">
        <f t="shared" si="49"/>
        <v>655.20000000000005</v>
      </c>
      <c r="J165">
        <f t="shared" si="50"/>
        <v>436.79999999999995</v>
      </c>
      <c r="K165">
        <f t="shared" si="51"/>
        <v>104.83199999999998</v>
      </c>
      <c r="L165">
        <f t="shared" si="52"/>
        <v>11.00736</v>
      </c>
      <c r="M165">
        <f t="shared" si="53"/>
        <v>11.531520000000002</v>
      </c>
      <c r="N165">
        <f t="shared" si="54"/>
        <v>6.6044160000000005</v>
      </c>
      <c r="O165">
        <f t="shared" si="65"/>
        <v>9.4965458823529438</v>
      </c>
      <c r="P165">
        <f t="shared" si="55"/>
        <v>3.5377969762419004</v>
      </c>
      <c r="Q165">
        <f t="shared" si="56"/>
        <v>54.6</v>
      </c>
      <c r="R165">
        <f t="shared" si="57"/>
        <v>624</v>
      </c>
      <c r="S165">
        <f t="shared" si="58"/>
        <v>361.91999999999996</v>
      </c>
      <c r="T165">
        <f t="shared" si="59"/>
        <v>74.88000000000001</v>
      </c>
      <c r="U165">
        <f>I165*E165/'[1]Inverter Analysis'!$L$2</f>
        <v>376.81395601333503</v>
      </c>
      <c r="V165">
        <f t="shared" si="60"/>
        <v>183.15018315018318</v>
      </c>
      <c r="W165">
        <f t="shared" si="61"/>
        <v>221.04332449160037</v>
      </c>
      <c r="X165">
        <f t="shared" si="62"/>
        <v>122.10012210012209</v>
      </c>
      <c r="Y165">
        <f t="shared" si="63"/>
        <v>0.39088121041839152</v>
      </c>
      <c r="Z165">
        <f t="shared" si="64"/>
        <v>5.5075556015999982</v>
      </c>
    </row>
    <row r="166" spans="1:26" hidden="1">
      <c r="A166">
        <v>14</v>
      </c>
      <c r="B166">
        <v>4</v>
      </c>
      <c r="C166" s="12">
        <v>11</v>
      </c>
      <c r="D166">
        <f t="shared" si="44"/>
        <v>400</v>
      </c>
      <c r="E166">
        <f t="shared" si="45"/>
        <v>240</v>
      </c>
      <c r="F166">
        <f t="shared" si="46"/>
        <v>42.503999999999998</v>
      </c>
      <c r="G166">
        <f t="shared" si="47"/>
        <v>0.308</v>
      </c>
      <c r="H166">
        <f t="shared" si="48"/>
        <v>155.23200000000003</v>
      </c>
      <c r="I166">
        <f t="shared" si="49"/>
        <v>646.80000000000007</v>
      </c>
      <c r="J166">
        <f t="shared" si="50"/>
        <v>431.2</v>
      </c>
      <c r="K166">
        <f t="shared" si="51"/>
        <v>103.488</v>
      </c>
      <c r="L166">
        <f t="shared" si="52"/>
        <v>10.866240000000001</v>
      </c>
      <c r="M166">
        <f t="shared" si="53"/>
        <v>11.383680000000002</v>
      </c>
      <c r="N166">
        <f t="shared" si="54"/>
        <v>6.5197440000000002</v>
      </c>
      <c r="O166">
        <f t="shared" si="65"/>
        <v>9.37479529411765</v>
      </c>
      <c r="P166">
        <f t="shared" si="55"/>
        <v>3.8099352051835855</v>
      </c>
      <c r="Q166">
        <f t="shared" si="56"/>
        <v>58.800000000000004</v>
      </c>
      <c r="R166">
        <f t="shared" si="57"/>
        <v>616</v>
      </c>
      <c r="S166">
        <f t="shared" si="58"/>
        <v>357.28</v>
      </c>
      <c r="T166">
        <f t="shared" si="59"/>
        <v>73.92</v>
      </c>
      <c r="U166">
        <f>I166*E166/'[1]Inverter Analysis'!$L$2</f>
        <v>371.98300785931798</v>
      </c>
      <c r="V166">
        <f t="shared" si="60"/>
        <v>185.5287569573284</v>
      </c>
      <c r="W166">
        <f t="shared" si="61"/>
        <v>223.91401701746531</v>
      </c>
      <c r="X166">
        <f t="shared" si="62"/>
        <v>123.68583797155225</v>
      </c>
      <c r="Y166">
        <f t="shared" si="63"/>
        <v>0.40109989613518193</v>
      </c>
      <c r="Z166">
        <f t="shared" si="64"/>
        <v>5.2984306913999992</v>
      </c>
    </row>
    <row r="167" spans="1:26" hidden="1">
      <c r="A167">
        <v>15</v>
      </c>
      <c r="B167">
        <v>4</v>
      </c>
      <c r="C167" s="12">
        <v>10</v>
      </c>
      <c r="D167">
        <f t="shared" si="44"/>
        <v>400</v>
      </c>
      <c r="E167">
        <f t="shared" si="45"/>
        <v>240</v>
      </c>
      <c r="F167">
        <f t="shared" si="46"/>
        <v>41.4</v>
      </c>
      <c r="G167">
        <f t="shared" si="47"/>
        <v>0.3</v>
      </c>
      <c r="H167">
        <f t="shared" si="48"/>
        <v>151.19999999999999</v>
      </c>
      <c r="I167">
        <f t="shared" si="49"/>
        <v>630</v>
      </c>
      <c r="J167">
        <f t="shared" si="50"/>
        <v>420</v>
      </c>
      <c r="K167">
        <f t="shared" si="51"/>
        <v>100.8</v>
      </c>
      <c r="L167">
        <f t="shared" si="52"/>
        <v>10.584</v>
      </c>
      <c r="M167">
        <f t="shared" si="53"/>
        <v>11.087999999999999</v>
      </c>
      <c r="N167">
        <f t="shared" si="54"/>
        <v>6.3503999999999996</v>
      </c>
      <c r="O167">
        <f t="shared" si="65"/>
        <v>9.1312941176470588</v>
      </c>
      <c r="P167">
        <f t="shared" si="55"/>
        <v>4.0820734341252694</v>
      </c>
      <c r="Q167">
        <f t="shared" si="56"/>
        <v>63</v>
      </c>
      <c r="R167">
        <f t="shared" si="57"/>
        <v>600</v>
      </c>
      <c r="S167">
        <f t="shared" si="58"/>
        <v>348</v>
      </c>
      <c r="T167">
        <f t="shared" si="59"/>
        <v>72</v>
      </c>
      <c r="U167">
        <f>I167*E167/'[1]Inverter Analysis'!$L$2</f>
        <v>362.32111155128365</v>
      </c>
      <c r="V167">
        <f t="shared" si="60"/>
        <v>190.47619047619048</v>
      </c>
      <c r="W167">
        <f t="shared" si="61"/>
        <v>229.88505747126436</v>
      </c>
      <c r="X167">
        <f t="shared" si="62"/>
        <v>126.98412698412699</v>
      </c>
      <c r="Y167">
        <f t="shared" si="63"/>
        <v>0.42277711718853217</v>
      </c>
      <c r="Z167">
        <f t="shared" si="64"/>
        <v>4.8961968750000002</v>
      </c>
    </row>
    <row r="168" spans="1:26" hidden="1">
      <c r="A168">
        <v>16</v>
      </c>
      <c r="B168">
        <v>3</v>
      </c>
      <c r="C168">
        <v>12</v>
      </c>
      <c r="D168">
        <f t="shared" si="44"/>
        <v>300</v>
      </c>
      <c r="E168">
        <f t="shared" si="45"/>
        <v>180</v>
      </c>
      <c r="F168">
        <f t="shared" si="46"/>
        <v>39.744</v>
      </c>
      <c r="G168">
        <f t="shared" si="47"/>
        <v>0.51200000000000001</v>
      </c>
      <c r="H168">
        <f t="shared" si="48"/>
        <v>145.15200000000002</v>
      </c>
      <c r="I168">
        <f t="shared" si="49"/>
        <v>806.40000000000009</v>
      </c>
      <c r="J168">
        <f t="shared" si="50"/>
        <v>537.59999999999991</v>
      </c>
      <c r="K168">
        <f t="shared" si="51"/>
        <v>96.767999999999986</v>
      </c>
      <c r="L168">
        <f t="shared" si="52"/>
        <v>10.160640000000001</v>
      </c>
      <c r="M168">
        <f t="shared" si="53"/>
        <v>10.644480000000003</v>
      </c>
      <c r="N168">
        <f t="shared" si="54"/>
        <v>6.0963839999999996</v>
      </c>
      <c r="O168">
        <f t="shared" si="65"/>
        <v>8.7660423529411791</v>
      </c>
      <c r="P168">
        <f t="shared" si="55"/>
        <v>3.2656587473002165</v>
      </c>
      <c r="Q168">
        <f t="shared" si="56"/>
        <v>67.2</v>
      </c>
      <c r="R168">
        <f t="shared" si="57"/>
        <v>576</v>
      </c>
      <c r="S168">
        <f t="shared" si="58"/>
        <v>445.43999999999994</v>
      </c>
      <c r="T168">
        <f t="shared" si="59"/>
        <v>92.16</v>
      </c>
      <c r="U168">
        <f>I168*E168/'[1]Inverter Analysis'!$L$2</f>
        <v>347.82826708923238</v>
      </c>
      <c r="V168">
        <f t="shared" si="60"/>
        <v>148.80952380952382</v>
      </c>
      <c r="W168">
        <f t="shared" si="61"/>
        <v>179.59770114942532</v>
      </c>
      <c r="X168">
        <f t="shared" si="62"/>
        <v>99.206349206349202</v>
      </c>
      <c r="Y168">
        <f t="shared" si="63"/>
        <v>0.25804267406526626</v>
      </c>
      <c r="Z168">
        <f t="shared" si="64"/>
        <v>7.7010518015999985</v>
      </c>
    </row>
    <row r="169" spans="1:26">
      <c r="A169">
        <v>13</v>
      </c>
      <c r="B169" s="12">
        <v>6</v>
      </c>
      <c r="C169" s="12">
        <v>7</v>
      </c>
      <c r="D169">
        <f t="shared" si="44"/>
        <v>600</v>
      </c>
      <c r="E169">
        <f t="shared" si="45"/>
        <v>360</v>
      </c>
      <c r="F169">
        <f t="shared" si="46"/>
        <v>37.673999999999999</v>
      </c>
      <c r="G169">
        <f t="shared" si="47"/>
        <v>0.12133333333333332</v>
      </c>
      <c r="H169">
        <f t="shared" si="48"/>
        <v>137.59200000000001</v>
      </c>
      <c r="I169">
        <f t="shared" si="49"/>
        <v>382.2</v>
      </c>
      <c r="J169">
        <f t="shared" si="50"/>
        <v>254.79999999999998</v>
      </c>
      <c r="K169">
        <f t="shared" si="51"/>
        <v>91.727999999999994</v>
      </c>
      <c r="L169">
        <f t="shared" si="52"/>
        <v>9.6314400000000013</v>
      </c>
      <c r="M169">
        <f t="shared" si="53"/>
        <v>10.09008</v>
      </c>
      <c r="N169">
        <f t="shared" si="54"/>
        <v>5.7788639999999996</v>
      </c>
      <c r="O169">
        <f t="shared" si="65"/>
        <v>8.3094776470588254</v>
      </c>
      <c r="P169">
        <f t="shared" si="55"/>
        <v>5.3066954643628508</v>
      </c>
      <c r="Q169">
        <f t="shared" si="56"/>
        <v>54.6</v>
      </c>
      <c r="R169">
        <f t="shared" si="57"/>
        <v>546</v>
      </c>
      <c r="S169">
        <f t="shared" si="58"/>
        <v>211.12</v>
      </c>
      <c r="T169">
        <f t="shared" si="59"/>
        <v>43.679999999999993</v>
      </c>
      <c r="U169">
        <f>I169*E169/'[1]Inverter Analysis'!$L$2</f>
        <v>329.71221151166816</v>
      </c>
      <c r="V169">
        <f t="shared" si="60"/>
        <v>313.97174254317116</v>
      </c>
      <c r="W169">
        <f t="shared" si="61"/>
        <v>378.93141341417203</v>
      </c>
      <c r="X169">
        <f t="shared" si="62"/>
        <v>209.31449502878075</v>
      </c>
      <c r="Y169">
        <f t="shared" si="63"/>
        <v>1.1487121285764974</v>
      </c>
      <c r="Z169">
        <f t="shared" si="64"/>
        <v>1.6398364334625</v>
      </c>
    </row>
    <row r="170" spans="1:26" hidden="1">
      <c r="A170">
        <v>15</v>
      </c>
      <c r="B170">
        <v>3</v>
      </c>
      <c r="C170">
        <v>12</v>
      </c>
      <c r="D170">
        <f t="shared" si="44"/>
        <v>300</v>
      </c>
      <c r="E170">
        <f t="shared" si="45"/>
        <v>180</v>
      </c>
      <c r="F170">
        <f t="shared" si="46"/>
        <v>37.26</v>
      </c>
      <c r="G170">
        <f t="shared" si="47"/>
        <v>0.48</v>
      </c>
      <c r="H170">
        <f t="shared" si="48"/>
        <v>136.08000000000001</v>
      </c>
      <c r="I170">
        <f t="shared" si="49"/>
        <v>756</v>
      </c>
      <c r="J170">
        <f t="shared" si="50"/>
        <v>503.99999999999994</v>
      </c>
      <c r="K170">
        <f t="shared" si="51"/>
        <v>90.719999999999985</v>
      </c>
      <c r="L170">
        <f t="shared" si="52"/>
        <v>9.5256000000000007</v>
      </c>
      <c r="M170">
        <f t="shared" si="53"/>
        <v>9.9792000000000005</v>
      </c>
      <c r="N170">
        <f t="shared" si="54"/>
        <v>5.7153600000000004</v>
      </c>
      <c r="O170">
        <f t="shared" si="65"/>
        <v>8.2181647058823533</v>
      </c>
      <c r="P170">
        <f t="shared" si="55"/>
        <v>3.0615550755939522</v>
      </c>
      <c r="Q170">
        <f t="shared" si="56"/>
        <v>63</v>
      </c>
      <c r="R170">
        <f t="shared" si="57"/>
        <v>540</v>
      </c>
      <c r="S170">
        <f t="shared" si="58"/>
        <v>417.59999999999997</v>
      </c>
      <c r="T170">
        <f t="shared" si="59"/>
        <v>86.399999999999991</v>
      </c>
      <c r="U170">
        <f>I170*E170/'[1]Inverter Analysis'!$L$2</f>
        <v>326.08900039615531</v>
      </c>
      <c r="V170">
        <f t="shared" si="60"/>
        <v>158.73015873015873</v>
      </c>
      <c r="W170">
        <f t="shared" si="61"/>
        <v>191.57088122605364</v>
      </c>
      <c r="X170">
        <f t="shared" si="62"/>
        <v>105.82010582010582</v>
      </c>
      <c r="Y170">
        <f t="shared" si="63"/>
        <v>0.29359522026981405</v>
      </c>
      <c r="Z170">
        <f t="shared" si="64"/>
        <v>6.3454711499999981</v>
      </c>
    </row>
    <row r="171" spans="1:26">
      <c r="A171">
        <v>10</v>
      </c>
      <c r="B171" s="12">
        <v>6</v>
      </c>
      <c r="C171" s="12">
        <v>9</v>
      </c>
      <c r="D171">
        <f t="shared" si="44"/>
        <v>600</v>
      </c>
      <c r="E171">
        <f t="shared" si="45"/>
        <v>360</v>
      </c>
      <c r="F171">
        <f t="shared" si="46"/>
        <v>37.26</v>
      </c>
      <c r="G171">
        <f t="shared" si="47"/>
        <v>0.12</v>
      </c>
      <c r="H171">
        <f t="shared" si="48"/>
        <v>136.08000000000001</v>
      </c>
      <c r="I171">
        <f t="shared" si="49"/>
        <v>378</v>
      </c>
      <c r="J171">
        <f t="shared" si="50"/>
        <v>251.99999999999997</v>
      </c>
      <c r="K171">
        <f t="shared" si="51"/>
        <v>90.719999999999985</v>
      </c>
      <c r="L171">
        <f t="shared" si="52"/>
        <v>9.5256000000000007</v>
      </c>
      <c r="M171">
        <f t="shared" si="53"/>
        <v>9.9792000000000005</v>
      </c>
      <c r="N171">
        <f t="shared" si="54"/>
        <v>5.7153600000000004</v>
      </c>
      <c r="O171">
        <f t="shared" si="65"/>
        <v>8.2181647058823533</v>
      </c>
      <c r="P171">
        <f t="shared" si="55"/>
        <v>4.0820734341252694</v>
      </c>
      <c r="Q171">
        <f t="shared" si="56"/>
        <v>42</v>
      </c>
      <c r="R171">
        <f t="shared" si="57"/>
        <v>540</v>
      </c>
      <c r="S171">
        <f t="shared" si="58"/>
        <v>208.79999999999998</v>
      </c>
      <c r="T171">
        <f t="shared" si="59"/>
        <v>43.199999999999996</v>
      </c>
      <c r="U171">
        <f>I171*E171/'[1]Inverter Analysis'!$L$2</f>
        <v>326.08900039615531</v>
      </c>
      <c r="V171">
        <f t="shared" si="60"/>
        <v>317.46031746031747</v>
      </c>
      <c r="W171">
        <f t="shared" si="61"/>
        <v>383.14176245210729</v>
      </c>
      <c r="X171">
        <f t="shared" si="62"/>
        <v>211.64021164021165</v>
      </c>
      <c r="Y171">
        <f t="shared" si="63"/>
        <v>1.1743808810792562</v>
      </c>
      <c r="Z171">
        <f t="shared" si="64"/>
        <v>1.5863677874999995</v>
      </c>
    </row>
    <row r="172" spans="1:26">
      <c r="A172" s="8">
        <v>15</v>
      </c>
      <c r="B172" s="12">
        <v>6</v>
      </c>
      <c r="C172">
        <v>6</v>
      </c>
      <c r="D172">
        <f t="shared" si="44"/>
        <v>600</v>
      </c>
      <c r="E172">
        <f t="shared" si="45"/>
        <v>360</v>
      </c>
      <c r="F172">
        <f t="shared" si="46"/>
        <v>37.26</v>
      </c>
      <c r="G172">
        <f t="shared" si="47"/>
        <v>0.12</v>
      </c>
      <c r="H172">
        <f t="shared" si="48"/>
        <v>136.08000000000001</v>
      </c>
      <c r="I172">
        <f t="shared" si="49"/>
        <v>378</v>
      </c>
      <c r="J172">
        <f t="shared" si="50"/>
        <v>251.99999999999997</v>
      </c>
      <c r="K172">
        <f t="shared" si="51"/>
        <v>90.719999999999985</v>
      </c>
      <c r="L172">
        <f t="shared" si="52"/>
        <v>9.5256000000000007</v>
      </c>
      <c r="M172">
        <f t="shared" si="53"/>
        <v>9.9792000000000005</v>
      </c>
      <c r="N172">
        <f t="shared" si="54"/>
        <v>5.7153600000000004</v>
      </c>
      <c r="O172">
        <f t="shared" si="65"/>
        <v>8.2181647058823533</v>
      </c>
      <c r="P172">
        <f t="shared" si="55"/>
        <v>6.1231101511879045</v>
      </c>
      <c r="Q172">
        <f t="shared" si="56"/>
        <v>63</v>
      </c>
      <c r="R172">
        <f t="shared" si="57"/>
        <v>540</v>
      </c>
      <c r="S172">
        <f t="shared" si="58"/>
        <v>208.79999999999998</v>
      </c>
      <c r="T172">
        <f t="shared" si="59"/>
        <v>43.199999999999996</v>
      </c>
      <c r="U172">
        <f>I172*E172/'[1]Inverter Analysis'!$L$2</f>
        <v>326.08900039615531</v>
      </c>
      <c r="V172">
        <f t="shared" si="60"/>
        <v>317.46031746031747</v>
      </c>
      <c r="W172">
        <f t="shared" si="61"/>
        <v>383.14176245210729</v>
      </c>
      <c r="X172">
        <f t="shared" si="62"/>
        <v>211.64021164021165</v>
      </c>
      <c r="Y172">
        <f t="shared" si="63"/>
        <v>1.1743808810792562</v>
      </c>
      <c r="Z172">
        <f t="shared" si="64"/>
        <v>1.5863677874999995</v>
      </c>
    </row>
    <row r="173" spans="1:26" hidden="1">
      <c r="A173">
        <v>16</v>
      </c>
      <c r="B173">
        <v>3</v>
      </c>
      <c r="C173" s="12">
        <v>11</v>
      </c>
      <c r="D173">
        <f t="shared" si="44"/>
        <v>300</v>
      </c>
      <c r="E173">
        <f t="shared" si="45"/>
        <v>180</v>
      </c>
      <c r="F173">
        <f t="shared" si="46"/>
        <v>36.432000000000002</v>
      </c>
      <c r="G173">
        <f t="shared" si="47"/>
        <v>0.46933333333333332</v>
      </c>
      <c r="H173">
        <f t="shared" si="48"/>
        <v>133.05600000000001</v>
      </c>
      <c r="I173">
        <f t="shared" si="49"/>
        <v>739.2</v>
      </c>
      <c r="J173">
        <f t="shared" si="50"/>
        <v>492.79999999999995</v>
      </c>
      <c r="K173">
        <f t="shared" si="51"/>
        <v>88.703999999999979</v>
      </c>
      <c r="L173">
        <f t="shared" si="52"/>
        <v>9.3139200000000013</v>
      </c>
      <c r="M173">
        <f t="shared" si="53"/>
        <v>9.7574400000000026</v>
      </c>
      <c r="N173">
        <f t="shared" si="54"/>
        <v>5.5883520000000004</v>
      </c>
      <c r="O173">
        <f t="shared" si="65"/>
        <v>8.0355388235294143</v>
      </c>
      <c r="P173">
        <f t="shared" si="55"/>
        <v>3.2656587473002161</v>
      </c>
      <c r="Q173">
        <f t="shared" si="56"/>
        <v>67.2</v>
      </c>
      <c r="R173">
        <f t="shared" si="57"/>
        <v>528</v>
      </c>
      <c r="S173">
        <f t="shared" si="58"/>
        <v>408.31999999999994</v>
      </c>
      <c r="T173">
        <f t="shared" si="59"/>
        <v>84.48</v>
      </c>
      <c r="U173">
        <f>I173*E173/'[1]Inverter Analysis'!$L$2</f>
        <v>318.84257816512962</v>
      </c>
      <c r="V173">
        <f t="shared" si="60"/>
        <v>162.33766233766235</v>
      </c>
      <c r="W173">
        <f t="shared" si="61"/>
        <v>195.92476489028215</v>
      </c>
      <c r="X173">
        <f t="shared" si="62"/>
        <v>108.22510822510822</v>
      </c>
      <c r="Y173">
        <f t="shared" si="63"/>
        <v>0.30709210797849867</v>
      </c>
      <c r="Z173">
        <f t="shared" si="64"/>
        <v>5.9317708031999992</v>
      </c>
    </row>
    <row r="174" spans="1:26">
      <c r="A174">
        <v>11</v>
      </c>
      <c r="B174" s="12">
        <v>6</v>
      </c>
      <c r="C174" s="12">
        <v>8</v>
      </c>
      <c r="D174">
        <f t="shared" si="44"/>
        <v>600</v>
      </c>
      <c r="E174">
        <f t="shared" si="45"/>
        <v>360</v>
      </c>
      <c r="F174">
        <f t="shared" si="46"/>
        <v>36.432000000000002</v>
      </c>
      <c r="G174">
        <f t="shared" si="47"/>
        <v>0.11733333333333333</v>
      </c>
      <c r="H174">
        <f t="shared" si="48"/>
        <v>133.05600000000001</v>
      </c>
      <c r="I174">
        <f t="shared" si="49"/>
        <v>369.6</v>
      </c>
      <c r="J174">
        <f t="shared" si="50"/>
        <v>246.39999999999998</v>
      </c>
      <c r="K174">
        <f t="shared" si="51"/>
        <v>88.703999999999979</v>
      </c>
      <c r="L174">
        <f t="shared" si="52"/>
        <v>9.3139200000000013</v>
      </c>
      <c r="M174">
        <f t="shared" si="53"/>
        <v>9.7574400000000026</v>
      </c>
      <c r="N174">
        <f t="shared" si="54"/>
        <v>5.5883520000000004</v>
      </c>
      <c r="O174">
        <f t="shared" si="65"/>
        <v>8.0355388235294143</v>
      </c>
      <c r="P174">
        <f t="shared" si="55"/>
        <v>4.4902807775377971</v>
      </c>
      <c r="Q174">
        <f t="shared" si="56"/>
        <v>46.2</v>
      </c>
      <c r="R174">
        <f t="shared" si="57"/>
        <v>528</v>
      </c>
      <c r="S174">
        <f t="shared" si="58"/>
        <v>204.15999999999997</v>
      </c>
      <c r="T174">
        <f t="shared" si="59"/>
        <v>42.24</v>
      </c>
      <c r="U174">
        <f>I174*E174/'[1]Inverter Analysis'!$L$2</f>
        <v>318.84257816512962</v>
      </c>
      <c r="V174">
        <f t="shared" si="60"/>
        <v>324.6753246753247</v>
      </c>
      <c r="W174">
        <f t="shared" si="61"/>
        <v>391.8495297805643</v>
      </c>
      <c r="X174">
        <f t="shared" si="62"/>
        <v>216.45021645021643</v>
      </c>
      <c r="Y174">
        <f t="shared" si="63"/>
        <v>1.2283684319139947</v>
      </c>
      <c r="Z174">
        <f t="shared" si="64"/>
        <v>1.4829427007999998</v>
      </c>
    </row>
    <row r="175" spans="1:26" hidden="1">
      <c r="A175">
        <v>14</v>
      </c>
      <c r="B175">
        <v>3</v>
      </c>
      <c r="C175">
        <v>12</v>
      </c>
      <c r="D175">
        <f t="shared" si="44"/>
        <v>300</v>
      </c>
      <c r="E175">
        <f t="shared" si="45"/>
        <v>180</v>
      </c>
      <c r="F175">
        <f t="shared" si="46"/>
        <v>34.776000000000003</v>
      </c>
      <c r="G175">
        <f t="shared" si="47"/>
        <v>0.44799999999999995</v>
      </c>
      <c r="H175">
        <f t="shared" si="48"/>
        <v>127.008</v>
      </c>
      <c r="I175">
        <f t="shared" si="49"/>
        <v>705.6</v>
      </c>
      <c r="J175">
        <f t="shared" si="50"/>
        <v>470.4</v>
      </c>
      <c r="K175">
        <f t="shared" si="51"/>
        <v>84.671999999999997</v>
      </c>
      <c r="L175">
        <f t="shared" si="52"/>
        <v>8.8905600000000007</v>
      </c>
      <c r="M175">
        <f t="shared" si="53"/>
        <v>9.3139200000000013</v>
      </c>
      <c r="N175">
        <f t="shared" si="54"/>
        <v>5.3343360000000004</v>
      </c>
      <c r="O175">
        <f t="shared" si="65"/>
        <v>7.670287058823531</v>
      </c>
      <c r="P175">
        <f t="shared" si="55"/>
        <v>2.8574514038876888</v>
      </c>
      <c r="Q175">
        <f t="shared" si="56"/>
        <v>58.800000000000004</v>
      </c>
      <c r="R175">
        <f t="shared" si="57"/>
        <v>504</v>
      </c>
      <c r="S175">
        <f t="shared" si="58"/>
        <v>389.76</v>
      </c>
      <c r="T175">
        <f t="shared" si="59"/>
        <v>80.639999999999986</v>
      </c>
      <c r="U175">
        <f>I175*E175/'[1]Inverter Analysis'!$L$2</f>
        <v>304.3497337030783</v>
      </c>
      <c r="V175">
        <f t="shared" si="60"/>
        <v>170.06802721088437</v>
      </c>
      <c r="W175">
        <f t="shared" si="61"/>
        <v>205.25451559934319</v>
      </c>
      <c r="X175">
        <f t="shared" si="62"/>
        <v>113.37868480725623</v>
      </c>
      <c r="Y175">
        <f t="shared" si="63"/>
        <v>0.3370353293913681</v>
      </c>
      <c r="Z175">
        <f t="shared" si="64"/>
        <v>5.1591030624000016</v>
      </c>
    </row>
    <row r="176" spans="1:26">
      <c r="A176">
        <v>12</v>
      </c>
      <c r="B176" s="12">
        <v>6</v>
      </c>
      <c r="C176" s="12">
        <v>7</v>
      </c>
      <c r="D176">
        <f t="shared" si="44"/>
        <v>600</v>
      </c>
      <c r="E176">
        <f t="shared" si="45"/>
        <v>360</v>
      </c>
      <c r="F176">
        <f t="shared" si="46"/>
        <v>34.776000000000003</v>
      </c>
      <c r="G176">
        <f t="shared" si="47"/>
        <v>0.112</v>
      </c>
      <c r="H176">
        <f t="shared" si="48"/>
        <v>127.008</v>
      </c>
      <c r="I176">
        <f t="shared" si="49"/>
        <v>352.8</v>
      </c>
      <c r="J176">
        <f t="shared" si="50"/>
        <v>235.2</v>
      </c>
      <c r="K176">
        <f t="shared" si="51"/>
        <v>84.671999999999997</v>
      </c>
      <c r="L176">
        <f t="shared" si="52"/>
        <v>8.8905600000000007</v>
      </c>
      <c r="M176">
        <f t="shared" si="53"/>
        <v>9.3139200000000013</v>
      </c>
      <c r="N176">
        <f t="shared" si="54"/>
        <v>5.3343360000000004</v>
      </c>
      <c r="O176">
        <f t="shared" si="65"/>
        <v>7.670287058823531</v>
      </c>
      <c r="P176">
        <f t="shared" si="55"/>
        <v>4.8984881209503239</v>
      </c>
      <c r="Q176">
        <f t="shared" si="56"/>
        <v>50.4</v>
      </c>
      <c r="R176">
        <f t="shared" si="57"/>
        <v>504</v>
      </c>
      <c r="S176">
        <f t="shared" si="58"/>
        <v>194.88</v>
      </c>
      <c r="T176">
        <f t="shared" si="59"/>
        <v>40.32</v>
      </c>
      <c r="U176">
        <f>I176*E176/'[1]Inverter Analysis'!$L$2</f>
        <v>304.3497337030783</v>
      </c>
      <c r="V176">
        <f t="shared" si="60"/>
        <v>340.13605442176873</v>
      </c>
      <c r="W176">
        <f t="shared" si="61"/>
        <v>410.50903119868639</v>
      </c>
      <c r="X176">
        <f t="shared" si="62"/>
        <v>226.75736961451247</v>
      </c>
      <c r="Y176">
        <f t="shared" si="63"/>
        <v>1.3481413175654724</v>
      </c>
      <c r="Z176">
        <f t="shared" si="64"/>
        <v>1.2897757656000004</v>
      </c>
    </row>
    <row r="177" spans="1:26">
      <c r="A177">
        <v>14</v>
      </c>
      <c r="B177" s="12">
        <v>6</v>
      </c>
      <c r="C177">
        <v>6</v>
      </c>
      <c r="D177">
        <f t="shared" si="44"/>
        <v>600</v>
      </c>
      <c r="E177">
        <f t="shared" si="45"/>
        <v>360</v>
      </c>
      <c r="F177">
        <f t="shared" si="46"/>
        <v>34.776000000000003</v>
      </c>
      <c r="G177">
        <f t="shared" si="47"/>
        <v>0.11199999999999999</v>
      </c>
      <c r="H177">
        <f t="shared" si="48"/>
        <v>127.008</v>
      </c>
      <c r="I177">
        <f t="shared" si="49"/>
        <v>352.8</v>
      </c>
      <c r="J177">
        <f t="shared" si="50"/>
        <v>235.2</v>
      </c>
      <c r="K177">
        <f t="shared" si="51"/>
        <v>84.671999999999997</v>
      </c>
      <c r="L177">
        <f t="shared" si="52"/>
        <v>8.8905600000000007</v>
      </c>
      <c r="M177">
        <f t="shared" si="53"/>
        <v>9.3139200000000013</v>
      </c>
      <c r="N177">
        <f t="shared" si="54"/>
        <v>5.3343360000000004</v>
      </c>
      <c r="O177">
        <f t="shared" si="65"/>
        <v>7.670287058823531</v>
      </c>
      <c r="P177">
        <f t="shared" si="55"/>
        <v>5.7149028077753776</v>
      </c>
      <c r="Q177">
        <f t="shared" si="56"/>
        <v>58.800000000000004</v>
      </c>
      <c r="R177">
        <f t="shared" si="57"/>
        <v>504</v>
      </c>
      <c r="S177">
        <f t="shared" si="58"/>
        <v>194.88</v>
      </c>
      <c r="T177">
        <f t="shared" si="59"/>
        <v>40.319999999999993</v>
      </c>
      <c r="U177">
        <f>I177*E177/'[1]Inverter Analysis'!$L$2</f>
        <v>304.3497337030783</v>
      </c>
      <c r="V177">
        <f t="shared" si="60"/>
        <v>340.13605442176873</v>
      </c>
      <c r="W177">
        <f t="shared" si="61"/>
        <v>410.50903119868639</v>
      </c>
      <c r="X177">
        <f t="shared" si="62"/>
        <v>226.75736961451247</v>
      </c>
      <c r="Y177">
        <f t="shared" si="63"/>
        <v>1.3481413175654724</v>
      </c>
      <c r="Z177">
        <f t="shared" si="64"/>
        <v>1.2897757656000004</v>
      </c>
    </row>
    <row r="178" spans="1:26" hidden="1">
      <c r="A178">
        <v>15</v>
      </c>
      <c r="B178">
        <v>3</v>
      </c>
      <c r="C178" s="12">
        <v>11</v>
      </c>
      <c r="D178">
        <f t="shared" si="44"/>
        <v>300</v>
      </c>
      <c r="E178">
        <f t="shared" si="45"/>
        <v>180</v>
      </c>
      <c r="F178">
        <f t="shared" si="46"/>
        <v>34.155000000000001</v>
      </c>
      <c r="G178">
        <f t="shared" si="47"/>
        <v>0.44</v>
      </c>
      <c r="H178">
        <f t="shared" si="48"/>
        <v>124.74</v>
      </c>
      <c r="I178">
        <f t="shared" si="49"/>
        <v>693</v>
      </c>
      <c r="J178">
        <f t="shared" si="50"/>
        <v>461.99999999999994</v>
      </c>
      <c r="K178">
        <f t="shared" si="51"/>
        <v>83.159999999999982</v>
      </c>
      <c r="L178">
        <f t="shared" si="52"/>
        <v>8.7317999999999998</v>
      </c>
      <c r="M178">
        <f t="shared" si="53"/>
        <v>9.1476000000000006</v>
      </c>
      <c r="N178">
        <f t="shared" si="54"/>
        <v>5.2390799999999995</v>
      </c>
      <c r="O178">
        <f t="shared" si="65"/>
        <v>7.5333176470588246</v>
      </c>
      <c r="P178">
        <f t="shared" si="55"/>
        <v>3.0615550755939522</v>
      </c>
      <c r="Q178">
        <f t="shared" si="56"/>
        <v>63</v>
      </c>
      <c r="R178">
        <f t="shared" si="57"/>
        <v>495</v>
      </c>
      <c r="S178">
        <f t="shared" si="58"/>
        <v>382.79999999999995</v>
      </c>
      <c r="T178">
        <f t="shared" si="59"/>
        <v>79.2</v>
      </c>
      <c r="U178">
        <f>I178*E178/'[1]Inverter Analysis'!$L$2</f>
        <v>298.91491702980903</v>
      </c>
      <c r="V178">
        <f t="shared" si="60"/>
        <v>173.16017316017317</v>
      </c>
      <c r="W178">
        <f t="shared" si="61"/>
        <v>208.98641588296763</v>
      </c>
      <c r="X178">
        <f t="shared" si="62"/>
        <v>115.44011544011543</v>
      </c>
      <c r="Y178">
        <f t="shared" si="63"/>
        <v>0.34940257618886966</v>
      </c>
      <c r="Z178">
        <f t="shared" si="64"/>
        <v>4.8876285304687492</v>
      </c>
    </row>
    <row r="179" spans="1:26" hidden="1">
      <c r="A179">
        <v>16</v>
      </c>
      <c r="B179">
        <v>3</v>
      </c>
      <c r="C179" s="12">
        <v>10</v>
      </c>
      <c r="D179">
        <f t="shared" si="44"/>
        <v>300</v>
      </c>
      <c r="E179">
        <f t="shared" si="45"/>
        <v>180</v>
      </c>
      <c r="F179">
        <f t="shared" si="46"/>
        <v>33.119999999999997</v>
      </c>
      <c r="G179">
        <f t="shared" si="47"/>
        <v>0.42666666666666664</v>
      </c>
      <c r="H179">
        <f t="shared" si="48"/>
        <v>120.96</v>
      </c>
      <c r="I179">
        <f t="shared" si="49"/>
        <v>672</v>
      </c>
      <c r="J179">
        <f t="shared" si="50"/>
        <v>448</v>
      </c>
      <c r="K179">
        <f t="shared" si="51"/>
        <v>80.64</v>
      </c>
      <c r="L179">
        <f t="shared" si="52"/>
        <v>8.4672000000000001</v>
      </c>
      <c r="M179">
        <f t="shared" si="53"/>
        <v>8.8704000000000018</v>
      </c>
      <c r="N179">
        <f t="shared" si="54"/>
        <v>5.0803199999999995</v>
      </c>
      <c r="O179">
        <f t="shared" si="65"/>
        <v>7.3050352941176495</v>
      </c>
      <c r="P179">
        <f t="shared" si="55"/>
        <v>3.2656587473002161</v>
      </c>
      <c r="Q179">
        <f t="shared" si="56"/>
        <v>67.2</v>
      </c>
      <c r="R179">
        <f t="shared" si="57"/>
        <v>480</v>
      </c>
      <c r="S179">
        <f t="shared" si="58"/>
        <v>371.2</v>
      </c>
      <c r="T179">
        <f t="shared" si="59"/>
        <v>76.8</v>
      </c>
      <c r="U179">
        <f>I179*E179/'[1]Inverter Analysis'!$L$2</f>
        <v>289.85688924102692</v>
      </c>
      <c r="V179">
        <f t="shared" si="60"/>
        <v>178.57142857142858</v>
      </c>
      <c r="W179">
        <f t="shared" si="61"/>
        <v>215.51724137931035</v>
      </c>
      <c r="X179">
        <f t="shared" si="62"/>
        <v>119.04761904761905</v>
      </c>
      <c r="Y179">
        <f t="shared" si="63"/>
        <v>0.37158145065398335</v>
      </c>
      <c r="Z179">
        <f t="shared" si="64"/>
        <v>4.4566271999999998</v>
      </c>
    </row>
    <row r="180" spans="1:26" hidden="1">
      <c r="A180">
        <v>10</v>
      </c>
      <c r="B180" s="12">
        <v>6</v>
      </c>
      <c r="C180" s="12">
        <v>8</v>
      </c>
      <c r="D180">
        <f t="shared" si="44"/>
        <v>600</v>
      </c>
      <c r="E180">
        <f t="shared" si="45"/>
        <v>360</v>
      </c>
      <c r="F180">
        <f t="shared" si="46"/>
        <v>33.119999999999997</v>
      </c>
      <c r="G180">
        <f t="shared" si="47"/>
        <v>0.10666666666666666</v>
      </c>
      <c r="H180">
        <f t="shared" si="48"/>
        <v>120.96</v>
      </c>
      <c r="I180">
        <f t="shared" si="49"/>
        <v>336</v>
      </c>
      <c r="J180">
        <f t="shared" si="50"/>
        <v>224</v>
      </c>
      <c r="K180">
        <f t="shared" si="51"/>
        <v>80.64</v>
      </c>
      <c r="L180">
        <f t="shared" si="52"/>
        <v>8.4672000000000001</v>
      </c>
      <c r="M180">
        <f t="shared" si="53"/>
        <v>8.8704000000000018</v>
      </c>
      <c r="N180">
        <f t="shared" si="54"/>
        <v>5.0803199999999995</v>
      </c>
      <c r="O180">
        <f t="shared" si="65"/>
        <v>7.3050352941176495</v>
      </c>
      <c r="P180">
        <f t="shared" si="55"/>
        <v>4.0820734341252702</v>
      </c>
      <c r="Q180">
        <f t="shared" si="56"/>
        <v>42</v>
      </c>
      <c r="R180">
        <f t="shared" si="57"/>
        <v>480</v>
      </c>
      <c r="S180">
        <f t="shared" si="58"/>
        <v>185.6</v>
      </c>
      <c r="T180">
        <f t="shared" si="59"/>
        <v>38.4</v>
      </c>
      <c r="U180">
        <f>I180*E180/'[1]Inverter Analysis'!$L$2</f>
        <v>289.85688924102692</v>
      </c>
      <c r="V180">
        <f t="shared" si="60"/>
        <v>357.14285714285717</v>
      </c>
      <c r="W180">
        <f t="shared" si="61"/>
        <v>431.0344827586207</v>
      </c>
      <c r="X180">
        <f t="shared" si="62"/>
        <v>238.0952380952381</v>
      </c>
      <c r="Y180">
        <f t="shared" si="63"/>
        <v>1.4863258026159334</v>
      </c>
      <c r="Z180">
        <f t="shared" si="64"/>
        <v>1.1141567999999999</v>
      </c>
    </row>
    <row r="181" spans="1:26" hidden="1">
      <c r="A181">
        <v>13</v>
      </c>
      <c r="B181">
        <v>3</v>
      </c>
      <c r="C181">
        <v>12</v>
      </c>
      <c r="D181">
        <f t="shared" si="44"/>
        <v>300</v>
      </c>
      <c r="E181">
        <f t="shared" si="45"/>
        <v>180</v>
      </c>
      <c r="F181">
        <f t="shared" si="46"/>
        <v>32.292000000000002</v>
      </c>
      <c r="G181">
        <f t="shared" si="47"/>
        <v>0.41599999999999998</v>
      </c>
      <c r="H181">
        <f t="shared" si="48"/>
        <v>117.93600000000002</v>
      </c>
      <c r="I181">
        <f t="shared" si="49"/>
        <v>655.20000000000005</v>
      </c>
      <c r="J181">
        <f t="shared" si="50"/>
        <v>436.79999999999995</v>
      </c>
      <c r="K181">
        <f t="shared" si="51"/>
        <v>78.623999999999981</v>
      </c>
      <c r="L181">
        <f t="shared" si="52"/>
        <v>8.2555200000000006</v>
      </c>
      <c r="M181">
        <f t="shared" si="53"/>
        <v>8.6486400000000021</v>
      </c>
      <c r="N181">
        <f t="shared" si="54"/>
        <v>4.9533119999999995</v>
      </c>
      <c r="O181">
        <f t="shared" si="65"/>
        <v>7.1224094117647079</v>
      </c>
      <c r="P181">
        <f t="shared" si="55"/>
        <v>2.6533477321814254</v>
      </c>
      <c r="Q181">
        <f t="shared" si="56"/>
        <v>54.6</v>
      </c>
      <c r="R181">
        <f t="shared" si="57"/>
        <v>468</v>
      </c>
      <c r="S181">
        <f t="shared" si="58"/>
        <v>361.91999999999996</v>
      </c>
      <c r="T181">
        <f t="shared" si="59"/>
        <v>74.88</v>
      </c>
      <c r="U181">
        <f>I181*E181/'[1]Inverter Analysis'!$L$2</f>
        <v>282.61046701000129</v>
      </c>
      <c r="V181">
        <f t="shared" si="60"/>
        <v>183.15018315018318</v>
      </c>
      <c r="W181">
        <f t="shared" si="61"/>
        <v>221.04332449160037</v>
      </c>
      <c r="X181">
        <f t="shared" si="62"/>
        <v>122.10012210012209</v>
      </c>
      <c r="Y181">
        <f t="shared" si="63"/>
        <v>0.39088121041839152</v>
      </c>
      <c r="Z181">
        <f t="shared" si="64"/>
        <v>4.1306667011999991</v>
      </c>
    </row>
    <row r="182" spans="1:26" hidden="1">
      <c r="A182">
        <v>13</v>
      </c>
      <c r="B182" s="12">
        <v>6</v>
      </c>
      <c r="C182">
        <v>6</v>
      </c>
      <c r="D182">
        <f t="shared" si="44"/>
        <v>600</v>
      </c>
      <c r="E182">
        <f t="shared" si="45"/>
        <v>360</v>
      </c>
      <c r="F182">
        <f t="shared" si="46"/>
        <v>32.292000000000002</v>
      </c>
      <c r="G182">
        <f t="shared" si="47"/>
        <v>0.104</v>
      </c>
      <c r="H182">
        <f t="shared" si="48"/>
        <v>117.93600000000002</v>
      </c>
      <c r="I182">
        <f t="shared" si="49"/>
        <v>327.60000000000002</v>
      </c>
      <c r="J182">
        <f t="shared" si="50"/>
        <v>218.39999999999998</v>
      </c>
      <c r="K182">
        <f t="shared" si="51"/>
        <v>78.623999999999981</v>
      </c>
      <c r="L182">
        <f t="shared" si="52"/>
        <v>8.2555200000000006</v>
      </c>
      <c r="M182">
        <f t="shared" si="53"/>
        <v>8.6486400000000021</v>
      </c>
      <c r="N182">
        <f t="shared" si="54"/>
        <v>4.9533119999999995</v>
      </c>
      <c r="O182">
        <f t="shared" si="65"/>
        <v>7.1224094117647079</v>
      </c>
      <c r="P182">
        <f t="shared" si="55"/>
        <v>5.3066954643628508</v>
      </c>
      <c r="Q182">
        <f t="shared" si="56"/>
        <v>54.6</v>
      </c>
      <c r="R182">
        <f t="shared" si="57"/>
        <v>468</v>
      </c>
      <c r="S182">
        <f t="shared" si="58"/>
        <v>180.95999999999998</v>
      </c>
      <c r="T182">
        <f t="shared" si="59"/>
        <v>37.44</v>
      </c>
      <c r="U182">
        <f>I182*E182/'[1]Inverter Analysis'!$L$2</f>
        <v>282.61046701000129</v>
      </c>
      <c r="V182">
        <f t="shared" si="60"/>
        <v>366.30036630036636</v>
      </c>
      <c r="W182">
        <f t="shared" si="61"/>
        <v>442.08664898320075</v>
      </c>
      <c r="X182">
        <f t="shared" si="62"/>
        <v>244.20024420024419</v>
      </c>
      <c r="Y182">
        <f t="shared" si="63"/>
        <v>1.5635248416735661</v>
      </c>
      <c r="Z182">
        <f t="shared" si="64"/>
        <v>1.0326666752999998</v>
      </c>
    </row>
    <row r="183" spans="1:26" hidden="1">
      <c r="A183">
        <v>14</v>
      </c>
      <c r="B183">
        <v>3</v>
      </c>
      <c r="C183" s="12">
        <v>11</v>
      </c>
      <c r="D183">
        <f t="shared" si="44"/>
        <v>300</v>
      </c>
      <c r="E183">
        <f t="shared" si="45"/>
        <v>180</v>
      </c>
      <c r="F183">
        <f t="shared" si="46"/>
        <v>31.878</v>
      </c>
      <c r="G183">
        <f t="shared" si="47"/>
        <v>0.41066666666666662</v>
      </c>
      <c r="H183">
        <f t="shared" si="48"/>
        <v>116.42400000000002</v>
      </c>
      <c r="I183">
        <f t="shared" si="49"/>
        <v>646.80000000000007</v>
      </c>
      <c r="J183">
        <f t="shared" si="50"/>
        <v>431.2</v>
      </c>
      <c r="K183">
        <f t="shared" si="51"/>
        <v>77.616</v>
      </c>
      <c r="L183">
        <f t="shared" si="52"/>
        <v>8.1496800000000018</v>
      </c>
      <c r="M183">
        <f t="shared" si="53"/>
        <v>8.5377600000000022</v>
      </c>
      <c r="N183">
        <f t="shared" si="54"/>
        <v>4.8898080000000013</v>
      </c>
      <c r="O183">
        <f t="shared" si="65"/>
        <v>7.0310964705882375</v>
      </c>
      <c r="P183">
        <f t="shared" si="55"/>
        <v>2.8574514038876893</v>
      </c>
      <c r="Q183">
        <f t="shared" si="56"/>
        <v>58.800000000000004</v>
      </c>
      <c r="R183">
        <f t="shared" si="57"/>
        <v>462</v>
      </c>
      <c r="S183">
        <f t="shared" si="58"/>
        <v>357.28</v>
      </c>
      <c r="T183">
        <f t="shared" si="59"/>
        <v>73.919999999999987</v>
      </c>
      <c r="U183">
        <f>I183*E183/'[1]Inverter Analysis'!$L$2</f>
        <v>278.98725589448844</v>
      </c>
      <c r="V183">
        <f t="shared" si="60"/>
        <v>185.5287569573284</v>
      </c>
      <c r="W183">
        <f t="shared" si="61"/>
        <v>223.91401701746531</v>
      </c>
      <c r="X183">
        <f t="shared" si="62"/>
        <v>123.68583797155225</v>
      </c>
      <c r="Y183">
        <f t="shared" si="63"/>
        <v>0.40109989613518193</v>
      </c>
      <c r="Z183">
        <f t="shared" si="64"/>
        <v>3.9738230185499992</v>
      </c>
    </row>
    <row r="184" spans="1:26" hidden="1">
      <c r="A184">
        <v>11</v>
      </c>
      <c r="B184" s="12">
        <v>6</v>
      </c>
      <c r="C184" s="12">
        <v>7</v>
      </c>
      <c r="D184">
        <f t="shared" si="44"/>
        <v>600</v>
      </c>
      <c r="E184">
        <f t="shared" si="45"/>
        <v>360</v>
      </c>
      <c r="F184">
        <f t="shared" si="46"/>
        <v>31.878</v>
      </c>
      <c r="G184">
        <f t="shared" si="47"/>
        <v>0.10266666666666667</v>
      </c>
      <c r="H184">
        <f t="shared" si="48"/>
        <v>116.42400000000002</v>
      </c>
      <c r="I184">
        <f t="shared" si="49"/>
        <v>323.40000000000003</v>
      </c>
      <c r="J184">
        <f t="shared" si="50"/>
        <v>215.6</v>
      </c>
      <c r="K184">
        <f t="shared" si="51"/>
        <v>77.616</v>
      </c>
      <c r="L184">
        <f t="shared" si="52"/>
        <v>8.1496800000000018</v>
      </c>
      <c r="M184">
        <f t="shared" si="53"/>
        <v>8.5377600000000022</v>
      </c>
      <c r="N184">
        <f t="shared" si="54"/>
        <v>4.8898080000000013</v>
      </c>
      <c r="O184">
        <f t="shared" si="65"/>
        <v>7.0310964705882375</v>
      </c>
      <c r="P184">
        <f t="shared" si="55"/>
        <v>4.4902807775377971</v>
      </c>
      <c r="Q184">
        <f t="shared" si="56"/>
        <v>46.2</v>
      </c>
      <c r="R184">
        <f t="shared" si="57"/>
        <v>462</v>
      </c>
      <c r="S184">
        <f t="shared" si="58"/>
        <v>178.64</v>
      </c>
      <c r="T184">
        <f t="shared" si="59"/>
        <v>36.96</v>
      </c>
      <c r="U184">
        <f>I184*E184/'[1]Inverter Analysis'!$L$2</f>
        <v>278.98725589448844</v>
      </c>
      <c r="V184">
        <f t="shared" si="60"/>
        <v>371.05751391465679</v>
      </c>
      <c r="W184">
        <f t="shared" si="61"/>
        <v>447.82803403493062</v>
      </c>
      <c r="X184">
        <f t="shared" si="62"/>
        <v>247.37167594310449</v>
      </c>
      <c r="Y184">
        <f t="shared" si="63"/>
        <v>1.6043995845407277</v>
      </c>
      <c r="Z184">
        <f t="shared" si="64"/>
        <v>0.9934557546374998</v>
      </c>
    </row>
    <row r="185" spans="1:26">
      <c r="A185">
        <v>13</v>
      </c>
      <c r="B185" s="9">
        <v>5</v>
      </c>
      <c r="C185" s="12">
        <v>7</v>
      </c>
      <c r="D185">
        <f t="shared" si="44"/>
        <v>500</v>
      </c>
      <c r="E185">
        <f t="shared" si="45"/>
        <v>300</v>
      </c>
      <c r="F185">
        <f t="shared" si="46"/>
        <v>31.395</v>
      </c>
      <c r="G185">
        <f t="shared" si="47"/>
        <v>0.14560000000000001</v>
      </c>
      <c r="H185">
        <f t="shared" si="48"/>
        <v>114.66</v>
      </c>
      <c r="I185">
        <f t="shared" si="49"/>
        <v>382.2</v>
      </c>
      <c r="J185">
        <f t="shared" si="50"/>
        <v>254.79999999999998</v>
      </c>
      <c r="K185">
        <f t="shared" si="51"/>
        <v>76.44</v>
      </c>
      <c r="L185">
        <f t="shared" si="52"/>
        <v>8.0261999999999993</v>
      </c>
      <c r="M185">
        <f t="shared" si="53"/>
        <v>8.4084000000000003</v>
      </c>
      <c r="N185">
        <f t="shared" si="54"/>
        <v>4.8157200000000007</v>
      </c>
      <c r="O185">
        <f t="shared" si="65"/>
        <v>6.9245647058823536</v>
      </c>
      <c r="P185">
        <f t="shared" si="55"/>
        <v>4.4222462203023758</v>
      </c>
      <c r="Q185">
        <f t="shared" si="56"/>
        <v>54.6</v>
      </c>
      <c r="R185">
        <f t="shared" si="57"/>
        <v>455</v>
      </c>
      <c r="S185">
        <f t="shared" si="58"/>
        <v>211.11999999999998</v>
      </c>
      <c r="T185">
        <f t="shared" si="59"/>
        <v>43.68</v>
      </c>
      <c r="U185">
        <f>I185*E185/'[1]Inverter Analysis'!$L$2</f>
        <v>274.76017625972344</v>
      </c>
      <c r="V185">
        <f t="shared" si="60"/>
        <v>313.97174254317116</v>
      </c>
      <c r="W185">
        <f t="shared" si="61"/>
        <v>378.93141341417208</v>
      </c>
      <c r="X185">
        <f t="shared" si="62"/>
        <v>209.31449502878075</v>
      </c>
      <c r="Y185">
        <f t="shared" si="63"/>
        <v>1.1487121285764976</v>
      </c>
      <c r="Z185">
        <f t="shared" si="64"/>
        <v>1.3665303612187496</v>
      </c>
    </row>
    <row r="186" spans="1:26">
      <c r="A186">
        <v>10</v>
      </c>
      <c r="B186" s="9">
        <v>5</v>
      </c>
      <c r="C186" s="12">
        <v>9</v>
      </c>
      <c r="D186">
        <f t="shared" si="44"/>
        <v>500</v>
      </c>
      <c r="E186">
        <f t="shared" si="45"/>
        <v>300</v>
      </c>
      <c r="F186">
        <f t="shared" si="46"/>
        <v>31.05</v>
      </c>
      <c r="G186">
        <f t="shared" si="47"/>
        <v>0.14400000000000002</v>
      </c>
      <c r="H186">
        <f t="shared" si="48"/>
        <v>113.4</v>
      </c>
      <c r="I186">
        <f t="shared" si="49"/>
        <v>378</v>
      </c>
      <c r="J186">
        <f t="shared" si="50"/>
        <v>251.99999999999997</v>
      </c>
      <c r="K186">
        <f t="shared" si="51"/>
        <v>75.59999999999998</v>
      </c>
      <c r="L186">
        <f t="shared" si="52"/>
        <v>7.9380000000000006</v>
      </c>
      <c r="M186">
        <f t="shared" si="53"/>
        <v>8.3160000000000007</v>
      </c>
      <c r="N186">
        <f t="shared" si="54"/>
        <v>4.7628000000000004</v>
      </c>
      <c r="O186">
        <f t="shared" si="65"/>
        <v>6.848470588235295</v>
      </c>
      <c r="P186">
        <f t="shared" si="55"/>
        <v>3.4017278617710582</v>
      </c>
      <c r="Q186">
        <f t="shared" si="56"/>
        <v>42</v>
      </c>
      <c r="R186">
        <f t="shared" si="57"/>
        <v>450</v>
      </c>
      <c r="S186">
        <f t="shared" si="58"/>
        <v>208.79999999999995</v>
      </c>
      <c r="T186">
        <f t="shared" si="59"/>
        <v>43.2</v>
      </c>
      <c r="U186">
        <f>I186*E186/'[1]Inverter Analysis'!$L$2</f>
        <v>271.74083366346275</v>
      </c>
      <c r="V186">
        <f t="shared" si="60"/>
        <v>317.46031746031747</v>
      </c>
      <c r="W186">
        <f t="shared" si="61"/>
        <v>383.14176245210734</v>
      </c>
      <c r="X186">
        <f t="shared" si="62"/>
        <v>211.64021164021165</v>
      </c>
      <c r="Y186">
        <f t="shared" si="63"/>
        <v>1.1743808810792566</v>
      </c>
      <c r="Z186">
        <f t="shared" si="64"/>
        <v>1.3219731562499992</v>
      </c>
    </row>
    <row r="187" spans="1:26">
      <c r="A187" s="8">
        <v>15</v>
      </c>
      <c r="B187" s="9">
        <v>5</v>
      </c>
      <c r="C187">
        <v>6</v>
      </c>
      <c r="D187">
        <f t="shared" si="44"/>
        <v>500</v>
      </c>
      <c r="E187">
        <f t="shared" si="45"/>
        <v>300</v>
      </c>
      <c r="F187">
        <f t="shared" si="46"/>
        <v>31.05</v>
      </c>
      <c r="G187">
        <f t="shared" si="47"/>
        <v>0.14400000000000002</v>
      </c>
      <c r="H187">
        <f t="shared" si="48"/>
        <v>113.4</v>
      </c>
      <c r="I187">
        <f t="shared" si="49"/>
        <v>378</v>
      </c>
      <c r="J187">
        <f t="shared" si="50"/>
        <v>251.99999999999997</v>
      </c>
      <c r="K187">
        <f t="shared" si="51"/>
        <v>75.59999999999998</v>
      </c>
      <c r="L187">
        <f t="shared" si="52"/>
        <v>7.9380000000000006</v>
      </c>
      <c r="M187">
        <f t="shared" si="53"/>
        <v>8.3160000000000007</v>
      </c>
      <c r="N187">
        <f t="shared" si="54"/>
        <v>4.7628000000000004</v>
      </c>
      <c r="O187">
        <f t="shared" si="65"/>
        <v>6.848470588235295</v>
      </c>
      <c r="P187">
        <f t="shared" si="55"/>
        <v>5.1025917926565869</v>
      </c>
      <c r="Q187">
        <f t="shared" si="56"/>
        <v>63</v>
      </c>
      <c r="R187">
        <f t="shared" si="57"/>
        <v>450</v>
      </c>
      <c r="S187">
        <f t="shared" si="58"/>
        <v>208.79999999999995</v>
      </c>
      <c r="T187">
        <f t="shared" si="59"/>
        <v>43.2</v>
      </c>
      <c r="U187">
        <f>I187*E187/'[1]Inverter Analysis'!$L$2</f>
        <v>271.74083366346275</v>
      </c>
      <c r="V187">
        <f t="shared" si="60"/>
        <v>317.46031746031747</v>
      </c>
      <c r="W187">
        <f t="shared" si="61"/>
        <v>383.14176245210734</v>
      </c>
      <c r="X187">
        <f t="shared" si="62"/>
        <v>211.64021164021165</v>
      </c>
      <c r="Y187">
        <f t="shared" si="63"/>
        <v>1.1743808810792566</v>
      </c>
      <c r="Z187">
        <f t="shared" si="64"/>
        <v>1.3219731562499992</v>
      </c>
    </row>
    <row r="188" spans="1:26" hidden="1">
      <c r="A188">
        <v>15</v>
      </c>
      <c r="B188">
        <v>3</v>
      </c>
      <c r="C188" s="12">
        <v>10</v>
      </c>
      <c r="D188">
        <f t="shared" si="44"/>
        <v>300</v>
      </c>
      <c r="E188">
        <f t="shared" si="45"/>
        <v>180</v>
      </c>
      <c r="F188">
        <f t="shared" si="46"/>
        <v>31.05</v>
      </c>
      <c r="G188">
        <f t="shared" si="47"/>
        <v>0.4</v>
      </c>
      <c r="H188">
        <f t="shared" si="48"/>
        <v>113.4</v>
      </c>
      <c r="I188">
        <f t="shared" si="49"/>
        <v>630</v>
      </c>
      <c r="J188">
        <f t="shared" si="50"/>
        <v>420</v>
      </c>
      <c r="K188">
        <f t="shared" si="51"/>
        <v>75.599999999999994</v>
      </c>
      <c r="L188">
        <f t="shared" si="52"/>
        <v>7.9379999999999997</v>
      </c>
      <c r="M188">
        <f t="shared" si="53"/>
        <v>8.3160000000000007</v>
      </c>
      <c r="N188">
        <f t="shared" si="54"/>
        <v>4.7627999999999995</v>
      </c>
      <c r="O188">
        <f t="shared" si="65"/>
        <v>6.848470588235295</v>
      </c>
      <c r="P188">
        <f t="shared" si="55"/>
        <v>3.0615550755939522</v>
      </c>
      <c r="Q188">
        <f t="shared" si="56"/>
        <v>63</v>
      </c>
      <c r="R188">
        <f t="shared" si="57"/>
        <v>450</v>
      </c>
      <c r="S188">
        <f t="shared" si="58"/>
        <v>348</v>
      </c>
      <c r="T188">
        <f t="shared" si="59"/>
        <v>72</v>
      </c>
      <c r="U188">
        <f>I188*E188/'[1]Inverter Analysis'!$L$2</f>
        <v>271.74083366346275</v>
      </c>
      <c r="V188">
        <f t="shared" si="60"/>
        <v>190.47619047619048</v>
      </c>
      <c r="W188">
        <f t="shared" si="61"/>
        <v>229.88505747126436</v>
      </c>
      <c r="X188">
        <f t="shared" si="62"/>
        <v>126.98412698412699</v>
      </c>
      <c r="Y188">
        <f t="shared" si="63"/>
        <v>0.42277711718853217</v>
      </c>
      <c r="Z188">
        <f t="shared" si="64"/>
        <v>3.6721476562499999</v>
      </c>
    </row>
    <row r="189" spans="1:26">
      <c r="A189">
        <v>11</v>
      </c>
      <c r="B189" s="9">
        <v>5</v>
      </c>
      <c r="C189" s="12">
        <v>8</v>
      </c>
      <c r="D189">
        <f t="shared" si="44"/>
        <v>500</v>
      </c>
      <c r="E189">
        <f t="shared" si="45"/>
        <v>300</v>
      </c>
      <c r="F189">
        <f t="shared" si="46"/>
        <v>30.36</v>
      </c>
      <c r="G189">
        <f t="shared" si="47"/>
        <v>0.14080000000000001</v>
      </c>
      <c r="H189">
        <f t="shared" si="48"/>
        <v>110.88</v>
      </c>
      <c r="I189">
        <f t="shared" si="49"/>
        <v>369.6</v>
      </c>
      <c r="J189">
        <f t="shared" si="50"/>
        <v>246.39999999999998</v>
      </c>
      <c r="K189">
        <f t="shared" si="51"/>
        <v>73.92</v>
      </c>
      <c r="L189">
        <f t="shared" si="52"/>
        <v>7.7616000000000005</v>
      </c>
      <c r="M189">
        <f t="shared" si="53"/>
        <v>8.1312000000000015</v>
      </c>
      <c r="N189">
        <f t="shared" si="54"/>
        <v>4.6569599999999998</v>
      </c>
      <c r="O189">
        <f t="shared" si="65"/>
        <v>6.6962823529411786</v>
      </c>
      <c r="P189">
        <f t="shared" si="55"/>
        <v>3.7419006479481638</v>
      </c>
      <c r="Q189">
        <f t="shared" si="56"/>
        <v>46.2</v>
      </c>
      <c r="R189">
        <f t="shared" si="57"/>
        <v>440</v>
      </c>
      <c r="S189">
        <f t="shared" si="58"/>
        <v>204.15999999999997</v>
      </c>
      <c r="T189">
        <f t="shared" si="59"/>
        <v>42.24</v>
      </c>
      <c r="U189">
        <f>I189*E189/'[1]Inverter Analysis'!$L$2</f>
        <v>265.70214847094138</v>
      </c>
      <c r="V189">
        <f t="shared" si="60"/>
        <v>324.6753246753247</v>
      </c>
      <c r="W189">
        <f t="shared" si="61"/>
        <v>391.8495297805643</v>
      </c>
      <c r="X189">
        <f t="shared" si="62"/>
        <v>216.45021645021643</v>
      </c>
      <c r="Y189">
        <f t="shared" si="63"/>
        <v>1.2283684319139947</v>
      </c>
      <c r="Z189">
        <f t="shared" si="64"/>
        <v>1.2357855839999998</v>
      </c>
    </row>
    <row r="190" spans="1:26" hidden="1">
      <c r="A190">
        <v>12</v>
      </c>
      <c r="B190" s="12">
        <v>6</v>
      </c>
      <c r="C190">
        <v>6</v>
      </c>
      <c r="D190">
        <f t="shared" si="44"/>
        <v>600</v>
      </c>
      <c r="E190">
        <f t="shared" si="45"/>
        <v>360</v>
      </c>
      <c r="F190">
        <f t="shared" si="46"/>
        <v>29.808</v>
      </c>
      <c r="G190">
        <f t="shared" si="47"/>
        <v>9.6000000000000002E-2</v>
      </c>
      <c r="H190">
        <f t="shared" si="48"/>
        <v>108.86400000000002</v>
      </c>
      <c r="I190">
        <f t="shared" si="49"/>
        <v>302.40000000000003</v>
      </c>
      <c r="J190">
        <f t="shared" si="50"/>
        <v>201.6</v>
      </c>
      <c r="K190">
        <f t="shared" si="51"/>
        <v>72.575999999999993</v>
      </c>
      <c r="L190">
        <f t="shared" si="52"/>
        <v>7.6204800000000015</v>
      </c>
      <c r="M190">
        <f t="shared" si="53"/>
        <v>7.9833600000000002</v>
      </c>
      <c r="N190">
        <f t="shared" si="54"/>
        <v>4.5722880000000004</v>
      </c>
      <c r="O190">
        <f t="shared" si="65"/>
        <v>6.574531764705883</v>
      </c>
      <c r="P190">
        <f t="shared" si="55"/>
        <v>4.8984881209503248</v>
      </c>
      <c r="Q190">
        <f t="shared" si="56"/>
        <v>50.400000000000006</v>
      </c>
      <c r="R190">
        <f t="shared" si="57"/>
        <v>432</v>
      </c>
      <c r="S190">
        <f t="shared" si="58"/>
        <v>167.04</v>
      </c>
      <c r="T190">
        <f t="shared" si="59"/>
        <v>34.56</v>
      </c>
      <c r="U190">
        <f>I190*E190/'[1]Inverter Analysis'!$L$2</f>
        <v>260.87120031692427</v>
      </c>
      <c r="V190">
        <f t="shared" si="60"/>
        <v>396.82539682539681</v>
      </c>
      <c r="W190">
        <f t="shared" si="61"/>
        <v>478.92720306513411</v>
      </c>
      <c r="X190">
        <f t="shared" si="62"/>
        <v>264.5502645502645</v>
      </c>
      <c r="Y190">
        <f t="shared" si="63"/>
        <v>1.8349701266863376</v>
      </c>
      <c r="Z190">
        <f t="shared" si="64"/>
        <v>0.81222030719999994</v>
      </c>
    </row>
    <row r="191" spans="1:26">
      <c r="A191">
        <v>12</v>
      </c>
      <c r="B191" s="9">
        <v>5</v>
      </c>
      <c r="C191" s="12">
        <v>7</v>
      </c>
      <c r="D191">
        <f t="shared" si="44"/>
        <v>500</v>
      </c>
      <c r="E191">
        <f t="shared" si="45"/>
        <v>300</v>
      </c>
      <c r="F191">
        <f t="shared" si="46"/>
        <v>28.98</v>
      </c>
      <c r="G191">
        <f t="shared" si="47"/>
        <v>0.13440000000000002</v>
      </c>
      <c r="H191">
        <f t="shared" si="48"/>
        <v>105.84</v>
      </c>
      <c r="I191">
        <f t="shared" si="49"/>
        <v>352.8</v>
      </c>
      <c r="J191">
        <f t="shared" si="50"/>
        <v>235.2</v>
      </c>
      <c r="K191">
        <f t="shared" si="51"/>
        <v>70.56</v>
      </c>
      <c r="L191">
        <f t="shared" si="52"/>
        <v>7.4088000000000012</v>
      </c>
      <c r="M191">
        <f t="shared" si="53"/>
        <v>7.7616000000000005</v>
      </c>
      <c r="N191">
        <f t="shared" si="54"/>
        <v>4.4452800000000003</v>
      </c>
      <c r="O191">
        <f t="shared" si="65"/>
        <v>6.3919058823529422</v>
      </c>
      <c r="P191">
        <f t="shared" si="55"/>
        <v>4.0820734341252694</v>
      </c>
      <c r="Q191">
        <f t="shared" si="56"/>
        <v>50.4</v>
      </c>
      <c r="R191">
        <f t="shared" si="57"/>
        <v>420</v>
      </c>
      <c r="S191">
        <f t="shared" si="58"/>
        <v>194.88</v>
      </c>
      <c r="T191">
        <f t="shared" si="59"/>
        <v>40.320000000000007</v>
      </c>
      <c r="U191">
        <f>I191*E191/'[1]Inverter Analysis'!$L$2</f>
        <v>253.62477808589858</v>
      </c>
      <c r="V191">
        <f t="shared" si="60"/>
        <v>340.13605442176873</v>
      </c>
      <c r="W191">
        <f t="shared" si="61"/>
        <v>410.50903119868639</v>
      </c>
      <c r="X191">
        <f t="shared" si="62"/>
        <v>226.75736961451247</v>
      </c>
      <c r="Y191">
        <f t="shared" si="63"/>
        <v>1.3481413175654724</v>
      </c>
      <c r="Z191">
        <f t="shared" si="64"/>
        <v>1.0748131380000001</v>
      </c>
    </row>
    <row r="192" spans="1:26">
      <c r="A192">
        <v>14</v>
      </c>
      <c r="B192" s="9">
        <v>5</v>
      </c>
      <c r="C192">
        <v>6</v>
      </c>
      <c r="D192">
        <f t="shared" si="44"/>
        <v>500</v>
      </c>
      <c r="E192">
        <f t="shared" si="45"/>
        <v>300</v>
      </c>
      <c r="F192">
        <f t="shared" si="46"/>
        <v>28.98</v>
      </c>
      <c r="G192">
        <f t="shared" si="47"/>
        <v>0.13439999999999999</v>
      </c>
      <c r="H192">
        <f t="shared" si="48"/>
        <v>105.84</v>
      </c>
      <c r="I192">
        <f t="shared" si="49"/>
        <v>352.8</v>
      </c>
      <c r="J192">
        <f t="shared" si="50"/>
        <v>235.2</v>
      </c>
      <c r="K192">
        <f t="shared" si="51"/>
        <v>70.56</v>
      </c>
      <c r="L192">
        <f t="shared" si="52"/>
        <v>7.4088000000000012</v>
      </c>
      <c r="M192">
        <f t="shared" si="53"/>
        <v>7.7616000000000005</v>
      </c>
      <c r="N192">
        <f t="shared" si="54"/>
        <v>4.4452800000000003</v>
      </c>
      <c r="O192">
        <f t="shared" si="65"/>
        <v>6.3919058823529422</v>
      </c>
      <c r="P192">
        <f t="shared" si="55"/>
        <v>4.7624190064794814</v>
      </c>
      <c r="Q192">
        <f t="shared" si="56"/>
        <v>58.800000000000004</v>
      </c>
      <c r="R192">
        <f t="shared" si="57"/>
        <v>420</v>
      </c>
      <c r="S192">
        <f t="shared" si="58"/>
        <v>194.88</v>
      </c>
      <c r="T192">
        <f t="shared" si="59"/>
        <v>40.32</v>
      </c>
      <c r="U192">
        <f>I192*E192/'[1]Inverter Analysis'!$L$2</f>
        <v>253.62477808589858</v>
      </c>
      <c r="V192">
        <f t="shared" si="60"/>
        <v>340.13605442176873</v>
      </c>
      <c r="W192">
        <f t="shared" si="61"/>
        <v>410.50903119868639</v>
      </c>
      <c r="X192">
        <f t="shared" si="62"/>
        <v>226.75736961451247</v>
      </c>
      <c r="Y192">
        <f t="shared" si="63"/>
        <v>1.3481413175654724</v>
      </c>
      <c r="Z192">
        <f t="shared" si="64"/>
        <v>1.0748131380000001</v>
      </c>
    </row>
    <row r="193" spans="1:26" hidden="1">
      <c r="A193">
        <v>10</v>
      </c>
      <c r="B193" s="12">
        <v>6</v>
      </c>
      <c r="C193" s="12">
        <v>7</v>
      </c>
      <c r="D193">
        <f t="shared" si="44"/>
        <v>600</v>
      </c>
      <c r="E193">
        <f t="shared" si="45"/>
        <v>360</v>
      </c>
      <c r="F193">
        <f t="shared" si="46"/>
        <v>28.98</v>
      </c>
      <c r="G193">
        <f t="shared" si="47"/>
        <v>9.3333333333333324E-2</v>
      </c>
      <c r="H193">
        <f t="shared" si="48"/>
        <v>105.84</v>
      </c>
      <c r="I193">
        <f t="shared" si="49"/>
        <v>294</v>
      </c>
      <c r="J193">
        <f t="shared" si="50"/>
        <v>196</v>
      </c>
      <c r="K193">
        <f t="shared" si="51"/>
        <v>70.56</v>
      </c>
      <c r="L193">
        <f t="shared" si="52"/>
        <v>7.4087999999999994</v>
      </c>
      <c r="M193">
        <f t="shared" si="53"/>
        <v>7.7616000000000005</v>
      </c>
      <c r="N193">
        <f t="shared" si="54"/>
        <v>4.4452799999999995</v>
      </c>
      <c r="O193">
        <f t="shared" si="65"/>
        <v>6.3919058823529422</v>
      </c>
      <c r="P193">
        <f t="shared" si="55"/>
        <v>4.0820734341252694</v>
      </c>
      <c r="Q193">
        <f t="shared" si="56"/>
        <v>42</v>
      </c>
      <c r="R193">
        <f t="shared" si="57"/>
        <v>420</v>
      </c>
      <c r="S193">
        <f t="shared" si="58"/>
        <v>162.4</v>
      </c>
      <c r="T193">
        <f t="shared" si="59"/>
        <v>33.599999999999994</v>
      </c>
      <c r="U193">
        <f>I193*E193/'[1]Inverter Analysis'!$L$2</f>
        <v>253.62477808589858</v>
      </c>
      <c r="V193">
        <f t="shared" si="60"/>
        <v>408.16326530612247</v>
      </c>
      <c r="W193">
        <f t="shared" si="61"/>
        <v>492.61083743842363</v>
      </c>
      <c r="X193">
        <f t="shared" si="62"/>
        <v>272.10884353741494</v>
      </c>
      <c r="Y193">
        <f t="shared" si="63"/>
        <v>1.9413234972942803</v>
      </c>
      <c r="Z193">
        <f t="shared" si="64"/>
        <v>0.74639801250000015</v>
      </c>
    </row>
    <row r="194" spans="1:26" hidden="1">
      <c r="A194">
        <v>10</v>
      </c>
      <c r="B194" s="9">
        <v>5</v>
      </c>
      <c r="C194" s="12">
        <v>8</v>
      </c>
      <c r="D194">
        <f t="shared" si="44"/>
        <v>500</v>
      </c>
      <c r="E194">
        <f t="shared" si="45"/>
        <v>300</v>
      </c>
      <c r="F194">
        <f t="shared" si="46"/>
        <v>27.6</v>
      </c>
      <c r="G194">
        <f t="shared" si="47"/>
        <v>0.128</v>
      </c>
      <c r="H194">
        <f t="shared" si="48"/>
        <v>100.8</v>
      </c>
      <c r="I194">
        <f t="shared" si="49"/>
        <v>336</v>
      </c>
      <c r="J194">
        <f t="shared" si="50"/>
        <v>224</v>
      </c>
      <c r="K194">
        <f t="shared" si="51"/>
        <v>67.2</v>
      </c>
      <c r="L194">
        <f t="shared" si="52"/>
        <v>7.056</v>
      </c>
      <c r="M194">
        <f t="shared" si="53"/>
        <v>7.3920000000000003</v>
      </c>
      <c r="N194">
        <f t="shared" si="54"/>
        <v>4.2336</v>
      </c>
      <c r="O194">
        <f t="shared" si="65"/>
        <v>6.0875294117647067</v>
      </c>
      <c r="P194">
        <f t="shared" si="55"/>
        <v>3.4017278617710582</v>
      </c>
      <c r="Q194">
        <f t="shared" si="56"/>
        <v>42</v>
      </c>
      <c r="R194">
        <f t="shared" si="57"/>
        <v>400</v>
      </c>
      <c r="S194">
        <f t="shared" si="58"/>
        <v>185.6</v>
      </c>
      <c r="T194">
        <f t="shared" si="59"/>
        <v>38.4</v>
      </c>
      <c r="U194">
        <f>I194*E194/'[1]Inverter Analysis'!$L$2</f>
        <v>241.54740770085579</v>
      </c>
      <c r="V194">
        <f t="shared" si="60"/>
        <v>357.14285714285717</v>
      </c>
      <c r="W194">
        <f t="shared" si="61"/>
        <v>431.0344827586207</v>
      </c>
      <c r="X194">
        <f t="shared" si="62"/>
        <v>238.0952380952381</v>
      </c>
      <c r="Y194">
        <f t="shared" si="63"/>
        <v>1.4863258026159334</v>
      </c>
      <c r="Z194">
        <f t="shared" si="64"/>
        <v>0.92846400000000007</v>
      </c>
    </row>
    <row r="195" spans="1:26" hidden="1">
      <c r="A195">
        <v>11</v>
      </c>
      <c r="B195" s="12">
        <v>6</v>
      </c>
      <c r="C195">
        <v>6</v>
      </c>
      <c r="D195">
        <f t="shared" si="44"/>
        <v>600</v>
      </c>
      <c r="E195">
        <f t="shared" si="45"/>
        <v>360</v>
      </c>
      <c r="F195">
        <f t="shared" si="46"/>
        <v>27.324000000000002</v>
      </c>
      <c r="G195">
        <f t="shared" si="47"/>
        <v>8.7999999999999995E-2</v>
      </c>
      <c r="H195">
        <f t="shared" si="48"/>
        <v>99.792000000000002</v>
      </c>
      <c r="I195">
        <f t="shared" si="49"/>
        <v>277.2</v>
      </c>
      <c r="J195">
        <f t="shared" si="50"/>
        <v>184.79999999999998</v>
      </c>
      <c r="K195">
        <f t="shared" si="51"/>
        <v>66.528000000000006</v>
      </c>
      <c r="L195">
        <f t="shared" si="52"/>
        <v>6.9854400000000005</v>
      </c>
      <c r="M195">
        <f t="shared" si="53"/>
        <v>7.3180800000000001</v>
      </c>
      <c r="N195">
        <f t="shared" si="54"/>
        <v>4.1912640000000003</v>
      </c>
      <c r="O195">
        <f t="shared" si="65"/>
        <v>6.0266541176470598</v>
      </c>
      <c r="P195">
        <f t="shared" si="55"/>
        <v>4.4902807775377971</v>
      </c>
      <c r="Q195">
        <f t="shared" si="56"/>
        <v>46.199999999999996</v>
      </c>
      <c r="R195">
        <f t="shared" si="57"/>
        <v>396</v>
      </c>
      <c r="S195">
        <f t="shared" si="58"/>
        <v>153.11999999999998</v>
      </c>
      <c r="T195">
        <f t="shared" si="59"/>
        <v>31.68</v>
      </c>
      <c r="U195">
        <f>I195*E195/'[1]Inverter Analysis'!$L$2</f>
        <v>239.13193362384723</v>
      </c>
      <c r="V195">
        <f t="shared" si="60"/>
        <v>432.90043290043292</v>
      </c>
      <c r="W195">
        <f t="shared" si="61"/>
        <v>522.4660397074191</v>
      </c>
      <c r="X195">
        <f t="shared" si="62"/>
        <v>288.60028860028859</v>
      </c>
      <c r="Y195">
        <f t="shared" si="63"/>
        <v>2.1837661011804359</v>
      </c>
      <c r="Z195">
        <f t="shared" si="64"/>
        <v>0.6256164518999997</v>
      </c>
    </row>
    <row r="196" spans="1:26" hidden="1">
      <c r="A196">
        <v>13</v>
      </c>
      <c r="B196" s="9">
        <v>5</v>
      </c>
      <c r="C196">
        <v>6</v>
      </c>
      <c r="D196">
        <f t="shared" si="44"/>
        <v>500</v>
      </c>
      <c r="E196">
        <f t="shared" si="45"/>
        <v>300</v>
      </c>
      <c r="F196">
        <f t="shared" si="46"/>
        <v>26.91</v>
      </c>
      <c r="G196">
        <f t="shared" si="47"/>
        <v>0.12480000000000002</v>
      </c>
      <c r="H196">
        <f t="shared" si="48"/>
        <v>98.28</v>
      </c>
      <c r="I196">
        <f t="shared" si="49"/>
        <v>327.60000000000002</v>
      </c>
      <c r="J196">
        <f t="shared" si="50"/>
        <v>218.39999999999998</v>
      </c>
      <c r="K196">
        <f t="shared" si="51"/>
        <v>65.52</v>
      </c>
      <c r="L196">
        <f t="shared" si="52"/>
        <v>6.8795999999999999</v>
      </c>
      <c r="M196">
        <f t="shared" si="53"/>
        <v>7.207200000000002</v>
      </c>
      <c r="N196">
        <f t="shared" si="54"/>
        <v>4.1277600000000003</v>
      </c>
      <c r="O196">
        <f t="shared" si="65"/>
        <v>5.9353411764705903</v>
      </c>
      <c r="P196">
        <f t="shared" si="55"/>
        <v>4.4222462203023758</v>
      </c>
      <c r="Q196">
        <f t="shared" si="56"/>
        <v>54.6</v>
      </c>
      <c r="R196">
        <f t="shared" si="57"/>
        <v>390</v>
      </c>
      <c r="S196">
        <f t="shared" si="58"/>
        <v>180.95999999999998</v>
      </c>
      <c r="T196">
        <f t="shared" si="59"/>
        <v>37.440000000000005</v>
      </c>
      <c r="U196">
        <f>I196*E196/'[1]Inverter Analysis'!$L$2</f>
        <v>235.50872250833439</v>
      </c>
      <c r="V196">
        <f t="shared" si="60"/>
        <v>366.30036630036636</v>
      </c>
      <c r="W196">
        <f t="shared" si="61"/>
        <v>442.08664898320075</v>
      </c>
      <c r="X196">
        <f t="shared" si="62"/>
        <v>244.20024420024419</v>
      </c>
      <c r="Y196">
        <f t="shared" si="63"/>
        <v>1.5635248416735661</v>
      </c>
      <c r="Z196">
        <f t="shared" si="64"/>
        <v>0.86055556274999989</v>
      </c>
    </row>
    <row r="197" spans="1:26" hidden="1">
      <c r="A197">
        <v>11</v>
      </c>
      <c r="B197" s="9">
        <v>5</v>
      </c>
      <c r="C197" s="12">
        <v>7</v>
      </c>
      <c r="D197">
        <f t="shared" si="44"/>
        <v>500</v>
      </c>
      <c r="E197">
        <f t="shared" si="45"/>
        <v>300</v>
      </c>
      <c r="F197">
        <f t="shared" si="46"/>
        <v>26.565000000000001</v>
      </c>
      <c r="G197">
        <f t="shared" si="47"/>
        <v>0.1232</v>
      </c>
      <c r="H197">
        <f t="shared" si="48"/>
        <v>97.02000000000001</v>
      </c>
      <c r="I197">
        <f t="shared" si="49"/>
        <v>323.40000000000003</v>
      </c>
      <c r="J197">
        <f t="shared" si="50"/>
        <v>215.6</v>
      </c>
      <c r="K197">
        <f t="shared" si="51"/>
        <v>64.680000000000007</v>
      </c>
      <c r="L197">
        <f t="shared" si="52"/>
        <v>6.7914000000000012</v>
      </c>
      <c r="M197">
        <f t="shared" si="53"/>
        <v>7.1148000000000007</v>
      </c>
      <c r="N197">
        <f t="shared" si="54"/>
        <v>4.07484</v>
      </c>
      <c r="O197">
        <f t="shared" si="65"/>
        <v>5.8592470588235308</v>
      </c>
      <c r="P197">
        <f t="shared" si="55"/>
        <v>3.7419006479481642</v>
      </c>
      <c r="Q197">
        <f t="shared" si="56"/>
        <v>46.2</v>
      </c>
      <c r="R197">
        <f t="shared" si="57"/>
        <v>385</v>
      </c>
      <c r="S197">
        <f t="shared" si="58"/>
        <v>178.64</v>
      </c>
      <c r="T197">
        <f t="shared" si="59"/>
        <v>36.96</v>
      </c>
      <c r="U197">
        <f>I197*E197/'[1]Inverter Analysis'!$L$2</f>
        <v>232.48937991207373</v>
      </c>
      <c r="V197">
        <f t="shared" si="60"/>
        <v>371.05751391465679</v>
      </c>
      <c r="W197">
        <f t="shared" si="61"/>
        <v>447.82803403493062</v>
      </c>
      <c r="X197">
        <f t="shared" si="62"/>
        <v>247.37167594310449</v>
      </c>
      <c r="Y197">
        <f t="shared" si="63"/>
        <v>1.6043995845407277</v>
      </c>
      <c r="Z197">
        <f t="shared" si="64"/>
        <v>0.82787979553125002</v>
      </c>
    </row>
    <row r="198" spans="1:26" hidden="1">
      <c r="A198">
        <v>16</v>
      </c>
      <c r="B198">
        <v>2</v>
      </c>
      <c r="C198">
        <v>12</v>
      </c>
      <c r="D198">
        <f t="shared" ref="D198:D250" si="66">B198*$J$3</f>
        <v>200</v>
      </c>
      <c r="E198">
        <f t="shared" ref="E198:E250" si="67">B198*$I$3</f>
        <v>120</v>
      </c>
      <c r="F198">
        <f t="shared" ref="F198:F250" si="68">A198*B198*C198*$Q$3/1000</f>
        <v>26.495999999999999</v>
      </c>
      <c r="G198">
        <f t="shared" ref="G198:G250" si="69">((B198*$R$3^(-1))^(-1))*A198*C198</f>
        <v>0.76800000000000002</v>
      </c>
      <c r="H198">
        <f t="shared" ref="H198:H250" si="70">E198*I198/1000</f>
        <v>96.768000000000015</v>
      </c>
      <c r="I198">
        <f t="shared" ref="I198:I250" si="71">A198*C198*4.2</f>
        <v>806.40000000000009</v>
      </c>
      <c r="J198">
        <f t="shared" ref="J198:J250" si="72">C198*A198*$K$3</f>
        <v>537.59999999999991</v>
      </c>
      <c r="K198">
        <f t="shared" ref="K198:K250" si="73">E198*J198/1000</f>
        <v>64.511999999999986</v>
      </c>
      <c r="L198">
        <f t="shared" ref="L198:L250" si="74">$N$3/1000*I198*B198/1000</f>
        <v>6.7737600000000011</v>
      </c>
      <c r="M198">
        <f t="shared" ref="M198:M250" si="75">$O$3/1000*I198*B198/1000</f>
        <v>7.0963200000000013</v>
      </c>
      <c r="N198">
        <f t="shared" ref="N198:N250" si="76">$P$3/1000*I198*B198/1000</f>
        <v>4.0642560000000003</v>
      </c>
      <c r="O198">
        <f t="shared" si="65"/>
        <v>5.8440282352941191</v>
      </c>
      <c r="P198">
        <f t="shared" ref="P198:P250" si="77">$H$3/1000*B198*I198/277.8/C198</f>
        <v>2.1771058315334773</v>
      </c>
      <c r="Q198">
        <f t="shared" ref="Q198:Q250" si="78">I198/C198</f>
        <v>67.2</v>
      </c>
      <c r="R198">
        <f t="shared" ref="R198:R250" si="79">(A198*B198*C198)</f>
        <v>384</v>
      </c>
      <c r="S198">
        <f t="shared" ref="S198:S250" si="80">J198-(G198*E198)</f>
        <v>445.43999999999994</v>
      </c>
      <c r="T198">
        <f t="shared" ref="T198:T250" si="81">G198*E198</f>
        <v>92.16</v>
      </c>
      <c r="U198">
        <f>I198*E198/'[1]Inverter Analysis'!$L$2</f>
        <v>231.8855113928216</v>
      </c>
      <c r="V198">
        <f t="shared" ref="V198:V250" si="82">80000/J198</f>
        <v>148.80952380952382</v>
      </c>
      <c r="W198">
        <f t="shared" ref="W198:W250" si="83">80000/S198</f>
        <v>179.59770114942532</v>
      </c>
      <c r="X198">
        <f t="shared" ref="X198:X250" si="84">80000/I198</f>
        <v>99.206349206349202</v>
      </c>
      <c r="Y198">
        <f t="shared" ref="Y198:Y250" si="85">(MAX(V198:X198)^2)*$R$3/1000</f>
        <v>0.25804267406526626</v>
      </c>
      <c r="Z198">
        <f t="shared" ref="Z198:Z250" si="86">($S$3*F198/(Y198*1000))*10</f>
        <v>5.1340345343999978</v>
      </c>
    </row>
    <row r="199" spans="1:26">
      <c r="A199">
        <v>13</v>
      </c>
      <c r="B199">
        <v>4</v>
      </c>
      <c r="C199" s="12">
        <v>7</v>
      </c>
      <c r="D199">
        <f t="shared" si="66"/>
        <v>400</v>
      </c>
      <c r="E199">
        <f t="shared" si="67"/>
        <v>240</v>
      </c>
      <c r="F199">
        <f t="shared" si="68"/>
        <v>25.116</v>
      </c>
      <c r="G199">
        <f t="shared" si="69"/>
        <v>0.18200000000000002</v>
      </c>
      <c r="H199">
        <f t="shared" si="70"/>
        <v>91.727999999999994</v>
      </c>
      <c r="I199">
        <f t="shared" si="71"/>
        <v>382.2</v>
      </c>
      <c r="J199">
        <f t="shared" si="72"/>
        <v>254.79999999999998</v>
      </c>
      <c r="K199">
        <f t="shared" si="73"/>
        <v>61.151999999999994</v>
      </c>
      <c r="L199">
        <f t="shared" si="74"/>
        <v>6.42096</v>
      </c>
      <c r="M199">
        <f t="shared" si="75"/>
        <v>6.7267200000000003</v>
      </c>
      <c r="N199">
        <f t="shared" si="76"/>
        <v>3.852576</v>
      </c>
      <c r="O199">
        <f t="shared" ref="O199:O250" si="87">M199*(($L$3-$K$3)/($L$3-$M$3))</f>
        <v>5.5396517647058827</v>
      </c>
      <c r="P199">
        <f t="shared" si="77"/>
        <v>3.5377969762419004</v>
      </c>
      <c r="Q199">
        <f t="shared" si="78"/>
        <v>54.6</v>
      </c>
      <c r="R199">
        <f t="shared" si="79"/>
        <v>364</v>
      </c>
      <c r="S199">
        <f t="shared" si="80"/>
        <v>211.11999999999998</v>
      </c>
      <c r="T199">
        <f t="shared" si="81"/>
        <v>43.680000000000007</v>
      </c>
      <c r="U199">
        <f>I199*E199/'[1]Inverter Analysis'!$L$2</f>
        <v>219.80814100777877</v>
      </c>
      <c r="V199">
        <f t="shared" si="82"/>
        <v>313.97174254317116</v>
      </c>
      <c r="W199">
        <f t="shared" si="83"/>
        <v>378.93141341417208</v>
      </c>
      <c r="X199">
        <f t="shared" si="84"/>
        <v>209.31449502878075</v>
      </c>
      <c r="Y199">
        <f t="shared" si="85"/>
        <v>1.1487121285764976</v>
      </c>
      <c r="Z199">
        <f t="shared" si="86"/>
        <v>1.0932242889749997</v>
      </c>
    </row>
    <row r="200" spans="1:26" hidden="1">
      <c r="A200">
        <v>15</v>
      </c>
      <c r="B200">
        <v>2</v>
      </c>
      <c r="C200">
        <v>12</v>
      </c>
      <c r="D200">
        <f t="shared" si="66"/>
        <v>200</v>
      </c>
      <c r="E200">
        <f t="shared" si="67"/>
        <v>120</v>
      </c>
      <c r="F200">
        <f t="shared" si="68"/>
        <v>24.84</v>
      </c>
      <c r="G200">
        <f t="shared" si="69"/>
        <v>0.72</v>
      </c>
      <c r="H200">
        <f t="shared" si="70"/>
        <v>90.72</v>
      </c>
      <c r="I200">
        <f t="shared" si="71"/>
        <v>756</v>
      </c>
      <c r="J200">
        <f t="shared" si="72"/>
        <v>503.99999999999994</v>
      </c>
      <c r="K200">
        <f t="shared" si="73"/>
        <v>60.47999999999999</v>
      </c>
      <c r="L200">
        <f t="shared" si="74"/>
        <v>6.3504000000000005</v>
      </c>
      <c r="M200">
        <f t="shared" si="75"/>
        <v>6.6528</v>
      </c>
      <c r="N200">
        <f t="shared" si="76"/>
        <v>3.8102400000000003</v>
      </c>
      <c r="O200">
        <f t="shared" si="87"/>
        <v>5.4787764705882358</v>
      </c>
      <c r="P200">
        <f t="shared" si="77"/>
        <v>2.0410367170626347</v>
      </c>
      <c r="Q200">
        <f t="shared" si="78"/>
        <v>63</v>
      </c>
      <c r="R200">
        <f t="shared" si="79"/>
        <v>360</v>
      </c>
      <c r="S200">
        <f t="shared" si="80"/>
        <v>417.59999999999997</v>
      </c>
      <c r="T200">
        <f t="shared" si="81"/>
        <v>86.399999999999991</v>
      </c>
      <c r="U200">
        <f>I200*E200/'[1]Inverter Analysis'!$L$2</f>
        <v>217.39266693077019</v>
      </c>
      <c r="V200">
        <f t="shared" si="82"/>
        <v>158.73015873015873</v>
      </c>
      <c r="W200">
        <f t="shared" si="83"/>
        <v>191.57088122605364</v>
      </c>
      <c r="X200">
        <f t="shared" si="84"/>
        <v>105.82010582010582</v>
      </c>
      <c r="Y200">
        <f t="shared" si="85"/>
        <v>0.29359522026981405</v>
      </c>
      <c r="Z200">
        <f t="shared" si="86"/>
        <v>4.2303141000000002</v>
      </c>
    </row>
    <row r="201" spans="1:26">
      <c r="A201">
        <v>10</v>
      </c>
      <c r="B201">
        <v>4</v>
      </c>
      <c r="C201" s="12">
        <v>9</v>
      </c>
      <c r="D201">
        <f t="shared" si="66"/>
        <v>400</v>
      </c>
      <c r="E201">
        <f t="shared" si="67"/>
        <v>240</v>
      </c>
      <c r="F201">
        <f t="shared" si="68"/>
        <v>24.84</v>
      </c>
      <c r="G201">
        <f t="shared" si="69"/>
        <v>0.18</v>
      </c>
      <c r="H201">
        <f t="shared" si="70"/>
        <v>90.72</v>
      </c>
      <c r="I201">
        <f t="shared" si="71"/>
        <v>378</v>
      </c>
      <c r="J201">
        <f t="shared" si="72"/>
        <v>251.99999999999997</v>
      </c>
      <c r="K201">
        <f t="shared" si="73"/>
        <v>60.47999999999999</v>
      </c>
      <c r="L201">
        <f t="shared" si="74"/>
        <v>6.3504000000000005</v>
      </c>
      <c r="M201">
        <f t="shared" si="75"/>
        <v>6.6528</v>
      </c>
      <c r="N201">
        <f t="shared" si="76"/>
        <v>3.8102400000000003</v>
      </c>
      <c r="O201">
        <f t="shared" si="87"/>
        <v>5.4787764705882358</v>
      </c>
      <c r="P201">
        <f t="shared" si="77"/>
        <v>2.7213822894168462</v>
      </c>
      <c r="Q201">
        <f t="shared" si="78"/>
        <v>42</v>
      </c>
      <c r="R201">
        <f t="shared" si="79"/>
        <v>360</v>
      </c>
      <c r="S201">
        <f t="shared" si="80"/>
        <v>208.79999999999998</v>
      </c>
      <c r="T201">
        <f t="shared" si="81"/>
        <v>43.199999999999996</v>
      </c>
      <c r="U201">
        <f>I201*E201/'[1]Inverter Analysis'!$L$2</f>
        <v>217.39266693077019</v>
      </c>
      <c r="V201">
        <f t="shared" si="82"/>
        <v>317.46031746031747</v>
      </c>
      <c r="W201">
        <f t="shared" si="83"/>
        <v>383.14176245210729</v>
      </c>
      <c r="X201">
        <f t="shared" si="84"/>
        <v>211.64021164021165</v>
      </c>
      <c r="Y201">
        <f t="shared" si="85"/>
        <v>1.1743808810792562</v>
      </c>
      <c r="Z201">
        <f t="shared" si="86"/>
        <v>1.057578525</v>
      </c>
    </row>
    <row r="202" spans="1:26" hidden="1">
      <c r="A202">
        <v>10</v>
      </c>
      <c r="B202" s="12">
        <v>6</v>
      </c>
      <c r="C202">
        <v>6</v>
      </c>
      <c r="D202">
        <f t="shared" si="66"/>
        <v>600</v>
      </c>
      <c r="E202">
        <f t="shared" si="67"/>
        <v>360</v>
      </c>
      <c r="F202">
        <f t="shared" si="68"/>
        <v>24.84</v>
      </c>
      <c r="G202">
        <f t="shared" si="69"/>
        <v>7.9999999999999988E-2</v>
      </c>
      <c r="H202">
        <f t="shared" si="70"/>
        <v>90.72</v>
      </c>
      <c r="I202">
        <f t="shared" si="71"/>
        <v>252</v>
      </c>
      <c r="J202">
        <f t="shared" si="72"/>
        <v>168</v>
      </c>
      <c r="K202">
        <f t="shared" si="73"/>
        <v>60.48</v>
      </c>
      <c r="L202">
        <f t="shared" si="74"/>
        <v>6.3504000000000005</v>
      </c>
      <c r="M202">
        <f t="shared" si="75"/>
        <v>6.6528000000000009</v>
      </c>
      <c r="N202">
        <f t="shared" si="76"/>
        <v>3.8102399999999998</v>
      </c>
      <c r="O202">
        <f t="shared" si="87"/>
        <v>5.4787764705882367</v>
      </c>
      <c r="P202">
        <f t="shared" si="77"/>
        <v>4.0820734341252694</v>
      </c>
      <c r="Q202">
        <f t="shared" si="78"/>
        <v>42</v>
      </c>
      <c r="R202">
        <f t="shared" si="79"/>
        <v>360</v>
      </c>
      <c r="S202">
        <f t="shared" si="80"/>
        <v>139.19999999999999</v>
      </c>
      <c r="T202">
        <f t="shared" si="81"/>
        <v>28.799999999999997</v>
      </c>
      <c r="U202">
        <f>I202*E202/'[1]Inverter Analysis'!$L$2</f>
        <v>217.39266693077019</v>
      </c>
      <c r="V202">
        <f t="shared" si="82"/>
        <v>476.1904761904762</v>
      </c>
      <c r="W202">
        <f t="shared" si="83"/>
        <v>574.71264367816093</v>
      </c>
      <c r="X202">
        <f t="shared" si="84"/>
        <v>317.46031746031747</v>
      </c>
      <c r="Y202">
        <f t="shared" si="85"/>
        <v>2.6423569824283262</v>
      </c>
      <c r="Z202">
        <f t="shared" si="86"/>
        <v>0.47003489999999992</v>
      </c>
    </row>
    <row r="203" spans="1:26" hidden="1">
      <c r="A203">
        <v>12</v>
      </c>
      <c r="B203" s="9">
        <v>5</v>
      </c>
      <c r="C203">
        <v>6</v>
      </c>
      <c r="D203">
        <f t="shared" si="66"/>
        <v>500</v>
      </c>
      <c r="E203">
        <f t="shared" si="67"/>
        <v>300</v>
      </c>
      <c r="F203">
        <f t="shared" si="68"/>
        <v>24.84</v>
      </c>
      <c r="G203">
        <f t="shared" si="69"/>
        <v>0.11520000000000001</v>
      </c>
      <c r="H203">
        <f t="shared" si="70"/>
        <v>90.720000000000013</v>
      </c>
      <c r="I203">
        <f t="shared" si="71"/>
        <v>302.40000000000003</v>
      </c>
      <c r="J203">
        <f t="shared" si="72"/>
        <v>201.6</v>
      </c>
      <c r="K203">
        <f t="shared" si="73"/>
        <v>60.48</v>
      </c>
      <c r="L203">
        <f t="shared" si="74"/>
        <v>6.3504000000000005</v>
      </c>
      <c r="M203">
        <f t="shared" si="75"/>
        <v>6.6528000000000009</v>
      </c>
      <c r="N203">
        <f t="shared" si="76"/>
        <v>3.8102400000000007</v>
      </c>
      <c r="O203">
        <f t="shared" si="87"/>
        <v>5.4787764705882367</v>
      </c>
      <c r="P203">
        <f t="shared" si="77"/>
        <v>4.0820734341252702</v>
      </c>
      <c r="Q203">
        <f t="shared" si="78"/>
        <v>50.400000000000006</v>
      </c>
      <c r="R203">
        <f t="shared" si="79"/>
        <v>360</v>
      </c>
      <c r="S203">
        <f t="shared" si="80"/>
        <v>167.04</v>
      </c>
      <c r="T203">
        <f t="shared" si="81"/>
        <v>34.56</v>
      </c>
      <c r="U203">
        <f>I203*E203/'[1]Inverter Analysis'!$L$2</f>
        <v>217.39266693077025</v>
      </c>
      <c r="V203">
        <f t="shared" si="82"/>
        <v>396.82539682539681</v>
      </c>
      <c r="W203">
        <f t="shared" si="83"/>
        <v>478.92720306513411</v>
      </c>
      <c r="X203">
        <f t="shared" si="84"/>
        <v>264.5502645502645</v>
      </c>
      <c r="Y203">
        <f t="shared" si="85"/>
        <v>1.8349701266863376</v>
      </c>
      <c r="Z203">
        <f t="shared" si="86"/>
        <v>0.67685025600000004</v>
      </c>
    </row>
    <row r="204" spans="1:26" s="15" customFormat="1">
      <c r="A204" s="15">
        <v>15</v>
      </c>
      <c r="B204" s="15">
        <v>4</v>
      </c>
      <c r="C204" s="15">
        <v>6</v>
      </c>
      <c r="D204" s="15">
        <f t="shared" si="66"/>
        <v>400</v>
      </c>
      <c r="E204" s="15">
        <f t="shared" si="67"/>
        <v>240</v>
      </c>
      <c r="F204" s="15">
        <f t="shared" si="68"/>
        <v>24.84</v>
      </c>
      <c r="G204" s="15">
        <f t="shared" si="69"/>
        <v>0.18</v>
      </c>
      <c r="H204" s="15">
        <f t="shared" si="70"/>
        <v>90.72</v>
      </c>
      <c r="I204" s="15">
        <f t="shared" si="71"/>
        <v>378</v>
      </c>
      <c r="J204" s="15">
        <f t="shared" si="72"/>
        <v>251.99999999999997</v>
      </c>
      <c r="K204" s="15">
        <f t="shared" si="73"/>
        <v>60.47999999999999</v>
      </c>
      <c r="L204" s="15">
        <f t="shared" si="74"/>
        <v>6.3504000000000005</v>
      </c>
      <c r="M204" s="15">
        <f t="shared" si="75"/>
        <v>6.6528</v>
      </c>
      <c r="N204" s="15">
        <f t="shared" si="76"/>
        <v>3.8102400000000003</v>
      </c>
      <c r="O204" s="15">
        <f t="shared" si="87"/>
        <v>5.4787764705882358</v>
      </c>
      <c r="P204" s="15">
        <f t="shared" si="77"/>
        <v>4.0820734341252694</v>
      </c>
      <c r="Q204" s="15">
        <f t="shared" si="78"/>
        <v>63</v>
      </c>
      <c r="R204" s="15">
        <f t="shared" si="79"/>
        <v>360</v>
      </c>
      <c r="S204" s="15">
        <f t="shared" si="80"/>
        <v>208.79999999999998</v>
      </c>
      <c r="T204" s="15">
        <f t="shared" si="81"/>
        <v>43.199999999999996</v>
      </c>
      <c r="U204" s="15">
        <f>I204*E204/'[1]Inverter Analysis'!$L$2</f>
        <v>217.39266693077019</v>
      </c>
      <c r="V204" s="15">
        <f t="shared" si="82"/>
        <v>317.46031746031747</v>
      </c>
      <c r="W204" s="15">
        <f t="shared" si="83"/>
        <v>383.14176245210729</v>
      </c>
      <c r="X204" s="15">
        <f t="shared" si="84"/>
        <v>211.64021164021165</v>
      </c>
      <c r="Y204" s="15">
        <f t="shared" si="85"/>
        <v>1.1743808810792562</v>
      </c>
      <c r="Z204" s="15">
        <f t="shared" si="86"/>
        <v>1.057578525</v>
      </c>
    </row>
    <row r="205" spans="1:26" hidden="1">
      <c r="A205">
        <v>16</v>
      </c>
      <c r="B205">
        <v>2</v>
      </c>
      <c r="C205" s="12">
        <v>11</v>
      </c>
      <c r="D205">
        <f t="shared" si="66"/>
        <v>200</v>
      </c>
      <c r="E205">
        <f t="shared" si="67"/>
        <v>120</v>
      </c>
      <c r="F205">
        <f t="shared" si="68"/>
        <v>24.288</v>
      </c>
      <c r="G205">
        <f t="shared" si="69"/>
        <v>0.70399999999999996</v>
      </c>
      <c r="H205">
        <f t="shared" si="70"/>
        <v>88.703999999999994</v>
      </c>
      <c r="I205">
        <f t="shared" si="71"/>
        <v>739.2</v>
      </c>
      <c r="J205">
        <f t="shared" si="72"/>
        <v>492.79999999999995</v>
      </c>
      <c r="K205">
        <f t="shared" si="73"/>
        <v>59.135999999999996</v>
      </c>
      <c r="L205">
        <f t="shared" si="74"/>
        <v>6.2092800000000006</v>
      </c>
      <c r="M205">
        <f t="shared" si="75"/>
        <v>6.5049600000000005</v>
      </c>
      <c r="N205">
        <f t="shared" si="76"/>
        <v>3.725568</v>
      </c>
      <c r="O205">
        <f t="shared" si="87"/>
        <v>5.357025882352942</v>
      </c>
      <c r="P205">
        <f t="shared" si="77"/>
        <v>2.1771058315334773</v>
      </c>
      <c r="Q205">
        <f t="shared" si="78"/>
        <v>67.2</v>
      </c>
      <c r="R205">
        <f t="shared" si="79"/>
        <v>352</v>
      </c>
      <c r="S205">
        <f t="shared" si="80"/>
        <v>408.31999999999994</v>
      </c>
      <c r="T205">
        <f t="shared" si="81"/>
        <v>84.47999999999999</v>
      </c>
      <c r="U205">
        <f>I205*E205/'[1]Inverter Analysis'!$L$2</f>
        <v>212.56171877675308</v>
      </c>
      <c r="V205">
        <f t="shared" si="82"/>
        <v>162.33766233766235</v>
      </c>
      <c r="W205">
        <f t="shared" si="83"/>
        <v>195.92476489028215</v>
      </c>
      <c r="X205">
        <f t="shared" si="84"/>
        <v>108.22510822510822</v>
      </c>
      <c r="Y205">
        <f t="shared" si="85"/>
        <v>0.30709210797849867</v>
      </c>
      <c r="Z205">
        <f t="shared" si="86"/>
        <v>3.9545138687999994</v>
      </c>
    </row>
    <row r="206" spans="1:26" s="15" customFormat="1">
      <c r="A206" s="15">
        <v>22</v>
      </c>
      <c r="B206" s="15">
        <v>4</v>
      </c>
      <c r="C206" s="16">
        <v>4</v>
      </c>
      <c r="D206" s="15">
        <f t="shared" si="66"/>
        <v>400</v>
      </c>
      <c r="E206" s="15">
        <f t="shared" si="67"/>
        <v>240</v>
      </c>
      <c r="F206" s="15">
        <f t="shared" si="68"/>
        <v>24.288</v>
      </c>
      <c r="G206" s="15">
        <f t="shared" si="69"/>
        <v>0.17599999999999999</v>
      </c>
      <c r="H206" s="15">
        <f t="shared" si="70"/>
        <v>88.703999999999994</v>
      </c>
      <c r="I206" s="15">
        <f>A206*C206*4.2</f>
        <v>369.6</v>
      </c>
      <c r="J206" s="15">
        <f>C206*A206*$K$3</f>
        <v>246.39999999999998</v>
      </c>
      <c r="K206" s="15">
        <f t="shared" si="73"/>
        <v>59.135999999999996</v>
      </c>
      <c r="L206" s="15">
        <f>$N$3/1000*I206*B206/1000</f>
        <v>6.2092800000000006</v>
      </c>
      <c r="M206" s="15">
        <f>$O$3/1000*I206*B206/1000</f>
        <v>6.5049600000000005</v>
      </c>
      <c r="N206" s="15">
        <f t="shared" si="76"/>
        <v>3.725568</v>
      </c>
      <c r="O206" s="15">
        <f>M206*(($L$3-$K$3)/($L$3-$M$3))</f>
        <v>5.357025882352942</v>
      </c>
      <c r="P206" s="15">
        <f t="shared" si="77"/>
        <v>5.9870410367170628</v>
      </c>
      <c r="Q206" s="15">
        <f t="shared" si="78"/>
        <v>92.4</v>
      </c>
      <c r="R206" s="15">
        <f t="shared" si="79"/>
        <v>352</v>
      </c>
      <c r="S206" s="15">
        <f t="shared" si="80"/>
        <v>204.15999999999997</v>
      </c>
      <c r="T206" s="15">
        <f t="shared" si="81"/>
        <v>42.239999999999995</v>
      </c>
      <c r="U206" s="15">
        <f>I206*E206/'[1]Inverter Analysis'!$L$2</f>
        <v>212.56171877675308</v>
      </c>
      <c r="V206" s="15">
        <f t="shared" si="82"/>
        <v>324.6753246753247</v>
      </c>
      <c r="W206" s="15">
        <f t="shared" si="83"/>
        <v>391.8495297805643</v>
      </c>
      <c r="X206" s="15">
        <f t="shared" si="84"/>
        <v>216.45021645021643</v>
      </c>
      <c r="Y206" s="15">
        <f t="shared" si="85"/>
        <v>1.2283684319139947</v>
      </c>
      <c r="Z206" s="15">
        <f t="shared" si="86"/>
        <v>0.98862846719999986</v>
      </c>
    </row>
    <row r="207" spans="1:26" hidden="1">
      <c r="A207">
        <v>10</v>
      </c>
      <c r="B207" s="9">
        <v>5</v>
      </c>
      <c r="C207" s="12">
        <v>7</v>
      </c>
      <c r="D207">
        <f t="shared" si="66"/>
        <v>500</v>
      </c>
      <c r="E207">
        <f t="shared" si="67"/>
        <v>300</v>
      </c>
      <c r="F207">
        <f t="shared" si="68"/>
        <v>24.15</v>
      </c>
      <c r="G207">
        <f t="shared" si="69"/>
        <v>0.112</v>
      </c>
      <c r="H207">
        <f t="shared" si="70"/>
        <v>88.2</v>
      </c>
      <c r="I207">
        <f t="shared" si="71"/>
        <v>294</v>
      </c>
      <c r="J207">
        <f t="shared" si="72"/>
        <v>196</v>
      </c>
      <c r="K207">
        <f t="shared" si="73"/>
        <v>58.8</v>
      </c>
      <c r="L207">
        <f t="shared" si="74"/>
        <v>6.1740000000000004</v>
      </c>
      <c r="M207">
        <f t="shared" si="75"/>
        <v>6.4680000000000009</v>
      </c>
      <c r="N207">
        <f t="shared" si="76"/>
        <v>3.7044000000000001</v>
      </c>
      <c r="O207">
        <f t="shared" si="87"/>
        <v>5.3265882352941185</v>
      </c>
      <c r="P207">
        <f t="shared" si="77"/>
        <v>3.4017278617710582</v>
      </c>
      <c r="Q207">
        <f t="shared" si="78"/>
        <v>42</v>
      </c>
      <c r="R207">
        <f t="shared" si="79"/>
        <v>350</v>
      </c>
      <c r="S207">
        <f t="shared" si="80"/>
        <v>162.4</v>
      </c>
      <c r="T207">
        <f t="shared" si="81"/>
        <v>33.6</v>
      </c>
      <c r="U207">
        <f>I207*E207/'[1]Inverter Analysis'!$L$2</f>
        <v>211.35398173824882</v>
      </c>
      <c r="V207">
        <f t="shared" si="82"/>
        <v>408.16326530612247</v>
      </c>
      <c r="W207">
        <f t="shared" si="83"/>
        <v>492.61083743842363</v>
      </c>
      <c r="X207">
        <f t="shared" si="84"/>
        <v>272.10884353741494</v>
      </c>
      <c r="Y207">
        <f t="shared" si="85"/>
        <v>1.9413234972942803</v>
      </c>
      <c r="Z207">
        <f t="shared" si="86"/>
        <v>0.62199834375000007</v>
      </c>
    </row>
    <row r="208" spans="1:26" hidden="1">
      <c r="A208">
        <v>14</v>
      </c>
      <c r="B208">
        <v>2</v>
      </c>
      <c r="C208">
        <v>12</v>
      </c>
      <c r="D208">
        <f t="shared" si="66"/>
        <v>200</v>
      </c>
      <c r="E208">
        <f t="shared" si="67"/>
        <v>120</v>
      </c>
      <c r="F208">
        <f t="shared" si="68"/>
        <v>23.184000000000001</v>
      </c>
      <c r="G208">
        <f t="shared" si="69"/>
        <v>0.67200000000000004</v>
      </c>
      <c r="H208">
        <f t="shared" si="70"/>
        <v>84.671999999999997</v>
      </c>
      <c r="I208">
        <f t="shared" si="71"/>
        <v>705.6</v>
      </c>
      <c r="J208">
        <f t="shared" si="72"/>
        <v>470.4</v>
      </c>
      <c r="K208">
        <f t="shared" si="73"/>
        <v>56.448</v>
      </c>
      <c r="L208">
        <f t="shared" si="74"/>
        <v>5.9270400000000008</v>
      </c>
      <c r="M208">
        <f t="shared" si="75"/>
        <v>6.2092800000000006</v>
      </c>
      <c r="N208">
        <f t="shared" si="76"/>
        <v>3.5562240000000003</v>
      </c>
      <c r="O208">
        <f t="shared" si="87"/>
        <v>5.1135247058823543</v>
      </c>
      <c r="P208">
        <f t="shared" si="77"/>
        <v>1.9049676025917928</v>
      </c>
      <c r="Q208">
        <f t="shared" si="78"/>
        <v>58.800000000000004</v>
      </c>
      <c r="R208">
        <f t="shared" si="79"/>
        <v>336</v>
      </c>
      <c r="S208">
        <f t="shared" si="80"/>
        <v>389.76</v>
      </c>
      <c r="T208">
        <f t="shared" si="81"/>
        <v>80.64</v>
      </c>
      <c r="U208">
        <f>I208*E208/'[1]Inverter Analysis'!$L$2</f>
        <v>202.89982246871887</v>
      </c>
      <c r="V208">
        <f t="shared" si="82"/>
        <v>170.06802721088437</v>
      </c>
      <c r="W208">
        <f t="shared" si="83"/>
        <v>205.25451559934319</v>
      </c>
      <c r="X208">
        <f t="shared" si="84"/>
        <v>113.37868480725623</v>
      </c>
      <c r="Y208">
        <f t="shared" si="85"/>
        <v>0.3370353293913681</v>
      </c>
      <c r="Z208">
        <f t="shared" si="86"/>
        <v>3.4394020415999997</v>
      </c>
    </row>
    <row r="209" spans="1:26">
      <c r="A209">
        <v>22</v>
      </c>
      <c r="B209">
        <v>3</v>
      </c>
      <c r="C209" s="12">
        <v>4</v>
      </c>
      <c r="D209">
        <f t="shared" si="66"/>
        <v>300</v>
      </c>
      <c r="E209">
        <f t="shared" si="67"/>
        <v>180</v>
      </c>
      <c r="F209">
        <f t="shared" si="68"/>
        <v>18.216000000000001</v>
      </c>
      <c r="G209">
        <f t="shared" si="69"/>
        <v>0.23466666666666666</v>
      </c>
      <c r="H209">
        <f t="shared" si="70"/>
        <v>66.528000000000006</v>
      </c>
      <c r="I209">
        <f t="shared" si="71"/>
        <v>369.6</v>
      </c>
      <c r="J209">
        <f t="shared" si="72"/>
        <v>246.39999999999998</v>
      </c>
      <c r="K209">
        <f t="shared" si="73"/>
        <v>44.35199999999999</v>
      </c>
      <c r="L209">
        <f t="shared" si="74"/>
        <v>4.6569600000000007</v>
      </c>
      <c r="M209">
        <f t="shared" si="75"/>
        <v>4.8787200000000013</v>
      </c>
      <c r="N209">
        <f t="shared" si="76"/>
        <v>2.7941760000000002</v>
      </c>
      <c r="O209">
        <f t="shared" si="87"/>
        <v>4.0177694117647071</v>
      </c>
      <c r="P209">
        <f t="shared" si="77"/>
        <v>4.4902807775377971</v>
      </c>
      <c r="Q209">
        <f t="shared" si="78"/>
        <v>92.4</v>
      </c>
      <c r="R209">
        <f t="shared" si="79"/>
        <v>264</v>
      </c>
      <c r="S209">
        <f t="shared" si="80"/>
        <v>204.15999999999997</v>
      </c>
      <c r="T209">
        <f t="shared" si="81"/>
        <v>42.24</v>
      </c>
      <c r="U209">
        <f>I209*E209/'[1]Inverter Analysis'!$L$2</f>
        <v>159.42128908256481</v>
      </c>
      <c r="V209">
        <f t="shared" si="82"/>
        <v>324.6753246753247</v>
      </c>
      <c r="W209">
        <f t="shared" si="83"/>
        <v>391.8495297805643</v>
      </c>
      <c r="X209">
        <f t="shared" si="84"/>
        <v>216.45021645021643</v>
      </c>
      <c r="Y209">
        <f t="shared" si="85"/>
        <v>1.2283684319139947</v>
      </c>
      <c r="Z209">
        <f t="shared" si="86"/>
        <v>0.7414713503999999</v>
      </c>
    </row>
    <row r="210" spans="1:26" s="15" customFormat="1">
      <c r="A210" s="15">
        <v>14</v>
      </c>
      <c r="B210" s="15">
        <v>4</v>
      </c>
      <c r="C210" s="15">
        <v>6</v>
      </c>
      <c r="D210" s="15">
        <f t="shared" si="66"/>
        <v>400</v>
      </c>
      <c r="E210" s="15">
        <f t="shared" si="67"/>
        <v>240</v>
      </c>
      <c r="F210" s="15">
        <f t="shared" si="68"/>
        <v>23.184000000000001</v>
      </c>
      <c r="G210" s="15">
        <f t="shared" si="69"/>
        <v>0.16800000000000001</v>
      </c>
      <c r="H210" s="15">
        <f t="shared" si="70"/>
        <v>84.671999999999997</v>
      </c>
      <c r="I210" s="15">
        <f t="shared" si="71"/>
        <v>352.8</v>
      </c>
      <c r="J210" s="15">
        <f t="shared" si="72"/>
        <v>235.2</v>
      </c>
      <c r="K210" s="15">
        <f t="shared" si="73"/>
        <v>56.448</v>
      </c>
      <c r="L210" s="15">
        <f t="shared" si="74"/>
        <v>5.9270400000000008</v>
      </c>
      <c r="M210" s="15">
        <f t="shared" si="75"/>
        <v>6.2092800000000006</v>
      </c>
      <c r="N210" s="15">
        <f t="shared" si="76"/>
        <v>3.5562240000000003</v>
      </c>
      <c r="O210" s="15">
        <f t="shared" si="87"/>
        <v>5.1135247058823543</v>
      </c>
      <c r="P210" s="15">
        <f t="shared" si="77"/>
        <v>3.8099352051835855</v>
      </c>
      <c r="Q210" s="15">
        <f t="shared" si="78"/>
        <v>58.800000000000004</v>
      </c>
      <c r="R210" s="15">
        <f t="shared" si="79"/>
        <v>336</v>
      </c>
      <c r="S210" s="15">
        <f t="shared" si="80"/>
        <v>194.88</v>
      </c>
      <c r="T210" s="15">
        <f t="shared" si="81"/>
        <v>40.32</v>
      </c>
      <c r="U210" s="15">
        <f>I210*E210/'[1]Inverter Analysis'!$L$2</f>
        <v>202.89982246871887</v>
      </c>
      <c r="V210" s="15">
        <f t="shared" si="82"/>
        <v>340.13605442176873</v>
      </c>
      <c r="W210" s="15">
        <f t="shared" si="83"/>
        <v>410.50903119868639</v>
      </c>
      <c r="X210" s="15">
        <f t="shared" si="84"/>
        <v>226.75736961451247</v>
      </c>
      <c r="Y210" s="15">
        <f t="shared" si="85"/>
        <v>1.3481413175654724</v>
      </c>
      <c r="Z210" s="15">
        <f t="shared" si="86"/>
        <v>0.85985051039999993</v>
      </c>
    </row>
    <row r="211" spans="1:26" hidden="1">
      <c r="A211">
        <v>15</v>
      </c>
      <c r="B211">
        <v>2</v>
      </c>
      <c r="C211" s="12">
        <v>11</v>
      </c>
      <c r="D211">
        <f t="shared" si="66"/>
        <v>200</v>
      </c>
      <c r="E211">
        <f t="shared" si="67"/>
        <v>120</v>
      </c>
      <c r="F211">
        <f t="shared" si="68"/>
        <v>22.77</v>
      </c>
      <c r="G211">
        <f t="shared" si="69"/>
        <v>0.65999999999999992</v>
      </c>
      <c r="H211">
        <f t="shared" si="70"/>
        <v>83.16</v>
      </c>
      <c r="I211">
        <f t="shared" si="71"/>
        <v>693</v>
      </c>
      <c r="J211">
        <f t="shared" si="72"/>
        <v>461.99999999999994</v>
      </c>
      <c r="K211">
        <f t="shared" si="73"/>
        <v>55.439999999999991</v>
      </c>
      <c r="L211">
        <f t="shared" si="74"/>
        <v>5.8212000000000002</v>
      </c>
      <c r="M211">
        <f t="shared" si="75"/>
        <v>6.0984000000000007</v>
      </c>
      <c r="N211">
        <f t="shared" si="76"/>
        <v>3.4927199999999998</v>
      </c>
      <c r="O211">
        <f t="shared" si="87"/>
        <v>5.022211764705883</v>
      </c>
      <c r="P211">
        <f t="shared" si="77"/>
        <v>2.0410367170626347</v>
      </c>
      <c r="Q211">
        <f t="shared" si="78"/>
        <v>63</v>
      </c>
      <c r="R211">
        <f t="shared" si="79"/>
        <v>330</v>
      </c>
      <c r="S211">
        <f t="shared" si="80"/>
        <v>382.79999999999995</v>
      </c>
      <c r="T211">
        <f t="shared" si="81"/>
        <v>79.199999999999989</v>
      </c>
      <c r="U211">
        <f>I211*E211/'[1]Inverter Analysis'!$L$2</f>
        <v>199.27661135320602</v>
      </c>
      <c r="V211">
        <f t="shared" si="82"/>
        <v>173.16017316017317</v>
      </c>
      <c r="W211">
        <f t="shared" si="83"/>
        <v>208.98641588296763</v>
      </c>
      <c r="X211">
        <f t="shared" si="84"/>
        <v>115.44011544011543</v>
      </c>
      <c r="Y211">
        <f t="shared" si="85"/>
        <v>0.34940257618886966</v>
      </c>
      <c r="Z211">
        <f t="shared" si="86"/>
        <v>3.2584190203124992</v>
      </c>
    </row>
    <row r="212" spans="1:26" hidden="1">
      <c r="A212">
        <v>11</v>
      </c>
      <c r="B212" s="9">
        <v>5</v>
      </c>
      <c r="C212">
        <v>6</v>
      </c>
      <c r="D212">
        <f t="shared" si="66"/>
        <v>500</v>
      </c>
      <c r="E212">
        <f t="shared" si="67"/>
        <v>300</v>
      </c>
      <c r="F212">
        <f t="shared" si="68"/>
        <v>22.77</v>
      </c>
      <c r="G212">
        <f t="shared" si="69"/>
        <v>0.1056</v>
      </c>
      <c r="H212">
        <f t="shared" si="70"/>
        <v>83.16</v>
      </c>
      <c r="I212">
        <f t="shared" si="71"/>
        <v>277.2</v>
      </c>
      <c r="J212">
        <f t="shared" si="72"/>
        <v>184.79999999999998</v>
      </c>
      <c r="K212">
        <f t="shared" si="73"/>
        <v>55.439999999999991</v>
      </c>
      <c r="L212">
        <f t="shared" si="74"/>
        <v>5.8212000000000002</v>
      </c>
      <c r="M212">
        <f t="shared" si="75"/>
        <v>6.0984000000000007</v>
      </c>
      <c r="N212">
        <f t="shared" si="76"/>
        <v>3.4927199999999998</v>
      </c>
      <c r="O212">
        <f t="shared" si="87"/>
        <v>5.022211764705883</v>
      </c>
      <c r="P212">
        <f t="shared" si="77"/>
        <v>3.7419006479481638</v>
      </c>
      <c r="Q212">
        <f t="shared" si="78"/>
        <v>46.199999999999996</v>
      </c>
      <c r="R212">
        <f t="shared" si="79"/>
        <v>330</v>
      </c>
      <c r="S212">
        <f t="shared" si="80"/>
        <v>153.11999999999998</v>
      </c>
      <c r="T212">
        <f t="shared" si="81"/>
        <v>31.68</v>
      </c>
      <c r="U212">
        <f>I212*E212/'[1]Inverter Analysis'!$L$2</f>
        <v>199.27661135320602</v>
      </c>
      <c r="V212">
        <f t="shared" si="82"/>
        <v>432.90043290043292</v>
      </c>
      <c r="W212">
        <f t="shared" si="83"/>
        <v>522.4660397074191</v>
      </c>
      <c r="X212">
        <f t="shared" si="84"/>
        <v>288.60028860028859</v>
      </c>
      <c r="Y212">
        <f t="shared" si="85"/>
        <v>2.1837661011804359</v>
      </c>
      <c r="Z212">
        <f t="shared" si="86"/>
        <v>0.52134704324999981</v>
      </c>
    </row>
    <row r="213" spans="1:26" hidden="1">
      <c r="A213">
        <v>16</v>
      </c>
      <c r="B213">
        <v>2</v>
      </c>
      <c r="C213" s="12">
        <v>10</v>
      </c>
      <c r="D213">
        <f t="shared" si="66"/>
        <v>200</v>
      </c>
      <c r="E213">
        <f t="shared" si="67"/>
        <v>120</v>
      </c>
      <c r="F213">
        <f t="shared" si="68"/>
        <v>22.08</v>
      </c>
      <c r="G213">
        <f t="shared" si="69"/>
        <v>0.64</v>
      </c>
      <c r="H213">
        <f t="shared" si="70"/>
        <v>80.64</v>
      </c>
      <c r="I213">
        <f t="shared" si="71"/>
        <v>672</v>
      </c>
      <c r="J213">
        <f t="shared" si="72"/>
        <v>448</v>
      </c>
      <c r="K213">
        <f t="shared" si="73"/>
        <v>53.76</v>
      </c>
      <c r="L213">
        <f t="shared" si="74"/>
        <v>5.6448</v>
      </c>
      <c r="M213">
        <f t="shared" si="75"/>
        <v>5.9136000000000006</v>
      </c>
      <c r="N213">
        <f t="shared" si="76"/>
        <v>3.3868800000000001</v>
      </c>
      <c r="O213">
        <f t="shared" si="87"/>
        <v>4.8700235294117658</v>
      </c>
      <c r="P213">
        <f t="shared" si="77"/>
        <v>2.1771058315334773</v>
      </c>
      <c r="Q213">
        <f t="shared" si="78"/>
        <v>67.2</v>
      </c>
      <c r="R213">
        <f t="shared" si="79"/>
        <v>320</v>
      </c>
      <c r="S213">
        <f t="shared" si="80"/>
        <v>371.2</v>
      </c>
      <c r="T213">
        <f t="shared" si="81"/>
        <v>76.8</v>
      </c>
      <c r="U213">
        <f>I213*E213/'[1]Inverter Analysis'!$L$2</f>
        <v>193.23792616068462</v>
      </c>
      <c r="V213">
        <f t="shared" si="82"/>
        <v>178.57142857142858</v>
      </c>
      <c r="W213">
        <f t="shared" si="83"/>
        <v>215.51724137931035</v>
      </c>
      <c r="X213">
        <f t="shared" si="84"/>
        <v>119.04761904761905</v>
      </c>
      <c r="Y213">
        <f t="shared" si="85"/>
        <v>0.37158145065398335</v>
      </c>
      <c r="Z213">
        <f t="shared" si="86"/>
        <v>2.9710847999999999</v>
      </c>
    </row>
    <row r="214" spans="1:26" hidden="1">
      <c r="A214">
        <v>10</v>
      </c>
      <c r="B214">
        <v>4</v>
      </c>
      <c r="C214" s="12">
        <v>8</v>
      </c>
      <c r="D214">
        <f t="shared" si="66"/>
        <v>400</v>
      </c>
      <c r="E214">
        <f t="shared" si="67"/>
        <v>240</v>
      </c>
      <c r="F214">
        <f t="shared" si="68"/>
        <v>22.08</v>
      </c>
      <c r="G214">
        <f t="shared" si="69"/>
        <v>0.16</v>
      </c>
      <c r="H214">
        <f t="shared" si="70"/>
        <v>80.64</v>
      </c>
      <c r="I214">
        <f t="shared" si="71"/>
        <v>336</v>
      </c>
      <c r="J214">
        <f t="shared" si="72"/>
        <v>224</v>
      </c>
      <c r="K214">
        <f t="shared" si="73"/>
        <v>53.76</v>
      </c>
      <c r="L214">
        <f t="shared" si="74"/>
        <v>5.6448</v>
      </c>
      <c r="M214">
        <f t="shared" si="75"/>
        <v>5.9136000000000006</v>
      </c>
      <c r="N214">
        <f t="shared" si="76"/>
        <v>3.3868800000000001</v>
      </c>
      <c r="O214">
        <f t="shared" si="87"/>
        <v>4.8700235294117658</v>
      </c>
      <c r="P214">
        <f t="shared" si="77"/>
        <v>2.7213822894168467</v>
      </c>
      <c r="Q214">
        <f t="shared" si="78"/>
        <v>42</v>
      </c>
      <c r="R214">
        <f t="shared" si="79"/>
        <v>320</v>
      </c>
      <c r="S214">
        <f t="shared" si="80"/>
        <v>185.6</v>
      </c>
      <c r="T214">
        <f t="shared" si="81"/>
        <v>38.4</v>
      </c>
      <c r="U214">
        <f>I214*E214/'[1]Inverter Analysis'!$L$2</f>
        <v>193.23792616068462</v>
      </c>
      <c r="V214">
        <f t="shared" si="82"/>
        <v>357.14285714285717</v>
      </c>
      <c r="W214">
        <f t="shared" si="83"/>
        <v>431.0344827586207</v>
      </c>
      <c r="X214">
        <f t="shared" si="84"/>
        <v>238.0952380952381</v>
      </c>
      <c r="Y214">
        <f t="shared" si="85"/>
        <v>1.4863258026159334</v>
      </c>
      <c r="Z214">
        <f t="shared" si="86"/>
        <v>0.74277119999999996</v>
      </c>
    </row>
    <row r="215" spans="1:26" hidden="1">
      <c r="A215">
        <v>13</v>
      </c>
      <c r="B215">
        <v>2</v>
      </c>
      <c r="C215">
        <v>12</v>
      </c>
      <c r="D215">
        <f t="shared" si="66"/>
        <v>200</v>
      </c>
      <c r="E215">
        <f t="shared" si="67"/>
        <v>120</v>
      </c>
      <c r="F215">
        <f t="shared" si="68"/>
        <v>21.527999999999999</v>
      </c>
      <c r="G215">
        <f t="shared" si="69"/>
        <v>0.62400000000000011</v>
      </c>
      <c r="H215">
        <f t="shared" si="70"/>
        <v>78.623999999999995</v>
      </c>
      <c r="I215">
        <f t="shared" si="71"/>
        <v>655.20000000000005</v>
      </c>
      <c r="J215">
        <f t="shared" si="72"/>
        <v>436.79999999999995</v>
      </c>
      <c r="K215">
        <f t="shared" si="73"/>
        <v>52.41599999999999</v>
      </c>
      <c r="L215">
        <f t="shared" si="74"/>
        <v>5.5036800000000001</v>
      </c>
      <c r="M215">
        <f t="shared" si="75"/>
        <v>5.7657600000000011</v>
      </c>
      <c r="N215">
        <f t="shared" si="76"/>
        <v>3.3022080000000003</v>
      </c>
      <c r="O215">
        <f t="shared" si="87"/>
        <v>4.7482729411764719</v>
      </c>
      <c r="P215">
        <f t="shared" si="77"/>
        <v>1.7688984881209502</v>
      </c>
      <c r="Q215">
        <f t="shared" si="78"/>
        <v>54.6</v>
      </c>
      <c r="R215">
        <f t="shared" si="79"/>
        <v>312</v>
      </c>
      <c r="S215">
        <f t="shared" si="80"/>
        <v>361.91999999999996</v>
      </c>
      <c r="T215">
        <f t="shared" si="81"/>
        <v>74.88000000000001</v>
      </c>
      <c r="U215">
        <f>I215*E215/'[1]Inverter Analysis'!$L$2</f>
        <v>188.40697800666752</v>
      </c>
      <c r="V215">
        <f t="shared" si="82"/>
        <v>183.15018315018318</v>
      </c>
      <c r="W215">
        <f t="shared" si="83"/>
        <v>221.04332449160037</v>
      </c>
      <c r="X215">
        <f t="shared" si="84"/>
        <v>122.10012210012209</v>
      </c>
      <c r="Y215">
        <f t="shared" si="85"/>
        <v>0.39088121041839152</v>
      </c>
      <c r="Z215">
        <f t="shared" si="86"/>
        <v>2.7537778007999991</v>
      </c>
    </row>
    <row r="216" spans="1:26" hidden="1">
      <c r="A216">
        <v>13</v>
      </c>
      <c r="B216">
        <v>4</v>
      </c>
      <c r="C216">
        <v>6</v>
      </c>
      <c r="D216">
        <f t="shared" si="66"/>
        <v>400</v>
      </c>
      <c r="E216">
        <f t="shared" si="67"/>
        <v>240</v>
      </c>
      <c r="F216">
        <f t="shared" si="68"/>
        <v>21.527999999999999</v>
      </c>
      <c r="G216">
        <f t="shared" si="69"/>
        <v>0.15600000000000003</v>
      </c>
      <c r="H216">
        <f t="shared" si="70"/>
        <v>78.623999999999995</v>
      </c>
      <c r="I216">
        <f t="shared" si="71"/>
        <v>327.60000000000002</v>
      </c>
      <c r="J216">
        <f t="shared" si="72"/>
        <v>218.39999999999998</v>
      </c>
      <c r="K216">
        <f t="shared" si="73"/>
        <v>52.41599999999999</v>
      </c>
      <c r="L216">
        <f t="shared" si="74"/>
        <v>5.5036800000000001</v>
      </c>
      <c r="M216">
        <f t="shared" si="75"/>
        <v>5.7657600000000011</v>
      </c>
      <c r="N216">
        <f t="shared" si="76"/>
        <v>3.3022080000000003</v>
      </c>
      <c r="O216">
        <f t="shared" si="87"/>
        <v>4.7482729411764719</v>
      </c>
      <c r="P216">
        <f t="shared" si="77"/>
        <v>3.5377969762419004</v>
      </c>
      <c r="Q216">
        <f t="shared" si="78"/>
        <v>54.6</v>
      </c>
      <c r="R216">
        <f t="shared" si="79"/>
        <v>312</v>
      </c>
      <c r="S216">
        <f t="shared" si="80"/>
        <v>180.95999999999998</v>
      </c>
      <c r="T216">
        <f t="shared" si="81"/>
        <v>37.440000000000005</v>
      </c>
      <c r="U216">
        <f>I216*E216/'[1]Inverter Analysis'!$L$2</f>
        <v>188.40697800666752</v>
      </c>
      <c r="V216">
        <f t="shared" si="82"/>
        <v>366.30036630036636</v>
      </c>
      <c r="W216">
        <f t="shared" si="83"/>
        <v>442.08664898320075</v>
      </c>
      <c r="X216">
        <f t="shared" si="84"/>
        <v>244.20024420024419</v>
      </c>
      <c r="Y216">
        <f t="shared" si="85"/>
        <v>1.5635248416735661</v>
      </c>
      <c r="Z216">
        <f t="shared" si="86"/>
        <v>0.68844445019999978</v>
      </c>
    </row>
    <row r="217" spans="1:26" hidden="1">
      <c r="A217">
        <v>14</v>
      </c>
      <c r="B217">
        <v>2</v>
      </c>
      <c r="C217" s="12">
        <v>11</v>
      </c>
      <c r="D217">
        <f t="shared" si="66"/>
        <v>200</v>
      </c>
      <c r="E217">
        <f t="shared" si="67"/>
        <v>120</v>
      </c>
      <c r="F217">
        <f t="shared" si="68"/>
        <v>21.251999999999999</v>
      </c>
      <c r="G217">
        <f t="shared" si="69"/>
        <v>0.61599999999999999</v>
      </c>
      <c r="H217">
        <f t="shared" si="70"/>
        <v>77.616000000000014</v>
      </c>
      <c r="I217">
        <f t="shared" si="71"/>
        <v>646.80000000000007</v>
      </c>
      <c r="J217">
        <f t="shared" si="72"/>
        <v>431.2</v>
      </c>
      <c r="K217">
        <f t="shared" si="73"/>
        <v>51.744</v>
      </c>
      <c r="L217">
        <f t="shared" si="74"/>
        <v>5.4331200000000006</v>
      </c>
      <c r="M217">
        <f t="shared" si="75"/>
        <v>5.6918400000000009</v>
      </c>
      <c r="N217">
        <f t="shared" si="76"/>
        <v>3.2598720000000001</v>
      </c>
      <c r="O217">
        <f t="shared" si="87"/>
        <v>4.687397647058825</v>
      </c>
      <c r="P217">
        <f t="shared" si="77"/>
        <v>1.9049676025917928</v>
      </c>
      <c r="Q217">
        <f t="shared" si="78"/>
        <v>58.800000000000004</v>
      </c>
      <c r="R217">
        <f t="shared" si="79"/>
        <v>308</v>
      </c>
      <c r="S217">
        <f t="shared" si="80"/>
        <v>357.28</v>
      </c>
      <c r="T217">
        <f t="shared" si="81"/>
        <v>73.92</v>
      </c>
      <c r="U217">
        <f>I217*E217/'[1]Inverter Analysis'!$L$2</f>
        <v>185.99150392965899</v>
      </c>
      <c r="V217">
        <f t="shared" si="82"/>
        <v>185.5287569573284</v>
      </c>
      <c r="W217">
        <f t="shared" si="83"/>
        <v>223.91401701746531</v>
      </c>
      <c r="X217">
        <f t="shared" si="84"/>
        <v>123.68583797155225</v>
      </c>
      <c r="Y217">
        <f t="shared" si="85"/>
        <v>0.40109989613518193</v>
      </c>
      <c r="Z217">
        <f t="shared" si="86"/>
        <v>2.6492153456999996</v>
      </c>
    </row>
    <row r="218" spans="1:26" hidden="1">
      <c r="A218">
        <v>11</v>
      </c>
      <c r="B218">
        <v>4</v>
      </c>
      <c r="C218" s="12">
        <v>7</v>
      </c>
      <c r="D218">
        <f t="shared" si="66"/>
        <v>400</v>
      </c>
      <c r="E218">
        <f t="shared" si="67"/>
        <v>240</v>
      </c>
      <c r="F218">
        <f t="shared" si="68"/>
        <v>21.251999999999999</v>
      </c>
      <c r="G218">
        <f t="shared" si="69"/>
        <v>0.154</v>
      </c>
      <c r="H218">
        <f t="shared" si="70"/>
        <v>77.616000000000014</v>
      </c>
      <c r="I218">
        <f t="shared" si="71"/>
        <v>323.40000000000003</v>
      </c>
      <c r="J218">
        <f t="shared" si="72"/>
        <v>215.6</v>
      </c>
      <c r="K218">
        <f t="shared" si="73"/>
        <v>51.744</v>
      </c>
      <c r="L218">
        <f t="shared" si="74"/>
        <v>5.4331200000000006</v>
      </c>
      <c r="M218">
        <f t="shared" si="75"/>
        <v>5.6918400000000009</v>
      </c>
      <c r="N218">
        <f t="shared" si="76"/>
        <v>3.2598720000000001</v>
      </c>
      <c r="O218">
        <f t="shared" si="87"/>
        <v>4.687397647058825</v>
      </c>
      <c r="P218">
        <f t="shared" si="77"/>
        <v>2.9935205183585318</v>
      </c>
      <c r="Q218">
        <f t="shared" si="78"/>
        <v>46.2</v>
      </c>
      <c r="R218">
        <f t="shared" si="79"/>
        <v>308</v>
      </c>
      <c r="S218">
        <f t="shared" si="80"/>
        <v>178.64</v>
      </c>
      <c r="T218">
        <f t="shared" si="81"/>
        <v>36.96</v>
      </c>
      <c r="U218">
        <f>I218*E218/'[1]Inverter Analysis'!$L$2</f>
        <v>185.99150392965899</v>
      </c>
      <c r="V218">
        <f t="shared" si="82"/>
        <v>371.05751391465679</v>
      </c>
      <c r="W218">
        <f t="shared" si="83"/>
        <v>447.82803403493062</v>
      </c>
      <c r="X218">
        <f t="shared" si="84"/>
        <v>247.37167594310449</v>
      </c>
      <c r="Y218">
        <f t="shared" si="85"/>
        <v>1.6043995845407277</v>
      </c>
      <c r="Z218">
        <f t="shared" si="86"/>
        <v>0.6623038364249999</v>
      </c>
    </row>
    <row r="219" spans="1:26" hidden="1">
      <c r="A219">
        <v>15</v>
      </c>
      <c r="B219">
        <v>2</v>
      </c>
      <c r="C219" s="12">
        <v>10</v>
      </c>
      <c r="D219">
        <f t="shared" si="66"/>
        <v>200</v>
      </c>
      <c r="E219">
        <f t="shared" si="67"/>
        <v>120</v>
      </c>
      <c r="F219">
        <f t="shared" si="68"/>
        <v>20.7</v>
      </c>
      <c r="G219">
        <f t="shared" si="69"/>
        <v>0.6</v>
      </c>
      <c r="H219">
        <f t="shared" si="70"/>
        <v>75.599999999999994</v>
      </c>
      <c r="I219">
        <f t="shared" si="71"/>
        <v>630</v>
      </c>
      <c r="J219">
        <f t="shared" si="72"/>
        <v>420</v>
      </c>
      <c r="K219">
        <f t="shared" si="73"/>
        <v>50.4</v>
      </c>
      <c r="L219">
        <f t="shared" si="74"/>
        <v>5.2919999999999998</v>
      </c>
      <c r="M219">
        <f t="shared" si="75"/>
        <v>5.5439999999999996</v>
      </c>
      <c r="N219">
        <f t="shared" si="76"/>
        <v>3.1751999999999998</v>
      </c>
      <c r="O219">
        <f t="shared" si="87"/>
        <v>4.5656470588235294</v>
      </c>
      <c r="P219">
        <f t="shared" si="77"/>
        <v>2.0410367170626347</v>
      </c>
      <c r="Q219">
        <f t="shared" si="78"/>
        <v>63</v>
      </c>
      <c r="R219">
        <f t="shared" si="79"/>
        <v>300</v>
      </c>
      <c r="S219">
        <f t="shared" si="80"/>
        <v>348</v>
      </c>
      <c r="T219">
        <f t="shared" si="81"/>
        <v>72</v>
      </c>
      <c r="U219">
        <f>I219*E219/'[1]Inverter Analysis'!$L$2</f>
        <v>181.16055577564182</v>
      </c>
      <c r="V219">
        <f t="shared" si="82"/>
        <v>190.47619047619048</v>
      </c>
      <c r="W219">
        <f t="shared" si="83"/>
        <v>229.88505747126436</v>
      </c>
      <c r="X219">
        <f t="shared" si="84"/>
        <v>126.98412698412699</v>
      </c>
      <c r="Y219">
        <f t="shared" si="85"/>
        <v>0.42277711718853217</v>
      </c>
      <c r="Z219">
        <f t="shared" si="86"/>
        <v>2.4480984375000001</v>
      </c>
    </row>
    <row r="220" spans="1:26" hidden="1">
      <c r="A220">
        <v>10</v>
      </c>
      <c r="B220" s="9">
        <v>5</v>
      </c>
      <c r="C220">
        <v>6</v>
      </c>
      <c r="D220">
        <f t="shared" si="66"/>
        <v>500</v>
      </c>
      <c r="E220">
        <f t="shared" si="67"/>
        <v>300</v>
      </c>
      <c r="F220">
        <f t="shared" si="68"/>
        <v>20.7</v>
      </c>
      <c r="G220">
        <f t="shared" si="69"/>
        <v>9.6000000000000002E-2</v>
      </c>
      <c r="H220">
        <f t="shared" si="70"/>
        <v>75.599999999999994</v>
      </c>
      <c r="I220">
        <f t="shared" si="71"/>
        <v>252</v>
      </c>
      <c r="J220">
        <f t="shared" si="72"/>
        <v>168</v>
      </c>
      <c r="K220">
        <f t="shared" si="73"/>
        <v>50.4</v>
      </c>
      <c r="L220">
        <f t="shared" si="74"/>
        <v>5.2919999999999998</v>
      </c>
      <c r="M220">
        <f t="shared" si="75"/>
        <v>5.5440000000000005</v>
      </c>
      <c r="N220">
        <f t="shared" si="76"/>
        <v>3.1751999999999998</v>
      </c>
      <c r="O220">
        <f t="shared" si="87"/>
        <v>4.5656470588235303</v>
      </c>
      <c r="P220">
        <f t="shared" si="77"/>
        <v>3.4017278617710578</v>
      </c>
      <c r="Q220">
        <f t="shared" si="78"/>
        <v>42</v>
      </c>
      <c r="R220">
        <f t="shared" si="79"/>
        <v>300</v>
      </c>
      <c r="S220">
        <f t="shared" si="80"/>
        <v>139.19999999999999</v>
      </c>
      <c r="T220">
        <f t="shared" si="81"/>
        <v>28.8</v>
      </c>
      <c r="U220">
        <f>I220*E220/'[1]Inverter Analysis'!$L$2</f>
        <v>181.16055577564182</v>
      </c>
      <c r="V220">
        <f t="shared" si="82"/>
        <v>476.1904761904762</v>
      </c>
      <c r="W220">
        <f t="shared" si="83"/>
        <v>574.71264367816093</v>
      </c>
      <c r="X220">
        <f t="shared" si="84"/>
        <v>317.46031746031747</v>
      </c>
      <c r="Y220">
        <f t="shared" si="85"/>
        <v>2.6423569824283262</v>
      </c>
      <c r="Z220">
        <f t="shared" si="86"/>
        <v>0.39169575000000001</v>
      </c>
    </row>
    <row r="221" spans="1:26" hidden="1">
      <c r="A221">
        <v>12</v>
      </c>
      <c r="B221">
        <v>4</v>
      </c>
      <c r="C221">
        <v>6</v>
      </c>
      <c r="D221">
        <f t="shared" si="66"/>
        <v>400</v>
      </c>
      <c r="E221">
        <f t="shared" si="67"/>
        <v>240</v>
      </c>
      <c r="F221">
        <f t="shared" si="68"/>
        <v>19.872</v>
      </c>
      <c r="G221">
        <f t="shared" si="69"/>
        <v>0.14400000000000002</v>
      </c>
      <c r="H221">
        <f t="shared" si="70"/>
        <v>72.576000000000008</v>
      </c>
      <c r="I221">
        <f t="shared" si="71"/>
        <v>302.40000000000003</v>
      </c>
      <c r="J221">
        <f t="shared" si="72"/>
        <v>201.6</v>
      </c>
      <c r="K221">
        <f t="shared" si="73"/>
        <v>48.384</v>
      </c>
      <c r="L221">
        <f t="shared" si="74"/>
        <v>5.0803200000000004</v>
      </c>
      <c r="M221">
        <f t="shared" si="75"/>
        <v>5.3222400000000007</v>
      </c>
      <c r="N221">
        <f t="shared" si="76"/>
        <v>3.0481920000000007</v>
      </c>
      <c r="O221">
        <f t="shared" si="87"/>
        <v>4.3830211764705895</v>
      </c>
      <c r="P221">
        <f t="shared" si="77"/>
        <v>3.2656587473002165</v>
      </c>
      <c r="Q221">
        <f t="shared" si="78"/>
        <v>50.400000000000006</v>
      </c>
      <c r="R221">
        <f t="shared" si="79"/>
        <v>288</v>
      </c>
      <c r="S221">
        <f t="shared" si="80"/>
        <v>167.04</v>
      </c>
      <c r="T221">
        <f t="shared" si="81"/>
        <v>34.56</v>
      </c>
      <c r="U221">
        <f>I221*E221/'[1]Inverter Analysis'!$L$2</f>
        <v>173.91413354461619</v>
      </c>
      <c r="V221">
        <f t="shared" si="82"/>
        <v>396.82539682539681</v>
      </c>
      <c r="W221">
        <f t="shared" si="83"/>
        <v>478.92720306513411</v>
      </c>
      <c r="X221">
        <f t="shared" si="84"/>
        <v>264.5502645502645</v>
      </c>
      <c r="Y221">
        <f t="shared" si="85"/>
        <v>1.8349701266863376</v>
      </c>
      <c r="Z221">
        <f t="shared" si="86"/>
        <v>0.54148020479999992</v>
      </c>
    </row>
    <row r="222" spans="1:26" hidden="1">
      <c r="A222">
        <v>10</v>
      </c>
      <c r="B222">
        <v>4</v>
      </c>
      <c r="C222" s="12">
        <v>7</v>
      </c>
      <c r="D222">
        <f t="shared" si="66"/>
        <v>400</v>
      </c>
      <c r="E222">
        <f t="shared" si="67"/>
        <v>240</v>
      </c>
      <c r="F222">
        <f t="shared" si="68"/>
        <v>19.32</v>
      </c>
      <c r="G222">
        <f t="shared" si="69"/>
        <v>0.14000000000000001</v>
      </c>
      <c r="H222">
        <f t="shared" si="70"/>
        <v>70.56</v>
      </c>
      <c r="I222">
        <f t="shared" si="71"/>
        <v>294</v>
      </c>
      <c r="J222">
        <f t="shared" si="72"/>
        <v>196</v>
      </c>
      <c r="K222">
        <f t="shared" si="73"/>
        <v>47.04</v>
      </c>
      <c r="L222">
        <f t="shared" si="74"/>
        <v>4.9391999999999996</v>
      </c>
      <c r="M222">
        <f t="shared" si="75"/>
        <v>5.1744000000000003</v>
      </c>
      <c r="N222">
        <f t="shared" si="76"/>
        <v>2.9635199999999999</v>
      </c>
      <c r="O222">
        <f t="shared" si="87"/>
        <v>4.2612705882352948</v>
      </c>
      <c r="P222">
        <f t="shared" si="77"/>
        <v>2.7213822894168467</v>
      </c>
      <c r="Q222">
        <f t="shared" si="78"/>
        <v>42</v>
      </c>
      <c r="R222">
        <f t="shared" si="79"/>
        <v>280</v>
      </c>
      <c r="S222">
        <f t="shared" si="80"/>
        <v>162.4</v>
      </c>
      <c r="T222">
        <f t="shared" si="81"/>
        <v>33.6</v>
      </c>
      <c r="U222">
        <f>I222*E222/'[1]Inverter Analysis'!$L$2</f>
        <v>169.08318539059906</v>
      </c>
      <c r="V222">
        <f t="shared" si="82"/>
        <v>408.16326530612247</v>
      </c>
      <c r="W222">
        <f t="shared" si="83"/>
        <v>492.61083743842363</v>
      </c>
      <c r="X222">
        <f t="shared" si="84"/>
        <v>272.10884353741494</v>
      </c>
      <c r="Y222">
        <f t="shared" si="85"/>
        <v>1.9413234972942803</v>
      </c>
      <c r="Z222">
        <f t="shared" si="86"/>
        <v>0.49759867499999999</v>
      </c>
    </row>
    <row r="223" spans="1:26" hidden="1">
      <c r="A223">
        <v>13</v>
      </c>
      <c r="B223">
        <v>3</v>
      </c>
      <c r="C223" s="12">
        <v>7</v>
      </c>
      <c r="D223">
        <f t="shared" si="66"/>
        <v>300</v>
      </c>
      <c r="E223">
        <f t="shared" si="67"/>
        <v>180</v>
      </c>
      <c r="F223">
        <f t="shared" si="68"/>
        <v>18.837</v>
      </c>
      <c r="G223">
        <f t="shared" si="69"/>
        <v>0.24266666666666664</v>
      </c>
      <c r="H223">
        <f t="shared" si="70"/>
        <v>68.796000000000006</v>
      </c>
      <c r="I223">
        <f t="shared" si="71"/>
        <v>382.2</v>
      </c>
      <c r="J223">
        <f t="shared" si="72"/>
        <v>254.79999999999998</v>
      </c>
      <c r="K223">
        <f t="shared" si="73"/>
        <v>45.863999999999997</v>
      </c>
      <c r="L223">
        <f t="shared" si="74"/>
        <v>4.8157200000000007</v>
      </c>
      <c r="M223">
        <f t="shared" si="75"/>
        <v>5.0450400000000002</v>
      </c>
      <c r="N223">
        <f t="shared" si="76"/>
        <v>2.8894319999999998</v>
      </c>
      <c r="O223">
        <f t="shared" si="87"/>
        <v>4.1547388235294127</v>
      </c>
      <c r="P223">
        <f t="shared" si="77"/>
        <v>2.6533477321814254</v>
      </c>
      <c r="Q223">
        <f t="shared" si="78"/>
        <v>54.6</v>
      </c>
      <c r="R223">
        <f t="shared" si="79"/>
        <v>273</v>
      </c>
      <c r="S223">
        <f t="shared" si="80"/>
        <v>211.12</v>
      </c>
      <c r="T223">
        <f t="shared" si="81"/>
        <v>43.679999999999993</v>
      </c>
      <c r="U223">
        <f>I223*E223/'[1]Inverter Analysis'!$L$2</f>
        <v>164.85610575583408</v>
      </c>
      <c r="V223">
        <f t="shared" si="82"/>
        <v>313.97174254317116</v>
      </c>
      <c r="W223">
        <f t="shared" si="83"/>
        <v>378.93141341417203</v>
      </c>
      <c r="X223">
        <f t="shared" si="84"/>
        <v>209.31449502878075</v>
      </c>
      <c r="Y223">
        <f t="shared" si="85"/>
        <v>1.1487121285764974</v>
      </c>
      <c r="Z223">
        <f t="shared" si="86"/>
        <v>0.81991821673124998</v>
      </c>
    </row>
    <row r="224" spans="1:26" hidden="1">
      <c r="A224">
        <v>10</v>
      </c>
      <c r="B224">
        <v>3</v>
      </c>
      <c r="C224" s="12">
        <v>9</v>
      </c>
      <c r="D224">
        <f t="shared" si="66"/>
        <v>300</v>
      </c>
      <c r="E224">
        <f t="shared" si="67"/>
        <v>180</v>
      </c>
      <c r="F224">
        <f t="shared" si="68"/>
        <v>18.63</v>
      </c>
      <c r="G224">
        <f t="shared" si="69"/>
        <v>0.24</v>
      </c>
      <c r="H224">
        <f t="shared" si="70"/>
        <v>68.040000000000006</v>
      </c>
      <c r="I224">
        <f t="shared" si="71"/>
        <v>378</v>
      </c>
      <c r="J224">
        <f t="shared" si="72"/>
        <v>251.99999999999997</v>
      </c>
      <c r="K224">
        <f t="shared" si="73"/>
        <v>45.359999999999992</v>
      </c>
      <c r="L224">
        <f t="shared" si="74"/>
        <v>4.7628000000000004</v>
      </c>
      <c r="M224">
        <f t="shared" si="75"/>
        <v>4.9896000000000003</v>
      </c>
      <c r="N224">
        <f t="shared" si="76"/>
        <v>2.8576800000000002</v>
      </c>
      <c r="O224">
        <f t="shared" si="87"/>
        <v>4.1090823529411766</v>
      </c>
      <c r="P224">
        <f t="shared" si="77"/>
        <v>2.0410367170626347</v>
      </c>
      <c r="Q224">
        <f t="shared" si="78"/>
        <v>42</v>
      </c>
      <c r="R224">
        <f t="shared" si="79"/>
        <v>270</v>
      </c>
      <c r="S224">
        <f t="shared" si="80"/>
        <v>208.79999999999998</v>
      </c>
      <c r="T224">
        <f t="shared" si="81"/>
        <v>43.199999999999996</v>
      </c>
      <c r="U224">
        <f>I224*E224/'[1]Inverter Analysis'!$L$2</f>
        <v>163.04450019807766</v>
      </c>
      <c r="V224">
        <f t="shared" si="82"/>
        <v>317.46031746031747</v>
      </c>
      <c r="W224">
        <f t="shared" si="83"/>
        <v>383.14176245210729</v>
      </c>
      <c r="X224">
        <f t="shared" si="84"/>
        <v>211.64021164021165</v>
      </c>
      <c r="Y224">
        <f t="shared" si="85"/>
        <v>1.1743808810792562</v>
      </c>
      <c r="Z224">
        <f t="shared" si="86"/>
        <v>0.79318389374999976</v>
      </c>
    </row>
    <row r="225" spans="1:26" hidden="1">
      <c r="A225">
        <v>15</v>
      </c>
      <c r="B225">
        <v>3</v>
      </c>
      <c r="C225">
        <v>6</v>
      </c>
      <c r="D225">
        <f t="shared" si="66"/>
        <v>300</v>
      </c>
      <c r="E225">
        <f t="shared" si="67"/>
        <v>180</v>
      </c>
      <c r="F225">
        <f t="shared" si="68"/>
        <v>18.63</v>
      </c>
      <c r="G225">
        <f t="shared" si="69"/>
        <v>0.24</v>
      </c>
      <c r="H225">
        <f t="shared" si="70"/>
        <v>68.040000000000006</v>
      </c>
      <c r="I225">
        <f t="shared" si="71"/>
        <v>378</v>
      </c>
      <c r="J225">
        <f t="shared" si="72"/>
        <v>251.99999999999997</v>
      </c>
      <c r="K225">
        <f t="shared" si="73"/>
        <v>45.359999999999992</v>
      </c>
      <c r="L225">
        <f t="shared" si="74"/>
        <v>4.7628000000000004</v>
      </c>
      <c r="M225">
        <f t="shared" si="75"/>
        <v>4.9896000000000003</v>
      </c>
      <c r="N225">
        <f t="shared" si="76"/>
        <v>2.8576800000000002</v>
      </c>
      <c r="O225">
        <f t="shared" si="87"/>
        <v>4.1090823529411766</v>
      </c>
      <c r="P225">
        <f t="shared" si="77"/>
        <v>3.0615550755939522</v>
      </c>
      <c r="Q225">
        <f t="shared" si="78"/>
        <v>63</v>
      </c>
      <c r="R225">
        <f t="shared" si="79"/>
        <v>270</v>
      </c>
      <c r="S225">
        <f t="shared" si="80"/>
        <v>208.79999999999998</v>
      </c>
      <c r="T225">
        <f t="shared" si="81"/>
        <v>43.199999999999996</v>
      </c>
      <c r="U225">
        <f>I225*E225/'[1]Inverter Analysis'!$L$2</f>
        <v>163.04450019807766</v>
      </c>
      <c r="V225">
        <f t="shared" si="82"/>
        <v>317.46031746031747</v>
      </c>
      <c r="W225">
        <f t="shared" si="83"/>
        <v>383.14176245210729</v>
      </c>
      <c r="X225">
        <f t="shared" si="84"/>
        <v>211.64021164021165</v>
      </c>
      <c r="Y225">
        <f t="shared" si="85"/>
        <v>1.1743808810792562</v>
      </c>
      <c r="Z225">
        <f t="shared" si="86"/>
        <v>0.79318389374999976</v>
      </c>
    </row>
    <row r="226" spans="1:26" hidden="1">
      <c r="A226">
        <v>11</v>
      </c>
      <c r="B226">
        <v>3</v>
      </c>
      <c r="C226" s="12">
        <v>8</v>
      </c>
      <c r="D226">
        <f t="shared" si="66"/>
        <v>300</v>
      </c>
      <c r="E226">
        <f t="shared" si="67"/>
        <v>180</v>
      </c>
      <c r="F226">
        <f t="shared" si="68"/>
        <v>18.216000000000001</v>
      </c>
      <c r="G226">
        <f t="shared" si="69"/>
        <v>0.23466666666666666</v>
      </c>
      <c r="H226">
        <f t="shared" si="70"/>
        <v>66.528000000000006</v>
      </c>
      <c r="I226">
        <f t="shared" si="71"/>
        <v>369.6</v>
      </c>
      <c r="J226">
        <f t="shared" si="72"/>
        <v>246.39999999999998</v>
      </c>
      <c r="K226">
        <f t="shared" si="73"/>
        <v>44.35199999999999</v>
      </c>
      <c r="L226">
        <f t="shared" si="74"/>
        <v>4.6569600000000007</v>
      </c>
      <c r="M226">
        <f t="shared" si="75"/>
        <v>4.8787200000000013</v>
      </c>
      <c r="N226">
        <f t="shared" si="76"/>
        <v>2.7941760000000002</v>
      </c>
      <c r="O226">
        <f t="shared" si="87"/>
        <v>4.0177694117647071</v>
      </c>
      <c r="P226">
        <f t="shared" si="77"/>
        <v>2.2451403887688985</v>
      </c>
      <c r="Q226">
        <f t="shared" si="78"/>
        <v>46.2</v>
      </c>
      <c r="R226">
        <f t="shared" si="79"/>
        <v>264</v>
      </c>
      <c r="S226">
        <f t="shared" si="80"/>
        <v>204.15999999999997</v>
      </c>
      <c r="T226">
        <f t="shared" si="81"/>
        <v>42.24</v>
      </c>
      <c r="U226">
        <f>I226*E226/'[1]Inverter Analysis'!$L$2</f>
        <v>159.42128908256481</v>
      </c>
      <c r="V226">
        <f t="shared" si="82"/>
        <v>324.6753246753247</v>
      </c>
      <c r="W226">
        <f t="shared" si="83"/>
        <v>391.8495297805643</v>
      </c>
      <c r="X226">
        <f t="shared" si="84"/>
        <v>216.45021645021643</v>
      </c>
      <c r="Y226">
        <f t="shared" si="85"/>
        <v>1.2283684319139947</v>
      </c>
      <c r="Z226">
        <f t="shared" si="86"/>
        <v>0.7414713503999999</v>
      </c>
    </row>
    <row r="227" spans="1:26" hidden="1">
      <c r="A227">
        <v>11</v>
      </c>
      <c r="B227">
        <v>4</v>
      </c>
      <c r="C227">
        <v>6</v>
      </c>
      <c r="D227">
        <f t="shared" si="66"/>
        <v>400</v>
      </c>
      <c r="E227">
        <f t="shared" si="67"/>
        <v>240</v>
      </c>
      <c r="F227">
        <f t="shared" si="68"/>
        <v>18.216000000000001</v>
      </c>
      <c r="G227">
        <f t="shared" si="69"/>
        <v>0.13200000000000001</v>
      </c>
      <c r="H227">
        <f t="shared" si="70"/>
        <v>66.528000000000006</v>
      </c>
      <c r="I227">
        <f t="shared" si="71"/>
        <v>277.2</v>
      </c>
      <c r="J227">
        <f t="shared" si="72"/>
        <v>184.79999999999998</v>
      </c>
      <c r="K227">
        <f t="shared" si="73"/>
        <v>44.35199999999999</v>
      </c>
      <c r="L227">
        <f t="shared" si="74"/>
        <v>4.6569599999999998</v>
      </c>
      <c r="M227">
        <f t="shared" si="75"/>
        <v>4.8787200000000004</v>
      </c>
      <c r="N227">
        <f t="shared" si="76"/>
        <v>2.7941759999999998</v>
      </c>
      <c r="O227">
        <f t="shared" si="87"/>
        <v>4.0177694117647063</v>
      </c>
      <c r="P227">
        <f t="shared" si="77"/>
        <v>2.9935205183585309</v>
      </c>
      <c r="Q227">
        <f t="shared" si="78"/>
        <v>46.199999999999996</v>
      </c>
      <c r="R227">
        <f t="shared" si="79"/>
        <v>264</v>
      </c>
      <c r="S227">
        <f t="shared" si="80"/>
        <v>153.11999999999998</v>
      </c>
      <c r="T227">
        <f t="shared" si="81"/>
        <v>31.68</v>
      </c>
      <c r="U227">
        <f>I227*E227/'[1]Inverter Analysis'!$L$2</f>
        <v>159.42128908256481</v>
      </c>
      <c r="V227">
        <f t="shared" si="82"/>
        <v>432.90043290043292</v>
      </c>
      <c r="W227">
        <f t="shared" si="83"/>
        <v>522.4660397074191</v>
      </c>
      <c r="X227">
        <f t="shared" si="84"/>
        <v>288.60028860028859</v>
      </c>
      <c r="Y227">
        <f t="shared" si="85"/>
        <v>2.1837661011804359</v>
      </c>
      <c r="Z227">
        <f t="shared" si="86"/>
        <v>0.41707763459999986</v>
      </c>
    </row>
    <row r="228" spans="1:26" hidden="1">
      <c r="A228">
        <v>12</v>
      </c>
      <c r="B228">
        <v>3</v>
      </c>
      <c r="C228" s="12">
        <v>7</v>
      </c>
      <c r="D228">
        <f t="shared" si="66"/>
        <v>300</v>
      </c>
      <c r="E228">
        <f t="shared" si="67"/>
        <v>180</v>
      </c>
      <c r="F228">
        <f t="shared" si="68"/>
        <v>17.388000000000002</v>
      </c>
      <c r="G228">
        <f t="shared" si="69"/>
        <v>0.224</v>
      </c>
      <c r="H228">
        <f t="shared" si="70"/>
        <v>63.503999999999998</v>
      </c>
      <c r="I228">
        <f t="shared" si="71"/>
        <v>352.8</v>
      </c>
      <c r="J228">
        <f t="shared" si="72"/>
        <v>235.2</v>
      </c>
      <c r="K228">
        <f t="shared" si="73"/>
        <v>42.335999999999999</v>
      </c>
      <c r="L228">
        <f t="shared" si="74"/>
        <v>4.4452800000000003</v>
      </c>
      <c r="M228">
        <f t="shared" si="75"/>
        <v>4.6569600000000007</v>
      </c>
      <c r="N228">
        <f t="shared" si="76"/>
        <v>2.6671680000000002</v>
      </c>
      <c r="O228">
        <f t="shared" si="87"/>
        <v>3.8351435294117655</v>
      </c>
      <c r="P228">
        <f t="shared" si="77"/>
        <v>2.449244060475162</v>
      </c>
      <c r="Q228">
        <f t="shared" si="78"/>
        <v>50.4</v>
      </c>
      <c r="R228">
        <f t="shared" si="79"/>
        <v>252</v>
      </c>
      <c r="S228">
        <f t="shared" si="80"/>
        <v>194.88</v>
      </c>
      <c r="T228">
        <f t="shared" si="81"/>
        <v>40.32</v>
      </c>
      <c r="U228">
        <f>I228*E228/'[1]Inverter Analysis'!$L$2</f>
        <v>152.17486685153915</v>
      </c>
      <c r="V228">
        <f t="shared" si="82"/>
        <v>340.13605442176873</v>
      </c>
      <c r="W228">
        <f t="shared" si="83"/>
        <v>410.50903119868639</v>
      </c>
      <c r="X228">
        <f t="shared" si="84"/>
        <v>226.75736961451247</v>
      </c>
      <c r="Y228">
        <f t="shared" si="85"/>
        <v>1.3481413175654724</v>
      </c>
      <c r="Z228">
        <f t="shared" si="86"/>
        <v>0.6448878828000002</v>
      </c>
    </row>
    <row r="229" spans="1:26" hidden="1">
      <c r="A229">
        <v>14</v>
      </c>
      <c r="B229">
        <v>3</v>
      </c>
      <c r="C229">
        <v>6</v>
      </c>
      <c r="D229">
        <f t="shared" si="66"/>
        <v>300</v>
      </c>
      <c r="E229">
        <f t="shared" si="67"/>
        <v>180</v>
      </c>
      <c r="F229">
        <f t="shared" si="68"/>
        <v>17.388000000000002</v>
      </c>
      <c r="G229">
        <f t="shared" si="69"/>
        <v>0.22399999999999998</v>
      </c>
      <c r="H229">
        <f t="shared" si="70"/>
        <v>63.503999999999998</v>
      </c>
      <c r="I229">
        <f t="shared" si="71"/>
        <v>352.8</v>
      </c>
      <c r="J229">
        <f t="shared" si="72"/>
        <v>235.2</v>
      </c>
      <c r="K229">
        <f t="shared" si="73"/>
        <v>42.335999999999999</v>
      </c>
      <c r="L229">
        <f t="shared" si="74"/>
        <v>4.4452800000000003</v>
      </c>
      <c r="M229">
        <f t="shared" si="75"/>
        <v>4.6569600000000007</v>
      </c>
      <c r="N229">
        <f t="shared" si="76"/>
        <v>2.6671680000000002</v>
      </c>
      <c r="O229">
        <f t="shared" si="87"/>
        <v>3.8351435294117655</v>
      </c>
      <c r="P229">
        <f t="shared" si="77"/>
        <v>2.8574514038876888</v>
      </c>
      <c r="Q229">
        <f t="shared" si="78"/>
        <v>58.800000000000004</v>
      </c>
      <c r="R229">
        <f t="shared" si="79"/>
        <v>252</v>
      </c>
      <c r="S229">
        <f t="shared" si="80"/>
        <v>194.88</v>
      </c>
      <c r="T229">
        <f t="shared" si="81"/>
        <v>40.319999999999993</v>
      </c>
      <c r="U229">
        <f>I229*E229/'[1]Inverter Analysis'!$L$2</f>
        <v>152.17486685153915</v>
      </c>
      <c r="V229">
        <f t="shared" si="82"/>
        <v>340.13605442176873</v>
      </c>
      <c r="W229">
        <f t="shared" si="83"/>
        <v>410.50903119868639</v>
      </c>
      <c r="X229">
        <f t="shared" si="84"/>
        <v>226.75736961451247</v>
      </c>
      <c r="Y229">
        <f t="shared" si="85"/>
        <v>1.3481413175654724</v>
      </c>
      <c r="Z229">
        <f t="shared" si="86"/>
        <v>0.6448878828000002</v>
      </c>
    </row>
    <row r="230" spans="1:26" hidden="1">
      <c r="A230">
        <v>10</v>
      </c>
      <c r="B230">
        <v>3</v>
      </c>
      <c r="C230" s="12">
        <v>8</v>
      </c>
      <c r="D230">
        <f t="shared" si="66"/>
        <v>300</v>
      </c>
      <c r="E230">
        <f t="shared" si="67"/>
        <v>180</v>
      </c>
      <c r="F230">
        <f t="shared" si="68"/>
        <v>16.559999999999999</v>
      </c>
      <c r="G230">
        <f t="shared" si="69"/>
        <v>0.21333333333333332</v>
      </c>
      <c r="H230">
        <f t="shared" si="70"/>
        <v>60.48</v>
      </c>
      <c r="I230">
        <f t="shared" si="71"/>
        <v>336</v>
      </c>
      <c r="J230">
        <f t="shared" si="72"/>
        <v>224</v>
      </c>
      <c r="K230">
        <f t="shared" si="73"/>
        <v>40.32</v>
      </c>
      <c r="L230">
        <f t="shared" si="74"/>
        <v>4.2336</v>
      </c>
      <c r="M230">
        <f t="shared" si="75"/>
        <v>4.4352000000000009</v>
      </c>
      <c r="N230">
        <f t="shared" si="76"/>
        <v>2.5401599999999998</v>
      </c>
      <c r="O230">
        <f t="shared" si="87"/>
        <v>3.6525176470588248</v>
      </c>
      <c r="P230">
        <f t="shared" si="77"/>
        <v>2.0410367170626351</v>
      </c>
      <c r="Q230">
        <f t="shared" si="78"/>
        <v>42</v>
      </c>
      <c r="R230">
        <f t="shared" si="79"/>
        <v>240</v>
      </c>
      <c r="S230">
        <f t="shared" si="80"/>
        <v>185.6</v>
      </c>
      <c r="T230">
        <f t="shared" si="81"/>
        <v>38.4</v>
      </c>
      <c r="U230">
        <f>I230*E230/'[1]Inverter Analysis'!$L$2</f>
        <v>144.92844462051346</v>
      </c>
      <c r="V230">
        <f t="shared" si="82"/>
        <v>357.14285714285717</v>
      </c>
      <c r="W230">
        <f t="shared" si="83"/>
        <v>431.0344827586207</v>
      </c>
      <c r="X230">
        <f t="shared" si="84"/>
        <v>238.0952380952381</v>
      </c>
      <c r="Y230">
        <f t="shared" si="85"/>
        <v>1.4863258026159334</v>
      </c>
      <c r="Z230">
        <f t="shared" si="86"/>
        <v>0.55707839999999997</v>
      </c>
    </row>
    <row r="231" spans="1:26" hidden="1">
      <c r="A231">
        <v>10</v>
      </c>
      <c r="B231">
        <v>4</v>
      </c>
      <c r="C231">
        <v>6</v>
      </c>
      <c r="D231">
        <f t="shared" si="66"/>
        <v>400</v>
      </c>
      <c r="E231">
        <f t="shared" si="67"/>
        <v>240</v>
      </c>
      <c r="F231">
        <f t="shared" si="68"/>
        <v>16.559999999999999</v>
      </c>
      <c r="G231">
        <f t="shared" si="69"/>
        <v>0.12</v>
      </c>
      <c r="H231">
        <f t="shared" si="70"/>
        <v>60.48</v>
      </c>
      <c r="I231">
        <f t="shared" si="71"/>
        <v>252</v>
      </c>
      <c r="J231">
        <f t="shared" si="72"/>
        <v>168</v>
      </c>
      <c r="K231">
        <f t="shared" si="73"/>
        <v>40.32</v>
      </c>
      <c r="L231">
        <f t="shared" si="74"/>
        <v>4.2336</v>
      </c>
      <c r="M231">
        <f t="shared" si="75"/>
        <v>4.4352000000000009</v>
      </c>
      <c r="N231">
        <f t="shared" si="76"/>
        <v>2.5401599999999998</v>
      </c>
      <c r="O231">
        <f t="shared" si="87"/>
        <v>3.6525176470588248</v>
      </c>
      <c r="P231">
        <f t="shared" si="77"/>
        <v>2.7213822894168467</v>
      </c>
      <c r="Q231">
        <f t="shared" si="78"/>
        <v>42</v>
      </c>
      <c r="R231">
        <f t="shared" si="79"/>
        <v>240</v>
      </c>
      <c r="S231">
        <f t="shared" si="80"/>
        <v>139.19999999999999</v>
      </c>
      <c r="T231">
        <f t="shared" si="81"/>
        <v>28.799999999999997</v>
      </c>
      <c r="U231">
        <f>I231*E231/'[1]Inverter Analysis'!$L$2</f>
        <v>144.92844462051346</v>
      </c>
      <c r="V231">
        <f t="shared" si="82"/>
        <v>476.1904761904762</v>
      </c>
      <c r="W231">
        <f t="shared" si="83"/>
        <v>574.71264367816093</v>
      </c>
      <c r="X231">
        <f t="shared" si="84"/>
        <v>317.46031746031747</v>
      </c>
      <c r="Y231">
        <f t="shared" si="85"/>
        <v>2.6423569824283262</v>
      </c>
      <c r="Z231">
        <f t="shared" si="86"/>
        <v>0.31335659999999993</v>
      </c>
    </row>
    <row r="232" spans="1:26" hidden="1">
      <c r="A232">
        <v>13</v>
      </c>
      <c r="B232">
        <v>3</v>
      </c>
      <c r="C232">
        <v>6</v>
      </c>
      <c r="D232">
        <f t="shared" si="66"/>
        <v>300</v>
      </c>
      <c r="E232">
        <f t="shared" si="67"/>
        <v>180</v>
      </c>
      <c r="F232">
        <f t="shared" si="68"/>
        <v>16.146000000000001</v>
      </c>
      <c r="G232">
        <f t="shared" si="69"/>
        <v>0.20799999999999999</v>
      </c>
      <c r="H232">
        <f t="shared" si="70"/>
        <v>58.968000000000011</v>
      </c>
      <c r="I232">
        <f t="shared" si="71"/>
        <v>327.60000000000002</v>
      </c>
      <c r="J232">
        <f t="shared" si="72"/>
        <v>218.39999999999998</v>
      </c>
      <c r="K232">
        <f t="shared" si="73"/>
        <v>39.311999999999991</v>
      </c>
      <c r="L232">
        <f t="shared" si="74"/>
        <v>4.1277600000000003</v>
      </c>
      <c r="M232">
        <f t="shared" si="75"/>
        <v>4.3243200000000011</v>
      </c>
      <c r="N232">
        <f t="shared" si="76"/>
        <v>2.4766559999999997</v>
      </c>
      <c r="O232">
        <f t="shared" si="87"/>
        <v>3.5612047058823539</v>
      </c>
      <c r="P232">
        <f t="shared" si="77"/>
        <v>2.6533477321814254</v>
      </c>
      <c r="Q232">
        <f t="shared" si="78"/>
        <v>54.6</v>
      </c>
      <c r="R232">
        <f t="shared" si="79"/>
        <v>234</v>
      </c>
      <c r="S232">
        <f t="shared" si="80"/>
        <v>180.95999999999998</v>
      </c>
      <c r="T232">
        <f t="shared" si="81"/>
        <v>37.44</v>
      </c>
      <c r="U232">
        <f>I232*E232/'[1]Inverter Analysis'!$L$2</f>
        <v>141.30523350500064</v>
      </c>
      <c r="V232">
        <f t="shared" si="82"/>
        <v>366.30036630036636</v>
      </c>
      <c r="W232">
        <f t="shared" si="83"/>
        <v>442.08664898320075</v>
      </c>
      <c r="X232">
        <f t="shared" si="84"/>
        <v>244.20024420024419</v>
      </c>
      <c r="Y232">
        <f t="shared" si="85"/>
        <v>1.5635248416735661</v>
      </c>
      <c r="Z232">
        <f t="shared" si="86"/>
        <v>0.51633333764999989</v>
      </c>
    </row>
    <row r="233" spans="1:26" hidden="1">
      <c r="A233">
        <v>11</v>
      </c>
      <c r="B233">
        <v>3</v>
      </c>
      <c r="C233" s="12">
        <v>7</v>
      </c>
      <c r="D233">
        <f t="shared" si="66"/>
        <v>300</v>
      </c>
      <c r="E233">
        <f t="shared" si="67"/>
        <v>180</v>
      </c>
      <c r="F233">
        <f t="shared" si="68"/>
        <v>15.939</v>
      </c>
      <c r="G233">
        <f t="shared" si="69"/>
        <v>0.20533333333333334</v>
      </c>
      <c r="H233">
        <f t="shared" si="70"/>
        <v>58.21200000000001</v>
      </c>
      <c r="I233">
        <f t="shared" si="71"/>
        <v>323.40000000000003</v>
      </c>
      <c r="J233">
        <f t="shared" si="72"/>
        <v>215.6</v>
      </c>
      <c r="K233">
        <f t="shared" si="73"/>
        <v>38.808</v>
      </c>
      <c r="L233">
        <f t="shared" si="74"/>
        <v>4.0748400000000009</v>
      </c>
      <c r="M233">
        <f t="shared" si="75"/>
        <v>4.2688800000000011</v>
      </c>
      <c r="N233">
        <f t="shared" si="76"/>
        <v>2.4449040000000006</v>
      </c>
      <c r="O233">
        <f t="shared" si="87"/>
        <v>3.5155482352941188</v>
      </c>
      <c r="P233">
        <f t="shared" si="77"/>
        <v>2.2451403887688985</v>
      </c>
      <c r="Q233">
        <f t="shared" si="78"/>
        <v>46.2</v>
      </c>
      <c r="R233">
        <f t="shared" si="79"/>
        <v>231</v>
      </c>
      <c r="S233">
        <f t="shared" si="80"/>
        <v>178.64</v>
      </c>
      <c r="T233">
        <f t="shared" si="81"/>
        <v>36.96</v>
      </c>
      <c r="U233">
        <f>I233*E233/'[1]Inverter Analysis'!$L$2</f>
        <v>139.49362794724422</v>
      </c>
      <c r="V233">
        <f t="shared" si="82"/>
        <v>371.05751391465679</v>
      </c>
      <c r="W233">
        <f t="shared" si="83"/>
        <v>447.82803403493062</v>
      </c>
      <c r="X233">
        <f t="shared" si="84"/>
        <v>247.37167594310449</v>
      </c>
      <c r="Y233">
        <f t="shared" si="85"/>
        <v>1.6043995845407277</v>
      </c>
      <c r="Z233">
        <f t="shared" si="86"/>
        <v>0.4967278773187499</v>
      </c>
    </row>
    <row r="234" spans="1:26" hidden="1">
      <c r="A234">
        <v>12</v>
      </c>
      <c r="B234">
        <v>3</v>
      </c>
      <c r="C234">
        <v>6</v>
      </c>
      <c r="D234">
        <f t="shared" si="66"/>
        <v>300</v>
      </c>
      <c r="E234">
        <f t="shared" si="67"/>
        <v>180</v>
      </c>
      <c r="F234">
        <f t="shared" si="68"/>
        <v>14.904</v>
      </c>
      <c r="G234">
        <f t="shared" si="69"/>
        <v>0.192</v>
      </c>
      <c r="H234">
        <f t="shared" si="70"/>
        <v>54.432000000000009</v>
      </c>
      <c r="I234">
        <f t="shared" si="71"/>
        <v>302.40000000000003</v>
      </c>
      <c r="J234">
        <f t="shared" si="72"/>
        <v>201.6</v>
      </c>
      <c r="K234">
        <f t="shared" si="73"/>
        <v>36.287999999999997</v>
      </c>
      <c r="L234">
        <f t="shared" si="74"/>
        <v>3.8102400000000007</v>
      </c>
      <c r="M234">
        <f t="shared" si="75"/>
        <v>3.9916800000000001</v>
      </c>
      <c r="N234">
        <f t="shared" si="76"/>
        <v>2.2861440000000002</v>
      </c>
      <c r="O234">
        <f t="shared" si="87"/>
        <v>3.2872658823529415</v>
      </c>
      <c r="P234">
        <f t="shared" si="77"/>
        <v>2.4492440604751624</v>
      </c>
      <c r="Q234">
        <f t="shared" si="78"/>
        <v>50.400000000000006</v>
      </c>
      <c r="R234">
        <f t="shared" si="79"/>
        <v>216</v>
      </c>
      <c r="S234">
        <f t="shared" si="80"/>
        <v>167.04</v>
      </c>
      <c r="T234">
        <f t="shared" si="81"/>
        <v>34.56</v>
      </c>
      <c r="U234">
        <f>I234*E234/'[1]Inverter Analysis'!$L$2</f>
        <v>130.43560015846214</v>
      </c>
      <c r="V234">
        <f t="shared" si="82"/>
        <v>396.82539682539681</v>
      </c>
      <c r="W234">
        <f t="shared" si="83"/>
        <v>478.92720306513411</v>
      </c>
      <c r="X234">
        <f t="shared" si="84"/>
        <v>264.5502645502645</v>
      </c>
      <c r="Y234">
        <f t="shared" si="85"/>
        <v>1.8349701266863376</v>
      </c>
      <c r="Z234">
        <f t="shared" si="86"/>
        <v>0.40611015359999997</v>
      </c>
    </row>
    <row r="235" spans="1:26" hidden="1">
      <c r="A235">
        <v>10</v>
      </c>
      <c r="B235">
        <v>3</v>
      </c>
      <c r="C235" s="12">
        <v>7</v>
      </c>
      <c r="D235">
        <f t="shared" si="66"/>
        <v>300</v>
      </c>
      <c r="E235">
        <f t="shared" si="67"/>
        <v>180</v>
      </c>
      <c r="F235">
        <f t="shared" si="68"/>
        <v>14.49</v>
      </c>
      <c r="G235">
        <f t="shared" si="69"/>
        <v>0.18666666666666665</v>
      </c>
      <c r="H235">
        <f t="shared" si="70"/>
        <v>52.92</v>
      </c>
      <c r="I235">
        <f t="shared" si="71"/>
        <v>294</v>
      </c>
      <c r="J235">
        <f t="shared" si="72"/>
        <v>196</v>
      </c>
      <c r="K235">
        <f t="shared" si="73"/>
        <v>35.28</v>
      </c>
      <c r="L235">
        <f t="shared" si="74"/>
        <v>3.7043999999999997</v>
      </c>
      <c r="M235">
        <f t="shared" si="75"/>
        <v>3.8808000000000002</v>
      </c>
      <c r="N235">
        <f t="shared" si="76"/>
        <v>2.2226399999999997</v>
      </c>
      <c r="O235">
        <f t="shared" si="87"/>
        <v>3.1959529411764711</v>
      </c>
      <c r="P235">
        <f t="shared" si="77"/>
        <v>2.0410367170626347</v>
      </c>
      <c r="Q235">
        <f t="shared" si="78"/>
        <v>42</v>
      </c>
      <c r="R235">
        <f t="shared" si="79"/>
        <v>210</v>
      </c>
      <c r="S235">
        <f t="shared" si="80"/>
        <v>162.4</v>
      </c>
      <c r="T235">
        <f t="shared" si="81"/>
        <v>33.599999999999994</v>
      </c>
      <c r="U235">
        <f>I235*E235/'[1]Inverter Analysis'!$L$2</f>
        <v>126.81238904294929</v>
      </c>
      <c r="V235">
        <f t="shared" si="82"/>
        <v>408.16326530612247</v>
      </c>
      <c r="W235">
        <f t="shared" si="83"/>
        <v>492.61083743842363</v>
      </c>
      <c r="X235">
        <f t="shared" si="84"/>
        <v>272.10884353741494</v>
      </c>
      <c r="Y235">
        <f t="shared" si="85"/>
        <v>1.9413234972942803</v>
      </c>
      <c r="Z235">
        <f t="shared" si="86"/>
        <v>0.37319900625000008</v>
      </c>
    </row>
    <row r="236" spans="1:26" hidden="1">
      <c r="A236">
        <v>11</v>
      </c>
      <c r="B236">
        <v>3</v>
      </c>
      <c r="C236">
        <v>6</v>
      </c>
      <c r="D236">
        <f t="shared" si="66"/>
        <v>300</v>
      </c>
      <c r="E236">
        <f t="shared" si="67"/>
        <v>180</v>
      </c>
      <c r="F236">
        <f t="shared" si="68"/>
        <v>13.662000000000001</v>
      </c>
      <c r="G236">
        <f t="shared" si="69"/>
        <v>0.17599999999999999</v>
      </c>
      <c r="H236">
        <f t="shared" si="70"/>
        <v>49.896000000000001</v>
      </c>
      <c r="I236">
        <f t="shared" si="71"/>
        <v>277.2</v>
      </c>
      <c r="J236">
        <f t="shared" si="72"/>
        <v>184.79999999999998</v>
      </c>
      <c r="K236">
        <f t="shared" si="73"/>
        <v>33.264000000000003</v>
      </c>
      <c r="L236">
        <f t="shared" si="74"/>
        <v>3.4927200000000003</v>
      </c>
      <c r="M236">
        <f t="shared" si="75"/>
        <v>3.6590400000000001</v>
      </c>
      <c r="N236">
        <f t="shared" si="76"/>
        <v>2.0956320000000002</v>
      </c>
      <c r="O236">
        <f t="shared" si="87"/>
        <v>3.0133270588235299</v>
      </c>
      <c r="P236">
        <f t="shared" si="77"/>
        <v>2.2451403887688985</v>
      </c>
      <c r="Q236">
        <f t="shared" si="78"/>
        <v>46.199999999999996</v>
      </c>
      <c r="R236">
        <f t="shared" si="79"/>
        <v>198</v>
      </c>
      <c r="S236">
        <f t="shared" si="80"/>
        <v>153.11999999999998</v>
      </c>
      <c r="T236">
        <f t="shared" si="81"/>
        <v>31.68</v>
      </c>
      <c r="U236">
        <f>I236*E236/'[1]Inverter Analysis'!$L$2</f>
        <v>119.56596681192362</v>
      </c>
      <c r="V236">
        <f t="shared" si="82"/>
        <v>432.90043290043292</v>
      </c>
      <c r="W236">
        <f t="shared" si="83"/>
        <v>522.4660397074191</v>
      </c>
      <c r="X236">
        <f t="shared" si="84"/>
        <v>288.60028860028859</v>
      </c>
      <c r="Y236">
        <f t="shared" si="85"/>
        <v>2.1837661011804359</v>
      </c>
      <c r="Z236">
        <f t="shared" si="86"/>
        <v>0.31280822594999985</v>
      </c>
    </row>
    <row r="237" spans="1:26" hidden="1">
      <c r="A237">
        <v>13</v>
      </c>
      <c r="B237">
        <v>2</v>
      </c>
      <c r="C237" s="12">
        <v>7</v>
      </c>
      <c r="D237">
        <f t="shared" si="66"/>
        <v>200</v>
      </c>
      <c r="E237">
        <f t="shared" si="67"/>
        <v>120</v>
      </c>
      <c r="F237">
        <f t="shared" si="68"/>
        <v>12.558</v>
      </c>
      <c r="G237">
        <f t="shared" si="69"/>
        <v>0.36400000000000005</v>
      </c>
      <c r="H237">
        <f t="shared" si="70"/>
        <v>45.863999999999997</v>
      </c>
      <c r="I237">
        <f t="shared" si="71"/>
        <v>382.2</v>
      </c>
      <c r="J237">
        <f t="shared" si="72"/>
        <v>254.79999999999998</v>
      </c>
      <c r="K237">
        <f t="shared" si="73"/>
        <v>30.575999999999997</v>
      </c>
      <c r="L237">
        <f t="shared" si="74"/>
        <v>3.21048</v>
      </c>
      <c r="M237">
        <f t="shared" si="75"/>
        <v>3.3633600000000001</v>
      </c>
      <c r="N237">
        <f t="shared" si="76"/>
        <v>1.926288</v>
      </c>
      <c r="O237">
        <f t="shared" si="87"/>
        <v>2.7698258823529414</v>
      </c>
      <c r="P237">
        <f t="shared" si="77"/>
        <v>1.7688984881209502</v>
      </c>
      <c r="Q237">
        <f t="shared" si="78"/>
        <v>54.6</v>
      </c>
      <c r="R237">
        <f t="shared" si="79"/>
        <v>182</v>
      </c>
      <c r="S237">
        <f t="shared" si="80"/>
        <v>211.11999999999998</v>
      </c>
      <c r="T237">
        <f t="shared" si="81"/>
        <v>43.680000000000007</v>
      </c>
      <c r="U237">
        <f>I237*E237/'[1]Inverter Analysis'!$L$2</f>
        <v>109.90407050388939</v>
      </c>
      <c r="V237">
        <f t="shared" si="82"/>
        <v>313.97174254317116</v>
      </c>
      <c r="W237">
        <f t="shared" si="83"/>
        <v>378.93141341417208</v>
      </c>
      <c r="X237">
        <f t="shared" si="84"/>
        <v>209.31449502878075</v>
      </c>
      <c r="Y237">
        <f t="shared" si="85"/>
        <v>1.1487121285764976</v>
      </c>
      <c r="Z237">
        <f t="shared" si="86"/>
        <v>0.54661214448749984</v>
      </c>
    </row>
    <row r="238" spans="1:26" hidden="1">
      <c r="A238">
        <v>10</v>
      </c>
      <c r="B238">
        <v>2</v>
      </c>
      <c r="C238" s="12">
        <v>9</v>
      </c>
      <c r="D238">
        <f t="shared" si="66"/>
        <v>200</v>
      </c>
      <c r="E238">
        <f t="shared" si="67"/>
        <v>120</v>
      </c>
      <c r="F238">
        <f t="shared" si="68"/>
        <v>12.42</v>
      </c>
      <c r="G238">
        <f t="shared" si="69"/>
        <v>0.36</v>
      </c>
      <c r="H238">
        <f t="shared" si="70"/>
        <v>45.36</v>
      </c>
      <c r="I238">
        <f t="shared" si="71"/>
        <v>378</v>
      </c>
      <c r="J238">
        <f t="shared" si="72"/>
        <v>251.99999999999997</v>
      </c>
      <c r="K238">
        <f t="shared" si="73"/>
        <v>30.239999999999995</v>
      </c>
      <c r="L238">
        <f t="shared" si="74"/>
        <v>3.1752000000000002</v>
      </c>
      <c r="M238">
        <f t="shared" si="75"/>
        <v>3.3264</v>
      </c>
      <c r="N238">
        <f t="shared" si="76"/>
        <v>1.9051200000000001</v>
      </c>
      <c r="O238">
        <f t="shared" si="87"/>
        <v>2.7393882352941179</v>
      </c>
      <c r="P238">
        <f t="shared" si="77"/>
        <v>1.3606911447084231</v>
      </c>
      <c r="Q238">
        <f t="shared" si="78"/>
        <v>42</v>
      </c>
      <c r="R238">
        <f t="shared" si="79"/>
        <v>180</v>
      </c>
      <c r="S238">
        <f t="shared" si="80"/>
        <v>208.79999999999998</v>
      </c>
      <c r="T238">
        <f t="shared" si="81"/>
        <v>43.199999999999996</v>
      </c>
      <c r="U238">
        <f>I238*E238/'[1]Inverter Analysis'!$L$2</f>
        <v>108.69633346538509</v>
      </c>
      <c r="V238">
        <f t="shared" si="82"/>
        <v>317.46031746031747</v>
      </c>
      <c r="W238">
        <f t="shared" si="83"/>
        <v>383.14176245210729</v>
      </c>
      <c r="X238">
        <f t="shared" si="84"/>
        <v>211.64021164021165</v>
      </c>
      <c r="Y238">
        <f t="shared" si="85"/>
        <v>1.1743808810792562</v>
      </c>
      <c r="Z238">
        <f t="shared" si="86"/>
        <v>0.52878926250000002</v>
      </c>
    </row>
    <row r="239" spans="1:26" hidden="1">
      <c r="A239">
        <v>10</v>
      </c>
      <c r="B239">
        <v>3</v>
      </c>
      <c r="C239">
        <v>6</v>
      </c>
      <c r="D239">
        <f t="shared" si="66"/>
        <v>300</v>
      </c>
      <c r="E239">
        <f t="shared" si="67"/>
        <v>180</v>
      </c>
      <c r="F239">
        <f t="shared" si="68"/>
        <v>12.42</v>
      </c>
      <c r="G239">
        <f t="shared" si="69"/>
        <v>0.15999999999999998</v>
      </c>
      <c r="H239">
        <f t="shared" si="70"/>
        <v>45.36</v>
      </c>
      <c r="I239">
        <f t="shared" si="71"/>
        <v>252</v>
      </c>
      <c r="J239">
        <f t="shared" si="72"/>
        <v>168</v>
      </c>
      <c r="K239">
        <f t="shared" si="73"/>
        <v>30.24</v>
      </c>
      <c r="L239">
        <f t="shared" si="74"/>
        <v>3.1752000000000002</v>
      </c>
      <c r="M239">
        <f t="shared" si="75"/>
        <v>3.3264000000000005</v>
      </c>
      <c r="N239">
        <f t="shared" si="76"/>
        <v>1.9051199999999999</v>
      </c>
      <c r="O239">
        <f t="shared" si="87"/>
        <v>2.7393882352941183</v>
      </c>
      <c r="P239">
        <f t="shared" si="77"/>
        <v>2.0410367170626347</v>
      </c>
      <c r="Q239">
        <f t="shared" si="78"/>
        <v>42</v>
      </c>
      <c r="R239">
        <f t="shared" si="79"/>
        <v>180</v>
      </c>
      <c r="S239">
        <f t="shared" si="80"/>
        <v>139.19999999999999</v>
      </c>
      <c r="T239">
        <f t="shared" si="81"/>
        <v>28.799999999999997</v>
      </c>
      <c r="U239">
        <f>I239*E239/'[1]Inverter Analysis'!$L$2</f>
        <v>108.69633346538509</v>
      </c>
      <c r="V239">
        <f t="shared" si="82"/>
        <v>476.1904761904762</v>
      </c>
      <c r="W239">
        <f t="shared" si="83"/>
        <v>574.71264367816093</v>
      </c>
      <c r="X239">
        <f t="shared" si="84"/>
        <v>317.46031746031747</v>
      </c>
      <c r="Y239">
        <f t="shared" si="85"/>
        <v>2.6423569824283262</v>
      </c>
      <c r="Z239">
        <f t="shared" si="86"/>
        <v>0.23501744999999996</v>
      </c>
    </row>
    <row r="240" spans="1:26" hidden="1">
      <c r="A240">
        <v>15</v>
      </c>
      <c r="B240">
        <v>2</v>
      </c>
      <c r="C240">
        <v>6</v>
      </c>
      <c r="D240">
        <f t="shared" si="66"/>
        <v>200</v>
      </c>
      <c r="E240">
        <f t="shared" si="67"/>
        <v>120</v>
      </c>
      <c r="F240">
        <f t="shared" si="68"/>
        <v>12.42</v>
      </c>
      <c r="G240">
        <f t="shared" si="69"/>
        <v>0.36</v>
      </c>
      <c r="H240">
        <f t="shared" si="70"/>
        <v>45.36</v>
      </c>
      <c r="I240">
        <f t="shared" si="71"/>
        <v>378</v>
      </c>
      <c r="J240">
        <f t="shared" si="72"/>
        <v>251.99999999999997</v>
      </c>
      <c r="K240">
        <f t="shared" si="73"/>
        <v>30.239999999999995</v>
      </c>
      <c r="L240">
        <f t="shared" si="74"/>
        <v>3.1752000000000002</v>
      </c>
      <c r="M240">
        <f t="shared" si="75"/>
        <v>3.3264</v>
      </c>
      <c r="N240">
        <f t="shared" si="76"/>
        <v>1.9051200000000001</v>
      </c>
      <c r="O240">
        <f t="shared" si="87"/>
        <v>2.7393882352941179</v>
      </c>
      <c r="P240">
        <f t="shared" si="77"/>
        <v>2.0410367170626347</v>
      </c>
      <c r="Q240">
        <f t="shared" si="78"/>
        <v>63</v>
      </c>
      <c r="R240">
        <f t="shared" si="79"/>
        <v>180</v>
      </c>
      <c r="S240">
        <f t="shared" si="80"/>
        <v>208.79999999999998</v>
      </c>
      <c r="T240">
        <f t="shared" si="81"/>
        <v>43.199999999999996</v>
      </c>
      <c r="U240">
        <f>I240*E240/'[1]Inverter Analysis'!$L$2</f>
        <v>108.69633346538509</v>
      </c>
      <c r="V240">
        <f t="shared" si="82"/>
        <v>317.46031746031747</v>
      </c>
      <c r="W240">
        <f t="shared" si="83"/>
        <v>383.14176245210729</v>
      </c>
      <c r="X240">
        <f t="shared" si="84"/>
        <v>211.64021164021165</v>
      </c>
      <c r="Y240">
        <f t="shared" si="85"/>
        <v>1.1743808810792562</v>
      </c>
      <c r="Z240">
        <f t="shared" si="86"/>
        <v>0.52878926250000002</v>
      </c>
    </row>
    <row r="241" spans="1:26" hidden="1">
      <c r="A241">
        <v>11</v>
      </c>
      <c r="B241">
        <v>2</v>
      </c>
      <c r="C241" s="12">
        <v>8</v>
      </c>
      <c r="D241">
        <f t="shared" si="66"/>
        <v>200</v>
      </c>
      <c r="E241">
        <f t="shared" si="67"/>
        <v>120</v>
      </c>
      <c r="F241">
        <f t="shared" si="68"/>
        <v>12.144</v>
      </c>
      <c r="G241">
        <f t="shared" si="69"/>
        <v>0.35199999999999998</v>
      </c>
      <c r="H241">
        <f t="shared" si="70"/>
        <v>44.351999999999997</v>
      </c>
      <c r="I241">
        <f t="shared" si="71"/>
        <v>369.6</v>
      </c>
      <c r="J241">
        <f t="shared" si="72"/>
        <v>246.39999999999998</v>
      </c>
      <c r="K241">
        <f t="shared" si="73"/>
        <v>29.567999999999998</v>
      </c>
      <c r="L241">
        <f t="shared" si="74"/>
        <v>3.1046400000000003</v>
      </c>
      <c r="M241">
        <f t="shared" si="75"/>
        <v>3.2524800000000003</v>
      </c>
      <c r="N241">
        <f t="shared" si="76"/>
        <v>1.862784</v>
      </c>
      <c r="O241">
        <f t="shared" si="87"/>
        <v>2.678512941176471</v>
      </c>
      <c r="P241">
        <f t="shared" si="77"/>
        <v>1.4967602591792657</v>
      </c>
      <c r="Q241">
        <f t="shared" si="78"/>
        <v>46.2</v>
      </c>
      <c r="R241">
        <f t="shared" si="79"/>
        <v>176</v>
      </c>
      <c r="S241">
        <f t="shared" si="80"/>
        <v>204.15999999999997</v>
      </c>
      <c r="T241">
        <f t="shared" si="81"/>
        <v>42.239999999999995</v>
      </c>
      <c r="U241">
        <f>I241*E241/'[1]Inverter Analysis'!$L$2</f>
        <v>106.28085938837654</v>
      </c>
      <c r="V241">
        <f t="shared" si="82"/>
        <v>324.6753246753247</v>
      </c>
      <c r="W241">
        <f t="shared" si="83"/>
        <v>391.8495297805643</v>
      </c>
      <c r="X241">
        <f t="shared" si="84"/>
        <v>216.45021645021643</v>
      </c>
      <c r="Y241">
        <f t="shared" si="85"/>
        <v>1.2283684319139947</v>
      </c>
      <c r="Z241">
        <f t="shared" si="86"/>
        <v>0.49431423359999993</v>
      </c>
    </row>
    <row r="242" spans="1:26" hidden="1">
      <c r="A242">
        <v>12</v>
      </c>
      <c r="B242">
        <v>2</v>
      </c>
      <c r="C242" s="12">
        <v>7</v>
      </c>
      <c r="D242">
        <f t="shared" si="66"/>
        <v>200</v>
      </c>
      <c r="E242">
        <f t="shared" si="67"/>
        <v>120</v>
      </c>
      <c r="F242">
        <f t="shared" si="68"/>
        <v>11.592000000000001</v>
      </c>
      <c r="G242">
        <f t="shared" si="69"/>
        <v>0.33600000000000002</v>
      </c>
      <c r="H242">
        <f t="shared" si="70"/>
        <v>42.335999999999999</v>
      </c>
      <c r="I242">
        <f t="shared" si="71"/>
        <v>352.8</v>
      </c>
      <c r="J242">
        <f t="shared" si="72"/>
        <v>235.2</v>
      </c>
      <c r="K242">
        <f t="shared" si="73"/>
        <v>28.224</v>
      </c>
      <c r="L242">
        <f t="shared" si="74"/>
        <v>2.9635200000000004</v>
      </c>
      <c r="M242">
        <f t="shared" si="75"/>
        <v>3.1046400000000003</v>
      </c>
      <c r="N242">
        <f t="shared" si="76"/>
        <v>1.7781120000000001</v>
      </c>
      <c r="O242">
        <f t="shared" si="87"/>
        <v>2.5567623529411772</v>
      </c>
      <c r="P242">
        <f t="shared" si="77"/>
        <v>1.6328293736501081</v>
      </c>
      <c r="Q242">
        <f t="shared" si="78"/>
        <v>50.4</v>
      </c>
      <c r="R242">
        <f t="shared" si="79"/>
        <v>168</v>
      </c>
      <c r="S242">
        <f t="shared" si="80"/>
        <v>194.88</v>
      </c>
      <c r="T242">
        <f t="shared" si="81"/>
        <v>40.32</v>
      </c>
      <c r="U242">
        <f>I242*E242/'[1]Inverter Analysis'!$L$2</f>
        <v>101.44991123435943</v>
      </c>
      <c r="V242">
        <f t="shared" si="82"/>
        <v>340.13605442176873</v>
      </c>
      <c r="W242">
        <f t="shared" si="83"/>
        <v>410.50903119868639</v>
      </c>
      <c r="X242">
        <f t="shared" si="84"/>
        <v>226.75736961451247</v>
      </c>
      <c r="Y242">
        <f t="shared" si="85"/>
        <v>1.3481413175654724</v>
      </c>
      <c r="Z242">
        <f t="shared" si="86"/>
        <v>0.42992525519999997</v>
      </c>
    </row>
    <row r="243" spans="1:26" hidden="1">
      <c r="A243">
        <v>14</v>
      </c>
      <c r="B243">
        <v>2</v>
      </c>
      <c r="C243">
        <v>6</v>
      </c>
      <c r="D243">
        <f t="shared" si="66"/>
        <v>200</v>
      </c>
      <c r="E243">
        <f t="shared" si="67"/>
        <v>120</v>
      </c>
      <c r="F243">
        <f t="shared" si="68"/>
        <v>11.592000000000001</v>
      </c>
      <c r="G243">
        <f t="shared" si="69"/>
        <v>0.33600000000000002</v>
      </c>
      <c r="H243">
        <f t="shared" si="70"/>
        <v>42.335999999999999</v>
      </c>
      <c r="I243">
        <f t="shared" si="71"/>
        <v>352.8</v>
      </c>
      <c r="J243">
        <f t="shared" si="72"/>
        <v>235.2</v>
      </c>
      <c r="K243">
        <f t="shared" si="73"/>
        <v>28.224</v>
      </c>
      <c r="L243">
        <f t="shared" si="74"/>
        <v>2.9635200000000004</v>
      </c>
      <c r="M243">
        <f t="shared" si="75"/>
        <v>3.1046400000000003</v>
      </c>
      <c r="N243">
        <f t="shared" si="76"/>
        <v>1.7781120000000001</v>
      </c>
      <c r="O243">
        <f t="shared" si="87"/>
        <v>2.5567623529411772</v>
      </c>
      <c r="P243">
        <f t="shared" si="77"/>
        <v>1.9049676025917928</v>
      </c>
      <c r="Q243">
        <f t="shared" si="78"/>
        <v>58.800000000000004</v>
      </c>
      <c r="R243">
        <f t="shared" si="79"/>
        <v>168</v>
      </c>
      <c r="S243">
        <f t="shared" si="80"/>
        <v>194.88</v>
      </c>
      <c r="T243">
        <f t="shared" si="81"/>
        <v>40.32</v>
      </c>
      <c r="U243">
        <f>I243*E243/'[1]Inverter Analysis'!$L$2</f>
        <v>101.44991123435943</v>
      </c>
      <c r="V243">
        <f t="shared" si="82"/>
        <v>340.13605442176873</v>
      </c>
      <c r="W243">
        <f t="shared" si="83"/>
        <v>410.50903119868639</v>
      </c>
      <c r="X243">
        <f t="shared" si="84"/>
        <v>226.75736961451247</v>
      </c>
      <c r="Y243">
        <f t="shared" si="85"/>
        <v>1.3481413175654724</v>
      </c>
      <c r="Z243">
        <f t="shared" si="86"/>
        <v>0.42992525519999997</v>
      </c>
    </row>
    <row r="244" spans="1:26" hidden="1">
      <c r="A244">
        <v>10</v>
      </c>
      <c r="B244">
        <v>2</v>
      </c>
      <c r="C244" s="12">
        <v>8</v>
      </c>
      <c r="D244">
        <f t="shared" si="66"/>
        <v>200</v>
      </c>
      <c r="E244">
        <f t="shared" si="67"/>
        <v>120</v>
      </c>
      <c r="F244">
        <f t="shared" si="68"/>
        <v>11.04</v>
      </c>
      <c r="G244">
        <f t="shared" si="69"/>
        <v>0.32</v>
      </c>
      <c r="H244">
        <f t="shared" si="70"/>
        <v>40.32</v>
      </c>
      <c r="I244">
        <f t="shared" si="71"/>
        <v>336</v>
      </c>
      <c r="J244">
        <f t="shared" si="72"/>
        <v>224</v>
      </c>
      <c r="K244">
        <f t="shared" si="73"/>
        <v>26.88</v>
      </c>
      <c r="L244">
        <f t="shared" si="74"/>
        <v>2.8224</v>
      </c>
      <c r="M244">
        <f t="shared" si="75"/>
        <v>2.9568000000000003</v>
      </c>
      <c r="N244">
        <f t="shared" si="76"/>
        <v>1.6934400000000001</v>
      </c>
      <c r="O244">
        <f t="shared" si="87"/>
        <v>2.4350117647058829</v>
      </c>
      <c r="P244">
        <f t="shared" si="77"/>
        <v>1.3606911447084233</v>
      </c>
      <c r="Q244">
        <f t="shared" si="78"/>
        <v>42</v>
      </c>
      <c r="R244">
        <f t="shared" si="79"/>
        <v>160</v>
      </c>
      <c r="S244">
        <f t="shared" si="80"/>
        <v>185.6</v>
      </c>
      <c r="T244">
        <f t="shared" si="81"/>
        <v>38.4</v>
      </c>
      <c r="U244">
        <f>I244*E244/'[1]Inverter Analysis'!$L$2</f>
        <v>96.618963080342311</v>
      </c>
      <c r="V244">
        <f t="shared" si="82"/>
        <v>357.14285714285717</v>
      </c>
      <c r="W244">
        <f t="shared" si="83"/>
        <v>431.0344827586207</v>
      </c>
      <c r="X244">
        <f t="shared" si="84"/>
        <v>238.0952380952381</v>
      </c>
      <c r="Y244">
        <f t="shared" si="85"/>
        <v>1.4863258026159334</v>
      </c>
      <c r="Z244">
        <f t="shared" si="86"/>
        <v>0.37138559999999998</v>
      </c>
    </row>
    <row r="245" spans="1:26" hidden="1">
      <c r="A245">
        <v>13</v>
      </c>
      <c r="B245">
        <v>2</v>
      </c>
      <c r="C245">
        <v>6</v>
      </c>
      <c r="D245">
        <f t="shared" si="66"/>
        <v>200</v>
      </c>
      <c r="E245">
        <f t="shared" si="67"/>
        <v>120</v>
      </c>
      <c r="F245">
        <f t="shared" si="68"/>
        <v>10.763999999999999</v>
      </c>
      <c r="G245">
        <f t="shared" si="69"/>
        <v>0.31200000000000006</v>
      </c>
      <c r="H245">
        <f t="shared" si="70"/>
        <v>39.311999999999998</v>
      </c>
      <c r="I245">
        <f t="shared" si="71"/>
        <v>327.60000000000002</v>
      </c>
      <c r="J245">
        <f t="shared" si="72"/>
        <v>218.39999999999998</v>
      </c>
      <c r="K245">
        <f t="shared" si="73"/>
        <v>26.207999999999995</v>
      </c>
      <c r="L245">
        <f t="shared" si="74"/>
        <v>2.7518400000000001</v>
      </c>
      <c r="M245">
        <f t="shared" si="75"/>
        <v>2.8828800000000006</v>
      </c>
      <c r="N245">
        <f t="shared" si="76"/>
        <v>1.6511040000000001</v>
      </c>
      <c r="O245">
        <f t="shared" si="87"/>
        <v>2.374136470588236</v>
      </c>
      <c r="P245">
        <f t="shared" si="77"/>
        <v>1.7688984881209502</v>
      </c>
      <c r="Q245">
        <f t="shared" si="78"/>
        <v>54.6</v>
      </c>
      <c r="R245">
        <f t="shared" si="79"/>
        <v>156</v>
      </c>
      <c r="S245">
        <f t="shared" si="80"/>
        <v>180.95999999999998</v>
      </c>
      <c r="T245">
        <f t="shared" si="81"/>
        <v>37.440000000000005</v>
      </c>
      <c r="U245">
        <f>I245*E245/'[1]Inverter Analysis'!$L$2</f>
        <v>94.203489003333758</v>
      </c>
      <c r="V245">
        <f t="shared" si="82"/>
        <v>366.30036630036636</v>
      </c>
      <c r="W245">
        <f t="shared" si="83"/>
        <v>442.08664898320075</v>
      </c>
      <c r="X245">
        <f t="shared" si="84"/>
        <v>244.20024420024419</v>
      </c>
      <c r="Y245">
        <f t="shared" si="85"/>
        <v>1.5635248416735661</v>
      </c>
      <c r="Z245">
        <f t="shared" si="86"/>
        <v>0.34422222509999989</v>
      </c>
    </row>
    <row r="246" spans="1:26" hidden="1">
      <c r="A246">
        <v>11</v>
      </c>
      <c r="B246">
        <v>2</v>
      </c>
      <c r="C246" s="12">
        <v>7</v>
      </c>
      <c r="D246">
        <f t="shared" si="66"/>
        <v>200</v>
      </c>
      <c r="E246">
        <f t="shared" si="67"/>
        <v>120</v>
      </c>
      <c r="F246">
        <f t="shared" si="68"/>
        <v>10.625999999999999</v>
      </c>
      <c r="G246">
        <f t="shared" si="69"/>
        <v>0.308</v>
      </c>
      <c r="H246">
        <f t="shared" si="70"/>
        <v>38.808000000000007</v>
      </c>
      <c r="I246">
        <f t="shared" si="71"/>
        <v>323.40000000000003</v>
      </c>
      <c r="J246">
        <f t="shared" si="72"/>
        <v>215.6</v>
      </c>
      <c r="K246">
        <f t="shared" si="73"/>
        <v>25.872</v>
      </c>
      <c r="L246">
        <f t="shared" si="74"/>
        <v>2.7165600000000003</v>
      </c>
      <c r="M246">
        <f t="shared" si="75"/>
        <v>2.8459200000000004</v>
      </c>
      <c r="N246">
        <f t="shared" si="76"/>
        <v>1.6299360000000001</v>
      </c>
      <c r="O246">
        <f t="shared" si="87"/>
        <v>2.3436988235294125</v>
      </c>
      <c r="P246">
        <f t="shared" si="77"/>
        <v>1.4967602591792659</v>
      </c>
      <c r="Q246">
        <f t="shared" si="78"/>
        <v>46.2</v>
      </c>
      <c r="R246">
        <f t="shared" si="79"/>
        <v>154</v>
      </c>
      <c r="S246">
        <f t="shared" si="80"/>
        <v>178.64</v>
      </c>
      <c r="T246">
        <f t="shared" si="81"/>
        <v>36.96</v>
      </c>
      <c r="U246">
        <f>I246*E246/'[1]Inverter Analysis'!$L$2</f>
        <v>92.995751964829495</v>
      </c>
      <c r="V246">
        <f t="shared" si="82"/>
        <v>371.05751391465679</v>
      </c>
      <c r="W246">
        <f t="shared" si="83"/>
        <v>447.82803403493062</v>
      </c>
      <c r="X246">
        <f t="shared" si="84"/>
        <v>247.37167594310449</v>
      </c>
      <c r="Y246">
        <f t="shared" si="85"/>
        <v>1.6043995845407277</v>
      </c>
      <c r="Z246">
        <f t="shared" si="86"/>
        <v>0.33115191821249995</v>
      </c>
    </row>
    <row r="247" spans="1:26" hidden="1">
      <c r="A247">
        <v>12</v>
      </c>
      <c r="B247">
        <v>2</v>
      </c>
      <c r="C247">
        <v>6</v>
      </c>
      <c r="D247">
        <f t="shared" si="66"/>
        <v>200</v>
      </c>
      <c r="E247">
        <f t="shared" si="67"/>
        <v>120</v>
      </c>
      <c r="F247">
        <f t="shared" si="68"/>
        <v>9.9359999999999999</v>
      </c>
      <c r="G247">
        <f t="shared" si="69"/>
        <v>0.28800000000000003</v>
      </c>
      <c r="H247">
        <f t="shared" si="70"/>
        <v>36.288000000000004</v>
      </c>
      <c r="I247">
        <f t="shared" si="71"/>
        <v>302.40000000000003</v>
      </c>
      <c r="J247">
        <f t="shared" si="72"/>
        <v>201.6</v>
      </c>
      <c r="K247">
        <f t="shared" si="73"/>
        <v>24.192</v>
      </c>
      <c r="L247">
        <f t="shared" si="74"/>
        <v>2.5401600000000002</v>
      </c>
      <c r="M247">
        <f t="shared" si="75"/>
        <v>2.6611200000000004</v>
      </c>
      <c r="N247">
        <f t="shared" si="76"/>
        <v>1.5240960000000003</v>
      </c>
      <c r="O247">
        <f t="shared" si="87"/>
        <v>2.1915105882352948</v>
      </c>
      <c r="P247">
        <f t="shared" si="77"/>
        <v>1.6328293736501083</v>
      </c>
      <c r="Q247">
        <f t="shared" si="78"/>
        <v>50.400000000000006</v>
      </c>
      <c r="R247">
        <f t="shared" si="79"/>
        <v>144</v>
      </c>
      <c r="S247">
        <f t="shared" si="80"/>
        <v>167.04</v>
      </c>
      <c r="T247">
        <f t="shared" si="81"/>
        <v>34.56</v>
      </c>
      <c r="U247">
        <f>I247*E247/'[1]Inverter Analysis'!$L$2</f>
        <v>86.957066772308096</v>
      </c>
      <c r="V247">
        <f t="shared" si="82"/>
        <v>396.82539682539681</v>
      </c>
      <c r="W247">
        <f t="shared" si="83"/>
        <v>478.92720306513411</v>
      </c>
      <c r="X247">
        <f t="shared" si="84"/>
        <v>264.5502645502645</v>
      </c>
      <c r="Y247">
        <f t="shared" si="85"/>
        <v>1.8349701266863376</v>
      </c>
      <c r="Z247">
        <f t="shared" si="86"/>
        <v>0.27074010239999996</v>
      </c>
    </row>
    <row r="248" spans="1:26" hidden="1">
      <c r="A248">
        <v>10</v>
      </c>
      <c r="B248">
        <v>2</v>
      </c>
      <c r="C248" s="12">
        <v>7</v>
      </c>
      <c r="D248">
        <f t="shared" si="66"/>
        <v>200</v>
      </c>
      <c r="E248">
        <f t="shared" si="67"/>
        <v>120</v>
      </c>
      <c r="F248">
        <f t="shared" si="68"/>
        <v>9.66</v>
      </c>
      <c r="G248">
        <f t="shared" si="69"/>
        <v>0.28000000000000003</v>
      </c>
      <c r="H248">
        <f t="shared" si="70"/>
        <v>35.28</v>
      </c>
      <c r="I248">
        <f t="shared" si="71"/>
        <v>294</v>
      </c>
      <c r="J248">
        <f t="shared" si="72"/>
        <v>196</v>
      </c>
      <c r="K248">
        <f t="shared" si="73"/>
        <v>23.52</v>
      </c>
      <c r="L248">
        <f t="shared" si="74"/>
        <v>2.4695999999999998</v>
      </c>
      <c r="M248">
        <f t="shared" si="75"/>
        <v>2.5872000000000002</v>
      </c>
      <c r="N248">
        <f t="shared" si="76"/>
        <v>1.48176</v>
      </c>
      <c r="O248">
        <f t="shared" si="87"/>
        <v>2.1306352941176474</v>
      </c>
      <c r="P248">
        <f t="shared" si="77"/>
        <v>1.3606911447084233</v>
      </c>
      <c r="Q248">
        <f t="shared" si="78"/>
        <v>42</v>
      </c>
      <c r="R248">
        <f t="shared" si="79"/>
        <v>140</v>
      </c>
      <c r="S248">
        <f t="shared" si="80"/>
        <v>162.4</v>
      </c>
      <c r="T248">
        <f t="shared" si="81"/>
        <v>33.6</v>
      </c>
      <c r="U248">
        <f>I248*E248/'[1]Inverter Analysis'!$L$2</f>
        <v>84.541592695299528</v>
      </c>
      <c r="V248">
        <f t="shared" si="82"/>
        <v>408.16326530612247</v>
      </c>
      <c r="W248">
        <f t="shared" si="83"/>
        <v>492.61083743842363</v>
      </c>
      <c r="X248">
        <f t="shared" si="84"/>
        <v>272.10884353741494</v>
      </c>
      <c r="Y248">
        <f t="shared" si="85"/>
        <v>1.9413234972942803</v>
      </c>
      <c r="Z248">
        <f t="shared" si="86"/>
        <v>0.2487993375</v>
      </c>
    </row>
    <row r="249" spans="1:26" hidden="1">
      <c r="A249">
        <v>11</v>
      </c>
      <c r="B249">
        <v>2</v>
      </c>
      <c r="C249">
        <v>6</v>
      </c>
      <c r="D249">
        <f t="shared" si="66"/>
        <v>200</v>
      </c>
      <c r="E249">
        <f t="shared" si="67"/>
        <v>120</v>
      </c>
      <c r="F249">
        <f t="shared" si="68"/>
        <v>9.1080000000000005</v>
      </c>
      <c r="G249">
        <f t="shared" si="69"/>
        <v>0.26400000000000001</v>
      </c>
      <c r="H249">
        <f t="shared" si="70"/>
        <v>33.264000000000003</v>
      </c>
      <c r="I249">
        <f t="shared" si="71"/>
        <v>277.2</v>
      </c>
      <c r="J249">
        <f t="shared" si="72"/>
        <v>184.79999999999998</v>
      </c>
      <c r="K249">
        <f t="shared" si="73"/>
        <v>22.175999999999995</v>
      </c>
      <c r="L249">
        <f t="shared" si="74"/>
        <v>2.3284799999999999</v>
      </c>
      <c r="M249">
        <f t="shared" si="75"/>
        <v>2.4393600000000002</v>
      </c>
      <c r="N249">
        <f t="shared" si="76"/>
        <v>1.3970879999999999</v>
      </c>
      <c r="O249">
        <f t="shared" si="87"/>
        <v>2.0088847058823531</v>
      </c>
      <c r="P249">
        <f t="shared" si="77"/>
        <v>1.4967602591792655</v>
      </c>
      <c r="Q249">
        <f t="shared" si="78"/>
        <v>46.199999999999996</v>
      </c>
      <c r="R249">
        <f t="shared" si="79"/>
        <v>132</v>
      </c>
      <c r="S249">
        <f t="shared" si="80"/>
        <v>153.11999999999998</v>
      </c>
      <c r="T249">
        <f t="shared" si="81"/>
        <v>31.68</v>
      </c>
      <c r="U249">
        <f>I249*E249/'[1]Inverter Analysis'!$L$2</f>
        <v>79.710644541282406</v>
      </c>
      <c r="V249">
        <f t="shared" si="82"/>
        <v>432.90043290043292</v>
      </c>
      <c r="W249">
        <f t="shared" si="83"/>
        <v>522.4660397074191</v>
      </c>
      <c r="X249">
        <f t="shared" si="84"/>
        <v>288.60028860028859</v>
      </c>
      <c r="Y249">
        <f t="shared" si="85"/>
        <v>2.1837661011804359</v>
      </c>
      <c r="Z249">
        <f t="shared" si="86"/>
        <v>0.20853881729999993</v>
      </c>
    </row>
    <row r="250" spans="1:26" hidden="1">
      <c r="A250">
        <v>10</v>
      </c>
      <c r="B250">
        <v>2</v>
      </c>
      <c r="C250">
        <v>6</v>
      </c>
      <c r="D250">
        <f t="shared" si="66"/>
        <v>200</v>
      </c>
      <c r="E250">
        <f t="shared" si="67"/>
        <v>120</v>
      </c>
      <c r="F250">
        <f t="shared" si="68"/>
        <v>8.2799999999999994</v>
      </c>
      <c r="G250">
        <f t="shared" si="69"/>
        <v>0.24</v>
      </c>
      <c r="H250">
        <f t="shared" si="70"/>
        <v>30.24</v>
      </c>
      <c r="I250">
        <f t="shared" si="71"/>
        <v>252</v>
      </c>
      <c r="J250">
        <f t="shared" si="72"/>
        <v>168</v>
      </c>
      <c r="K250">
        <f t="shared" si="73"/>
        <v>20.16</v>
      </c>
      <c r="L250">
        <f t="shared" si="74"/>
        <v>2.1168</v>
      </c>
      <c r="M250">
        <f t="shared" si="75"/>
        <v>2.2176000000000005</v>
      </c>
      <c r="N250">
        <f t="shared" si="76"/>
        <v>1.2700799999999999</v>
      </c>
      <c r="O250">
        <f t="shared" si="87"/>
        <v>1.8262588235294124</v>
      </c>
      <c r="P250">
        <f t="shared" si="77"/>
        <v>1.3606911447084233</v>
      </c>
      <c r="Q250">
        <f t="shared" si="78"/>
        <v>42</v>
      </c>
      <c r="R250">
        <f t="shared" si="79"/>
        <v>120</v>
      </c>
      <c r="S250">
        <f t="shared" si="80"/>
        <v>139.19999999999999</v>
      </c>
      <c r="T250">
        <f t="shared" si="81"/>
        <v>28.799999999999997</v>
      </c>
      <c r="U250">
        <f>I250*E250/'[1]Inverter Analysis'!$L$2</f>
        <v>72.46422231025673</v>
      </c>
      <c r="V250">
        <f t="shared" si="82"/>
        <v>476.1904761904762</v>
      </c>
      <c r="W250">
        <f t="shared" si="83"/>
        <v>574.71264367816093</v>
      </c>
      <c r="X250">
        <f t="shared" si="84"/>
        <v>317.46031746031747</v>
      </c>
      <c r="Y250">
        <f t="shared" si="85"/>
        <v>2.6423569824283262</v>
      </c>
      <c r="Z250">
        <f t="shared" si="86"/>
        <v>0.15667829999999996</v>
      </c>
    </row>
  </sheetData>
  <autoFilter ref="A5:Z250" xr:uid="{E4F3EC7D-DDAD-40B5-AD52-3B61F23F0F33}">
    <filterColumn colId="8">
      <filters>
        <filter val="352.8"/>
        <filter val="369.6"/>
        <filter val="378"/>
        <filter val="382.2"/>
        <filter val="403.2"/>
        <filter val="411.6"/>
      </filters>
    </filterColumn>
    <filterColumn colId="14">
      <customFilters>
        <customFilter operator="greaterThan" val="4.5"/>
      </customFilters>
    </filterColumn>
    <sortState xmlns:xlrd2="http://schemas.microsoft.com/office/spreadsheetml/2017/richdata2" ref="A6:Z250">
      <sortCondition sortBy="cellColor" ref="I5:I201" dxfId="42"/>
    </sortState>
  </autoFilter>
  <mergeCells count="1">
    <mergeCell ref="Q1:S1"/>
  </mergeCells>
  <conditionalFormatting sqref="H6:H250">
    <cfRule type="cellIs" dxfId="51" priority="2" operator="between">
      <formula>70</formula>
      <formula>85</formula>
    </cfRule>
    <cfRule type="cellIs" dxfId="50" priority="3" operator="lessThan">
      <formula>70</formula>
    </cfRule>
    <cfRule type="cellIs" dxfId="49" priority="4" operator="greaterThan">
      <formula>85</formula>
    </cfRule>
  </conditionalFormatting>
  <conditionalFormatting sqref="I6:I250">
    <cfRule type="cellIs" dxfId="48" priority="1" operator="greaterThan">
      <formula>605</formula>
    </cfRule>
  </conditionalFormatting>
  <conditionalFormatting sqref="I5:K5">
    <cfRule type="cellIs" dxfId="47" priority="19" operator="between">
      <formula>400</formula>
      <formula>600</formula>
    </cfRule>
  </conditionalFormatting>
  <conditionalFormatting sqref="I5:K250">
    <cfRule type="cellIs" dxfId="46" priority="8" operator="lessThan">
      <formula>400</formula>
    </cfRule>
  </conditionalFormatting>
  <conditionalFormatting sqref="I6:K250">
    <cfRule type="cellIs" dxfId="45" priority="7" operator="between">
      <formula>400</formula>
      <formula>605</formula>
    </cfRule>
  </conditionalFormatting>
  <conditionalFormatting sqref="Q6:Q250">
    <cfRule type="cellIs" dxfId="44" priority="5" operator="lessThan">
      <formula>60</formula>
    </cfRule>
    <cfRule type="cellIs" dxfId="43" priority="6" operator="greaterThan">
      <formula>60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6195-5CC3-44AE-9652-9B86E78EB431}">
  <sheetPr filterMode="1"/>
  <dimension ref="A1:Z250"/>
  <sheetViews>
    <sheetView workbookViewId="0">
      <selection activeCell="K4" sqref="K4"/>
    </sheetView>
  </sheetViews>
  <sheetFormatPr defaultRowHeight="15"/>
  <cols>
    <col min="15" max="15" width="29.28515625" bestFit="1" customWidth="1"/>
    <col min="21" max="21" width="29.28515625" bestFit="1" customWidth="1"/>
    <col min="22" max="22" width="33.42578125" bestFit="1" customWidth="1"/>
    <col min="23" max="23" width="52.28515625" bestFit="1" customWidth="1"/>
  </cols>
  <sheetData>
    <row r="1" spans="1:26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6" t="s">
        <v>36</v>
      </c>
      <c r="R1" s="26"/>
      <c r="S1" s="26"/>
    </row>
    <row r="2" spans="1:26">
      <c r="A2" s="1" t="s">
        <v>37</v>
      </c>
      <c r="B2" s="1" t="s">
        <v>38</v>
      </c>
      <c r="C2" s="1" t="s">
        <v>39</v>
      </c>
      <c r="D2" s="1"/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3</v>
      </c>
      <c r="K2" s="1" t="s">
        <v>45</v>
      </c>
      <c r="L2" s="1" t="s">
        <v>46</v>
      </c>
      <c r="M2" s="1" t="s">
        <v>47</v>
      </c>
      <c r="N2" s="1" t="s">
        <v>49</v>
      </c>
      <c r="O2" s="1" t="s">
        <v>75</v>
      </c>
      <c r="P2" s="1" t="s">
        <v>76</v>
      </c>
      <c r="Q2" s="1" t="s">
        <v>51</v>
      </c>
      <c r="R2" s="1" t="s">
        <v>52</v>
      </c>
      <c r="S2" s="1" t="s">
        <v>53</v>
      </c>
    </row>
    <row r="3" spans="1:26">
      <c r="A3" s="2" t="s">
        <v>29</v>
      </c>
      <c r="B3" s="2" t="s">
        <v>55</v>
      </c>
      <c r="C3" s="2">
        <v>21700</v>
      </c>
      <c r="D3" s="2"/>
      <c r="E3" s="2">
        <v>2024</v>
      </c>
      <c r="F3" s="2" t="s">
        <v>56</v>
      </c>
      <c r="G3" s="2" t="s">
        <v>57</v>
      </c>
      <c r="H3">
        <v>5000</v>
      </c>
      <c r="I3">
        <v>60</v>
      </c>
      <c r="J3" s="2">
        <v>90</v>
      </c>
      <c r="K3" s="2">
        <v>2.8</v>
      </c>
      <c r="L3" s="2">
        <v>4.2</v>
      </c>
      <c r="M3" s="2">
        <v>2.5</v>
      </c>
      <c r="N3">
        <v>4850</v>
      </c>
      <c r="O3">
        <v>4578</v>
      </c>
      <c r="P3">
        <v>2150</v>
      </c>
      <c r="Q3">
        <v>70</v>
      </c>
      <c r="R3">
        <v>2.1999999999999999E-2</v>
      </c>
      <c r="S3" s="4">
        <v>5</v>
      </c>
    </row>
    <row r="4" spans="1:26">
      <c r="A4" s="1" t="s">
        <v>58</v>
      </c>
    </row>
    <row r="5" spans="1:26">
      <c r="A5" s="3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80</v>
      </c>
      <c r="N5" s="1" t="s">
        <v>81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20</v>
      </c>
      <c r="Y5" s="1" t="s">
        <v>22</v>
      </c>
      <c r="Z5" s="1" t="s">
        <v>23</v>
      </c>
    </row>
    <row r="6" spans="1:26" hidden="1">
      <c r="A6">
        <v>12</v>
      </c>
      <c r="B6" s="12">
        <v>6</v>
      </c>
      <c r="C6" s="12">
        <v>12</v>
      </c>
      <c r="D6">
        <f t="shared" ref="D6:D69" si="0">B6*$J$3</f>
        <v>540</v>
      </c>
      <c r="E6">
        <f t="shared" ref="E6:E69" si="1">B6*$I$3</f>
        <v>360</v>
      </c>
      <c r="F6">
        <f t="shared" ref="F6:F69" si="2">A6*B6*C6*$Q$3/1000</f>
        <v>60.48</v>
      </c>
      <c r="G6">
        <f t="shared" ref="G6:G69" si="3">((B6*$R$3^(-1))^(-1))*A6*C6</f>
        <v>0.52800000000000002</v>
      </c>
      <c r="H6">
        <f t="shared" ref="H6:H69" si="4">E6*I6/1000</f>
        <v>217.72800000000004</v>
      </c>
      <c r="I6">
        <f t="shared" ref="I6:I69" si="5">A6*C6*4.2</f>
        <v>604.80000000000007</v>
      </c>
      <c r="J6">
        <f t="shared" ref="J6:J69" si="6">C6*A6*$K$3</f>
        <v>403.2</v>
      </c>
      <c r="K6">
        <f t="shared" ref="K6:K69" si="7">E6*J6/1000</f>
        <v>145.15199999999999</v>
      </c>
      <c r="L6">
        <f t="shared" ref="L6:L69" si="8">$N$3/1000*I6*B6/1000</f>
        <v>17.599679999999999</v>
      </c>
      <c r="M6">
        <f t="shared" ref="M6:M69" si="9">$O$3/1000*I6*B6/1000</f>
        <v>16.612646400000006</v>
      </c>
      <c r="N6">
        <f t="shared" ref="N6:N69" si="10">$P$3/1000*I6*B6/1000</f>
        <v>7.8019200000000009</v>
      </c>
      <c r="O6">
        <f>M6*(($L$3-$K$3)/($L$3-$M$3))</f>
        <v>13.681002917647065</v>
      </c>
      <c r="P6">
        <f t="shared" ref="P6:P69" si="11">$H$3/1000*B6*I6/277.8/C6</f>
        <v>5.4427645788336934</v>
      </c>
      <c r="Q6">
        <f t="shared" ref="Q6:Q69" si="12">I6/C6</f>
        <v>50.400000000000006</v>
      </c>
      <c r="R6">
        <f t="shared" ref="R6:R69" si="13">(A6*B6*C6)</f>
        <v>864</v>
      </c>
      <c r="S6">
        <f t="shared" ref="S6:S69" si="14">J6-(G6*E6)</f>
        <v>213.11999999999998</v>
      </c>
      <c r="T6">
        <f t="shared" ref="T6:T69" si="15">G6*E6</f>
        <v>190.08</v>
      </c>
      <c r="U6">
        <f>I6*E6/'[1]Inverter Analysis'!$L$2</f>
        <v>521.74240063384855</v>
      </c>
      <c r="V6">
        <f t="shared" ref="V6:V69" si="16">80000/J6</f>
        <v>198.4126984126984</v>
      </c>
      <c r="W6">
        <f t="shared" ref="W6:W69" si="17">80000/S6</f>
        <v>375.37537537537543</v>
      </c>
      <c r="X6">
        <f t="shared" ref="X6:X69" si="18">80000/I6</f>
        <v>132.27513227513225</v>
      </c>
      <c r="Y6">
        <f t="shared" ref="Y6:Y69" si="19">(MAX(V6:X6)^2)*$R$3/1000</f>
        <v>3.0999467936404876</v>
      </c>
      <c r="Z6">
        <f t="shared" ref="Z6:Z69" si="20">($S$3*F6/(Y6*1000))*10</f>
        <v>0.97550061381818165</v>
      </c>
    </row>
    <row r="7" spans="1:26" hidden="1">
      <c r="A7" s="8">
        <v>16</v>
      </c>
      <c r="B7" s="12">
        <v>6</v>
      </c>
      <c r="C7" s="12">
        <v>9</v>
      </c>
      <c r="D7">
        <f t="shared" si="0"/>
        <v>540</v>
      </c>
      <c r="E7">
        <f t="shared" si="1"/>
        <v>360</v>
      </c>
      <c r="F7">
        <f t="shared" si="2"/>
        <v>60.48</v>
      </c>
      <c r="G7">
        <f t="shared" si="3"/>
        <v>0.52800000000000002</v>
      </c>
      <c r="H7">
        <f t="shared" si="4"/>
        <v>217.72800000000004</v>
      </c>
      <c r="I7">
        <f t="shared" si="5"/>
        <v>604.80000000000007</v>
      </c>
      <c r="J7">
        <f t="shared" si="6"/>
        <v>403.2</v>
      </c>
      <c r="K7">
        <f t="shared" si="7"/>
        <v>145.15199999999999</v>
      </c>
      <c r="L7">
        <f t="shared" si="8"/>
        <v>17.599679999999999</v>
      </c>
      <c r="M7">
        <f t="shared" si="9"/>
        <v>16.612646400000006</v>
      </c>
      <c r="N7">
        <f t="shared" si="10"/>
        <v>7.8019200000000009</v>
      </c>
      <c r="O7">
        <f t="shared" ref="O7:O70" si="21">M7*(($L$3-$K$3)/($L$3-$M$3))</f>
        <v>13.681002917647065</v>
      </c>
      <c r="P7">
        <f t="shared" si="11"/>
        <v>7.2570194384449245</v>
      </c>
      <c r="Q7">
        <f t="shared" si="12"/>
        <v>67.2</v>
      </c>
      <c r="R7">
        <f t="shared" si="13"/>
        <v>864</v>
      </c>
      <c r="S7">
        <f t="shared" si="14"/>
        <v>213.11999999999998</v>
      </c>
      <c r="T7">
        <f t="shared" si="15"/>
        <v>190.08</v>
      </c>
      <c r="U7">
        <f>I7*E7/'[1]Inverter Analysis'!$L$2</f>
        <v>521.74240063384855</v>
      </c>
      <c r="V7">
        <f t="shared" si="16"/>
        <v>198.4126984126984</v>
      </c>
      <c r="W7">
        <f t="shared" si="17"/>
        <v>375.37537537537543</v>
      </c>
      <c r="X7">
        <f t="shared" si="18"/>
        <v>132.27513227513225</v>
      </c>
      <c r="Y7">
        <f t="shared" si="19"/>
        <v>3.0999467936404876</v>
      </c>
      <c r="Z7">
        <f t="shared" si="20"/>
        <v>0.97550061381818165</v>
      </c>
    </row>
    <row r="8" spans="1:26" hidden="1">
      <c r="A8">
        <v>13</v>
      </c>
      <c r="B8" s="12">
        <v>6</v>
      </c>
      <c r="C8" s="12">
        <v>11</v>
      </c>
      <c r="D8">
        <f t="shared" si="0"/>
        <v>540</v>
      </c>
      <c r="E8">
        <f t="shared" si="1"/>
        <v>360</v>
      </c>
      <c r="F8">
        <f t="shared" si="2"/>
        <v>60.06</v>
      </c>
      <c r="G8">
        <f t="shared" si="3"/>
        <v>0.52433333333333332</v>
      </c>
      <c r="H8">
        <f t="shared" si="4"/>
        <v>216.21600000000001</v>
      </c>
      <c r="I8">
        <f t="shared" si="5"/>
        <v>600.6</v>
      </c>
      <c r="J8">
        <f t="shared" si="6"/>
        <v>400.4</v>
      </c>
      <c r="K8">
        <f t="shared" si="7"/>
        <v>144.14400000000001</v>
      </c>
      <c r="L8">
        <f t="shared" si="8"/>
        <v>17.477460000000001</v>
      </c>
      <c r="M8">
        <f t="shared" si="9"/>
        <v>16.497280800000002</v>
      </c>
      <c r="N8">
        <f t="shared" si="10"/>
        <v>7.7477399999999994</v>
      </c>
      <c r="O8">
        <f t="shared" si="21"/>
        <v>13.585995952941179</v>
      </c>
      <c r="P8">
        <f t="shared" si="11"/>
        <v>5.8963282937365014</v>
      </c>
      <c r="Q8">
        <f t="shared" si="12"/>
        <v>54.6</v>
      </c>
      <c r="R8">
        <f t="shared" si="13"/>
        <v>858</v>
      </c>
      <c r="S8">
        <f t="shared" si="14"/>
        <v>211.64</v>
      </c>
      <c r="T8">
        <f t="shared" si="15"/>
        <v>188.76</v>
      </c>
      <c r="U8">
        <f>I8*E8/'[1]Inverter Analysis'!$L$2</f>
        <v>518.1191895183357</v>
      </c>
      <c r="V8">
        <f t="shared" si="16"/>
        <v>199.80019980019981</v>
      </c>
      <c r="W8">
        <f t="shared" si="17"/>
        <v>378.00037800037802</v>
      </c>
      <c r="X8">
        <f t="shared" si="18"/>
        <v>133.20013320013319</v>
      </c>
      <c r="Y8">
        <f t="shared" si="19"/>
        <v>3.1434542869054307</v>
      </c>
      <c r="Z8">
        <f t="shared" si="20"/>
        <v>0.95531848912499995</v>
      </c>
    </row>
    <row r="9" spans="1:26" hidden="1">
      <c r="A9">
        <v>14</v>
      </c>
      <c r="B9" s="12">
        <v>6</v>
      </c>
      <c r="C9" s="12">
        <v>10</v>
      </c>
      <c r="D9">
        <f t="shared" si="0"/>
        <v>540</v>
      </c>
      <c r="E9">
        <f t="shared" si="1"/>
        <v>360</v>
      </c>
      <c r="F9">
        <f t="shared" si="2"/>
        <v>58.8</v>
      </c>
      <c r="G9">
        <f t="shared" si="3"/>
        <v>0.51333333333333331</v>
      </c>
      <c r="H9">
        <f t="shared" si="4"/>
        <v>211.68</v>
      </c>
      <c r="I9">
        <f t="shared" si="5"/>
        <v>588</v>
      </c>
      <c r="J9">
        <f t="shared" si="6"/>
        <v>392</v>
      </c>
      <c r="K9">
        <f t="shared" si="7"/>
        <v>141.12</v>
      </c>
      <c r="L9">
        <f t="shared" si="8"/>
        <v>17.110799999999998</v>
      </c>
      <c r="M9">
        <f t="shared" si="9"/>
        <v>16.151184000000001</v>
      </c>
      <c r="N9">
        <f t="shared" si="10"/>
        <v>7.5852000000000004</v>
      </c>
      <c r="O9">
        <f t="shared" si="21"/>
        <v>13.30097505882353</v>
      </c>
      <c r="P9">
        <f t="shared" si="11"/>
        <v>6.3498920086393085</v>
      </c>
      <c r="Q9">
        <f t="shared" si="12"/>
        <v>58.8</v>
      </c>
      <c r="R9">
        <f t="shared" si="13"/>
        <v>840</v>
      </c>
      <c r="S9">
        <f t="shared" si="14"/>
        <v>207.20000000000002</v>
      </c>
      <c r="T9">
        <f t="shared" si="15"/>
        <v>184.79999999999998</v>
      </c>
      <c r="U9">
        <f>I9*E9/'[1]Inverter Analysis'!$L$2</f>
        <v>507.24955617179717</v>
      </c>
      <c r="V9">
        <f t="shared" si="16"/>
        <v>204.08163265306123</v>
      </c>
      <c r="W9">
        <f t="shared" si="17"/>
        <v>386.10038610038606</v>
      </c>
      <c r="X9">
        <f t="shared" si="18"/>
        <v>136.05442176870747</v>
      </c>
      <c r="Y9">
        <f t="shared" si="19"/>
        <v>3.279617179231078</v>
      </c>
      <c r="Z9">
        <f t="shared" si="20"/>
        <v>0.89644609090909111</v>
      </c>
    </row>
    <row r="10" spans="1:26" hidden="1">
      <c r="A10" s="8">
        <v>15</v>
      </c>
      <c r="B10" s="12">
        <v>6</v>
      </c>
      <c r="C10" s="12">
        <v>9</v>
      </c>
      <c r="D10">
        <f t="shared" si="0"/>
        <v>540</v>
      </c>
      <c r="E10">
        <f t="shared" si="1"/>
        <v>360</v>
      </c>
      <c r="F10">
        <f t="shared" si="2"/>
        <v>56.7</v>
      </c>
      <c r="G10">
        <f t="shared" si="3"/>
        <v>0.495</v>
      </c>
      <c r="H10">
        <f t="shared" si="4"/>
        <v>204.12</v>
      </c>
      <c r="I10">
        <f t="shared" si="5"/>
        <v>567</v>
      </c>
      <c r="J10">
        <f t="shared" si="6"/>
        <v>378</v>
      </c>
      <c r="K10">
        <f t="shared" si="7"/>
        <v>136.08000000000001</v>
      </c>
      <c r="L10">
        <f t="shared" si="8"/>
        <v>16.499699999999997</v>
      </c>
      <c r="M10">
        <f t="shared" si="9"/>
        <v>15.574356</v>
      </c>
      <c r="N10">
        <f t="shared" si="10"/>
        <v>7.3142999999999994</v>
      </c>
      <c r="O10">
        <f t="shared" si="21"/>
        <v>12.825940235294119</v>
      </c>
      <c r="P10">
        <f t="shared" si="11"/>
        <v>6.8034557235421165</v>
      </c>
      <c r="Q10">
        <f t="shared" si="12"/>
        <v>63</v>
      </c>
      <c r="R10">
        <f t="shared" si="13"/>
        <v>810</v>
      </c>
      <c r="S10">
        <f t="shared" si="14"/>
        <v>199.8</v>
      </c>
      <c r="T10">
        <f t="shared" si="15"/>
        <v>178.2</v>
      </c>
      <c r="U10">
        <f>I10*E10/'[1]Inverter Analysis'!$L$2</f>
        <v>489.13350059423294</v>
      </c>
      <c r="V10">
        <f t="shared" si="16"/>
        <v>211.64021164021165</v>
      </c>
      <c r="W10">
        <f t="shared" si="17"/>
        <v>400.40040040040037</v>
      </c>
      <c r="X10">
        <f t="shared" si="18"/>
        <v>141.09347442680777</v>
      </c>
      <c r="Y10">
        <f t="shared" si="19"/>
        <v>3.5270505740976206</v>
      </c>
      <c r="Z10">
        <f t="shared" si="20"/>
        <v>0.80378773721590924</v>
      </c>
    </row>
    <row r="11" spans="1:26" hidden="1">
      <c r="A11">
        <v>11</v>
      </c>
      <c r="B11" s="12">
        <v>6</v>
      </c>
      <c r="C11" s="12">
        <v>12</v>
      </c>
      <c r="D11">
        <f t="shared" si="0"/>
        <v>540</v>
      </c>
      <c r="E11">
        <f t="shared" si="1"/>
        <v>360</v>
      </c>
      <c r="F11">
        <f t="shared" si="2"/>
        <v>55.44</v>
      </c>
      <c r="G11">
        <f t="shared" si="3"/>
        <v>0.48399999999999999</v>
      </c>
      <c r="H11">
        <f t="shared" si="4"/>
        <v>199.584</v>
      </c>
      <c r="I11">
        <f t="shared" si="5"/>
        <v>554.4</v>
      </c>
      <c r="J11">
        <f t="shared" si="6"/>
        <v>369.59999999999997</v>
      </c>
      <c r="K11">
        <f t="shared" si="7"/>
        <v>133.05600000000001</v>
      </c>
      <c r="L11">
        <f t="shared" si="8"/>
        <v>16.133039999999998</v>
      </c>
      <c r="M11">
        <f t="shared" si="9"/>
        <v>15.2282592</v>
      </c>
      <c r="N11">
        <f t="shared" si="10"/>
        <v>7.1517599999999986</v>
      </c>
      <c r="O11">
        <f t="shared" si="21"/>
        <v>12.540919341176473</v>
      </c>
      <c r="P11">
        <f t="shared" si="11"/>
        <v>4.9892008639308854</v>
      </c>
      <c r="Q11">
        <f t="shared" si="12"/>
        <v>46.199999999999996</v>
      </c>
      <c r="R11">
        <f t="shared" si="13"/>
        <v>792</v>
      </c>
      <c r="S11">
        <f t="shared" si="14"/>
        <v>195.35999999999996</v>
      </c>
      <c r="T11">
        <f t="shared" si="15"/>
        <v>174.24</v>
      </c>
      <c r="U11">
        <f>I11*E11/'[1]Inverter Analysis'!$L$2</f>
        <v>478.26386724769446</v>
      </c>
      <c r="V11">
        <f t="shared" si="16"/>
        <v>216.45021645021646</v>
      </c>
      <c r="W11">
        <f t="shared" si="17"/>
        <v>409.5004095004096</v>
      </c>
      <c r="X11">
        <f t="shared" si="18"/>
        <v>144.3001443001443</v>
      </c>
      <c r="Y11">
        <f t="shared" si="19"/>
        <v>3.6891928783820691</v>
      </c>
      <c r="Z11">
        <f t="shared" si="20"/>
        <v>0.75138386399999968</v>
      </c>
    </row>
    <row r="12" spans="1:26" hidden="1">
      <c r="A12">
        <v>12</v>
      </c>
      <c r="B12" s="12">
        <v>6</v>
      </c>
      <c r="C12" s="12">
        <v>11</v>
      </c>
      <c r="D12">
        <f t="shared" si="0"/>
        <v>540</v>
      </c>
      <c r="E12">
        <f t="shared" si="1"/>
        <v>360</v>
      </c>
      <c r="F12">
        <f t="shared" si="2"/>
        <v>55.44</v>
      </c>
      <c r="G12">
        <f t="shared" si="3"/>
        <v>0.48399999999999999</v>
      </c>
      <c r="H12">
        <f t="shared" si="4"/>
        <v>199.584</v>
      </c>
      <c r="I12">
        <f t="shared" si="5"/>
        <v>554.4</v>
      </c>
      <c r="J12">
        <f t="shared" si="6"/>
        <v>369.59999999999997</v>
      </c>
      <c r="K12">
        <f t="shared" si="7"/>
        <v>133.05600000000001</v>
      </c>
      <c r="L12">
        <f t="shared" si="8"/>
        <v>16.133039999999998</v>
      </c>
      <c r="M12">
        <f t="shared" si="9"/>
        <v>15.2282592</v>
      </c>
      <c r="N12">
        <f t="shared" si="10"/>
        <v>7.1517599999999986</v>
      </c>
      <c r="O12">
        <f t="shared" si="21"/>
        <v>12.540919341176473</v>
      </c>
      <c r="P12">
        <f t="shared" si="11"/>
        <v>5.4427645788336925</v>
      </c>
      <c r="Q12">
        <f t="shared" si="12"/>
        <v>50.4</v>
      </c>
      <c r="R12">
        <f t="shared" si="13"/>
        <v>792</v>
      </c>
      <c r="S12">
        <f t="shared" si="14"/>
        <v>195.35999999999996</v>
      </c>
      <c r="T12">
        <f t="shared" si="15"/>
        <v>174.24</v>
      </c>
      <c r="U12">
        <f>I12*E12/'[1]Inverter Analysis'!$L$2</f>
        <v>478.26386724769446</v>
      </c>
      <c r="V12">
        <f t="shared" si="16"/>
        <v>216.45021645021646</v>
      </c>
      <c r="W12">
        <f t="shared" si="17"/>
        <v>409.5004095004096</v>
      </c>
      <c r="X12">
        <f t="shared" si="18"/>
        <v>144.3001443001443</v>
      </c>
      <c r="Y12">
        <f t="shared" si="19"/>
        <v>3.6891928783820691</v>
      </c>
      <c r="Z12">
        <f t="shared" si="20"/>
        <v>0.75138386399999968</v>
      </c>
    </row>
    <row r="13" spans="1:26" hidden="1">
      <c r="A13">
        <v>13</v>
      </c>
      <c r="B13" s="12">
        <v>6</v>
      </c>
      <c r="C13" s="12">
        <v>10</v>
      </c>
      <c r="D13">
        <f t="shared" si="0"/>
        <v>540</v>
      </c>
      <c r="E13">
        <f t="shared" si="1"/>
        <v>360</v>
      </c>
      <c r="F13">
        <f t="shared" si="2"/>
        <v>54.6</v>
      </c>
      <c r="G13">
        <f t="shared" si="3"/>
        <v>0.47666666666666663</v>
      </c>
      <c r="H13">
        <f t="shared" si="4"/>
        <v>196.56</v>
      </c>
      <c r="I13">
        <f t="shared" si="5"/>
        <v>546</v>
      </c>
      <c r="J13">
        <f t="shared" si="6"/>
        <v>364</v>
      </c>
      <c r="K13">
        <f t="shared" si="7"/>
        <v>131.04</v>
      </c>
      <c r="L13">
        <f t="shared" si="8"/>
        <v>15.888599999999999</v>
      </c>
      <c r="M13">
        <f t="shared" si="9"/>
        <v>14.997528000000003</v>
      </c>
      <c r="N13">
        <f t="shared" si="10"/>
        <v>7.0433999999999992</v>
      </c>
      <c r="O13">
        <f t="shared" si="21"/>
        <v>12.350905411764709</v>
      </c>
      <c r="P13">
        <f t="shared" si="11"/>
        <v>5.8963282937365005</v>
      </c>
      <c r="Q13">
        <f t="shared" si="12"/>
        <v>54.6</v>
      </c>
      <c r="R13">
        <f t="shared" si="13"/>
        <v>780</v>
      </c>
      <c r="S13">
        <f t="shared" si="14"/>
        <v>192.4</v>
      </c>
      <c r="T13">
        <f t="shared" si="15"/>
        <v>171.6</v>
      </c>
      <c r="U13">
        <f>I13*E13/'[1]Inverter Analysis'!$L$2</f>
        <v>471.01744501666877</v>
      </c>
      <c r="V13">
        <f t="shared" si="16"/>
        <v>219.78021978021977</v>
      </c>
      <c r="W13">
        <f t="shared" si="17"/>
        <v>415.80041580041581</v>
      </c>
      <c r="X13">
        <f t="shared" si="18"/>
        <v>146.52014652014651</v>
      </c>
      <c r="Y13">
        <f t="shared" si="19"/>
        <v>3.8035796871555707</v>
      </c>
      <c r="Z13">
        <f t="shared" si="20"/>
        <v>0.71774492045454541</v>
      </c>
    </row>
    <row r="14" spans="1:26" hidden="1">
      <c r="A14" s="8">
        <v>16</v>
      </c>
      <c r="B14" s="12">
        <v>6</v>
      </c>
      <c r="C14" s="12">
        <v>8</v>
      </c>
      <c r="D14">
        <f t="shared" si="0"/>
        <v>540</v>
      </c>
      <c r="E14">
        <f t="shared" si="1"/>
        <v>360</v>
      </c>
      <c r="F14">
        <f t="shared" si="2"/>
        <v>53.76</v>
      </c>
      <c r="G14">
        <f t="shared" si="3"/>
        <v>0.46933333333333332</v>
      </c>
      <c r="H14">
        <f t="shared" si="4"/>
        <v>193.536</v>
      </c>
      <c r="I14">
        <f t="shared" si="5"/>
        <v>537.6</v>
      </c>
      <c r="J14">
        <f t="shared" si="6"/>
        <v>358.4</v>
      </c>
      <c r="K14">
        <f t="shared" si="7"/>
        <v>129.02399999999997</v>
      </c>
      <c r="L14">
        <f t="shared" si="8"/>
        <v>15.644159999999999</v>
      </c>
      <c r="M14">
        <f t="shared" si="9"/>
        <v>14.766796800000002</v>
      </c>
      <c r="N14">
        <f t="shared" si="10"/>
        <v>6.935039999999999</v>
      </c>
      <c r="O14">
        <f t="shared" si="21"/>
        <v>12.160891482352943</v>
      </c>
      <c r="P14">
        <f t="shared" si="11"/>
        <v>7.2570194384449245</v>
      </c>
      <c r="Q14">
        <f t="shared" si="12"/>
        <v>67.2</v>
      </c>
      <c r="R14">
        <f t="shared" si="13"/>
        <v>768</v>
      </c>
      <c r="S14">
        <f t="shared" si="14"/>
        <v>189.43999999999997</v>
      </c>
      <c r="T14">
        <f t="shared" si="15"/>
        <v>168.96</v>
      </c>
      <c r="U14">
        <f>I14*E14/'[1]Inverter Analysis'!$L$2</f>
        <v>463.77102278564308</v>
      </c>
      <c r="V14">
        <f t="shared" si="16"/>
        <v>223.21428571428572</v>
      </c>
      <c r="W14">
        <f t="shared" si="17"/>
        <v>422.29729729729735</v>
      </c>
      <c r="X14">
        <f t="shared" si="18"/>
        <v>148.8095238095238</v>
      </c>
      <c r="Y14">
        <f t="shared" si="19"/>
        <v>3.9233701607012428</v>
      </c>
      <c r="Z14">
        <f t="shared" si="20"/>
        <v>0.6851252596363635</v>
      </c>
    </row>
    <row r="15" spans="1:26" hidden="1">
      <c r="A15">
        <v>14</v>
      </c>
      <c r="B15" s="12">
        <v>6</v>
      </c>
      <c r="C15" s="12">
        <v>9</v>
      </c>
      <c r="D15">
        <f t="shared" si="0"/>
        <v>540</v>
      </c>
      <c r="E15">
        <f t="shared" si="1"/>
        <v>360</v>
      </c>
      <c r="F15">
        <f t="shared" si="2"/>
        <v>52.92</v>
      </c>
      <c r="G15">
        <f t="shared" si="3"/>
        <v>0.46200000000000002</v>
      </c>
      <c r="H15">
        <f t="shared" si="4"/>
        <v>190.51200000000003</v>
      </c>
      <c r="I15">
        <f t="shared" si="5"/>
        <v>529.20000000000005</v>
      </c>
      <c r="J15">
        <f t="shared" si="6"/>
        <v>352.79999999999995</v>
      </c>
      <c r="K15">
        <f t="shared" si="7"/>
        <v>127.00799999999998</v>
      </c>
      <c r="L15">
        <f t="shared" si="8"/>
        <v>15.399719999999999</v>
      </c>
      <c r="M15">
        <f t="shared" si="9"/>
        <v>14.536065600000002</v>
      </c>
      <c r="N15">
        <f t="shared" si="10"/>
        <v>6.8266800000000005</v>
      </c>
      <c r="O15">
        <f t="shared" si="21"/>
        <v>11.970877552941179</v>
      </c>
      <c r="P15">
        <f t="shared" si="11"/>
        <v>6.3498920086393094</v>
      </c>
      <c r="Q15">
        <f t="shared" si="12"/>
        <v>58.800000000000004</v>
      </c>
      <c r="R15">
        <f t="shared" si="13"/>
        <v>756</v>
      </c>
      <c r="S15">
        <f t="shared" si="14"/>
        <v>186.47999999999993</v>
      </c>
      <c r="T15">
        <f t="shared" si="15"/>
        <v>166.32000000000002</v>
      </c>
      <c r="U15">
        <f>I15*E15/'[1]Inverter Analysis'!$L$2</f>
        <v>456.52460055461751</v>
      </c>
      <c r="V15">
        <f t="shared" si="16"/>
        <v>226.7573696145125</v>
      </c>
      <c r="W15">
        <f t="shared" si="17"/>
        <v>429.00042900042916</v>
      </c>
      <c r="X15">
        <f t="shared" si="18"/>
        <v>151.17157974300829</v>
      </c>
      <c r="Y15">
        <f t="shared" si="19"/>
        <v>4.0489100978161501</v>
      </c>
      <c r="Z15">
        <f t="shared" si="20"/>
        <v>0.65350920027272674</v>
      </c>
    </row>
    <row r="16" spans="1:26" hidden="1">
      <c r="A16">
        <v>11</v>
      </c>
      <c r="B16" s="12">
        <v>6</v>
      </c>
      <c r="C16" s="12">
        <v>11</v>
      </c>
      <c r="D16">
        <f t="shared" si="0"/>
        <v>540</v>
      </c>
      <c r="E16">
        <f t="shared" si="1"/>
        <v>360</v>
      </c>
      <c r="F16">
        <f t="shared" si="2"/>
        <v>50.82</v>
      </c>
      <c r="G16">
        <f t="shared" si="3"/>
        <v>0.44366666666666665</v>
      </c>
      <c r="H16">
        <f t="shared" si="4"/>
        <v>182.95200000000003</v>
      </c>
      <c r="I16">
        <f t="shared" si="5"/>
        <v>508.20000000000005</v>
      </c>
      <c r="J16">
        <f t="shared" si="6"/>
        <v>338.79999999999995</v>
      </c>
      <c r="K16">
        <f t="shared" si="7"/>
        <v>121.96799999999999</v>
      </c>
      <c r="L16">
        <f t="shared" si="8"/>
        <v>14.788619999999998</v>
      </c>
      <c r="M16">
        <f t="shared" si="9"/>
        <v>13.959237600000003</v>
      </c>
      <c r="N16">
        <f t="shared" si="10"/>
        <v>6.5557800000000004</v>
      </c>
      <c r="O16">
        <f t="shared" si="21"/>
        <v>11.495842729411768</v>
      </c>
      <c r="P16">
        <f t="shared" si="11"/>
        <v>4.9892008639308862</v>
      </c>
      <c r="Q16">
        <f t="shared" si="12"/>
        <v>46.2</v>
      </c>
      <c r="R16">
        <f t="shared" si="13"/>
        <v>726</v>
      </c>
      <c r="S16">
        <f t="shared" si="14"/>
        <v>179.07999999999996</v>
      </c>
      <c r="T16">
        <f t="shared" si="15"/>
        <v>159.72</v>
      </c>
      <c r="U16">
        <f>I16*E16/'[1]Inverter Analysis'!$L$2</f>
        <v>438.40854497705334</v>
      </c>
      <c r="V16">
        <f t="shared" si="16"/>
        <v>236.12750885478161</v>
      </c>
      <c r="W16">
        <f t="shared" si="17"/>
        <v>446.72771945499227</v>
      </c>
      <c r="X16">
        <f t="shared" si="18"/>
        <v>157.41833923652104</v>
      </c>
      <c r="Y16">
        <f t="shared" si="19"/>
        <v>4.3904444172480819</v>
      </c>
      <c r="Z16">
        <f t="shared" si="20"/>
        <v>0.5787568998749999</v>
      </c>
    </row>
    <row r="17" spans="1:26" hidden="1">
      <c r="A17">
        <v>12</v>
      </c>
      <c r="B17" s="9">
        <v>5</v>
      </c>
      <c r="C17">
        <v>12</v>
      </c>
      <c r="D17">
        <f t="shared" si="0"/>
        <v>450</v>
      </c>
      <c r="E17">
        <f t="shared" si="1"/>
        <v>300</v>
      </c>
      <c r="F17">
        <f t="shared" si="2"/>
        <v>50.4</v>
      </c>
      <c r="G17">
        <f t="shared" si="3"/>
        <v>0.63359999999999994</v>
      </c>
      <c r="H17">
        <f t="shared" si="4"/>
        <v>181.44000000000003</v>
      </c>
      <c r="I17">
        <f t="shared" si="5"/>
        <v>604.80000000000007</v>
      </c>
      <c r="J17">
        <f t="shared" si="6"/>
        <v>403.2</v>
      </c>
      <c r="K17">
        <f t="shared" si="7"/>
        <v>120.96</v>
      </c>
      <c r="L17">
        <f t="shared" si="8"/>
        <v>14.666400000000001</v>
      </c>
      <c r="M17">
        <f t="shared" si="9"/>
        <v>13.843872000000003</v>
      </c>
      <c r="N17">
        <f t="shared" si="10"/>
        <v>6.5016000000000007</v>
      </c>
      <c r="O17">
        <f t="shared" si="21"/>
        <v>11.400835764705885</v>
      </c>
      <c r="P17">
        <f t="shared" si="11"/>
        <v>4.5356371490280782</v>
      </c>
      <c r="Q17">
        <f t="shared" si="12"/>
        <v>50.400000000000006</v>
      </c>
      <c r="R17">
        <f t="shared" si="13"/>
        <v>720</v>
      </c>
      <c r="S17">
        <f t="shared" si="14"/>
        <v>213.12</v>
      </c>
      <c r="T17">
        <f t="shared" si="15"/>
        <v>190.07999999999998</v>
      </c>
      <c r="U17">
        <f>I17*E17/'[1]Inverter Analysis'!$L$2</f>
        <v>434.78533386154049</v>
      </c>
      <c r="V17">
        <f t="shared" si="16"/>
        <v>198.4126984126984</v>
      </c>
      <c r="W17">
        <f t="shared" si="17"/>
        <v>375.37537537537537</v>
      </c>
      <c r="X17">
        <f t="shared" si="18"/>
        <v>132.27513227513225</v>
      </c>
      <c r="Y17">
        <f t="shared" si="19"/>
        <v>3.0999467936404872</v>
      </c>
      <c r="Z17">
        <f t="shared" si="20"/>
        <v>0.8129171781818183</v>
      </c>
    </row>
    <row r="18" spans="1:26" hidden="1">
      <c r="A18" s="8">
        <v>16</v>
      </c>
      <c r="B18" s="9">
        <v>5</v>
      </c>
      <c r="C18" s="12">
        <v>9</v>
      </c>
      <c r="D18">
        <f t="shared" si="0"/>
        <v>450</v>
      </c>
      <c r="E18">
        <f t="shared" si="1"/>
        <v>300</v>
      </c>
      <c r="F18">
        <f t="shared" si="2"/>
        <v>50.4</v>
      </c>
      <c r="G18">
        <f t="shared" si="3"/>
        <v>0.63359999999999994</v>
      </c>
      <c r="H18">
        <f t="shared" si="4"/>
        <v>181.44000000000003</v>
      </c>
      <c r="I18">
        <f t="shared" si="5"/>
        <v>604.80000000000007</v>
      </c>
      <c r="J18">
        <f t="shared" si="6"/>
        <v>403.2</v>
      </c>
      <c r="K18">
        <f t="shared" si="7"/>
        <v>120.96</v>
      </c>
      <c r="L18">
        <f t="shared" si="8"/>
        <v>14.666400000000001</v>
      </c>
      <c r="M18">
        <f t="shared" si="9"/>
        <v>13.843872000000003</v>
      </c>
      <c r="N18">
        <f t="shared" si="10"/>
        <v>6.5016000000000007</v>
      </c>
      <c r="O18">
        <f t="shared" si="21"/>
        <v>11.400835764705885</v>
      </c>
      <c r="P18">
        <f t="shared" si="11"/>
        <v>6.0475161987041046</v>
      </c>
      <c r="Q18">
        <f t="shared" si="12"/>
        <v>67.2</v>
      </c>
      <c r="R18">
        <f t="shared" si="13"/>
        <v>720</v>
      </c>
      <c r="S18">
        <f t="shared" si="14"/>
        <v>213.12</v>
      </c>
      <c r="T18">
        <f t="shared" si="15"/>
        <v>190.07999999999998</v>
      </c>
      <c r="U18">
        <f>I18*E18/'[1]Inverter Analysis'!$L$2</f>
        <v>434.78533386154049</v>
      </c>
      <c r="V18">
        <f t="shared" si="16"/>
        <v>198.4126984126984</v>
      </c>
      <c r="W18">
        <f t="shared" si="17"/>
        <v>375.37537537537537</v>
      </c>
      <c r="X18">
        <f t="shared" si="18"/>
        <v>132.27513227513225</v>
      </c>
      <c r="Y18">
        <f t="shared" si="19"/>
        <v>3.0999467936404872</v>
      </c>
      <c r="Z18">
        <f t="shared" si="20"/>
        <v>0.8129171781818183</v>
      </c>
    </row>
    <row r="19" spans="1:26" hidden="1">
      <c r="A19">
        <v>10</v>
      </c>
      <c r="B19" s="12">
        <v>6</v>
      </c>
      <c r="C19" s="12">
        <v>12</v>
      </c>
      <c r="D19">
        <f t="shared" si="0"/>
        <v>540</v>
      </c>
      <c r="E19">
        <f t="shared" si="1"/>
        <v>360</v>
      </c>
      <c r="F19">
        <f t="shared" si="2"/>
        <v>50.4</v>
      </c>
      <c r="G19">
        <f t="shared" si="3"/>
        <v>0.44</v>
      </c>
      <c r="H19">
        <f t="shared" si="4"/>
        <v>181.44</v>
      </c>
      <c r="I19">
        <f t="shared" si="5"/>
        <v>504</v>
      </c>
      <c r="J19">
        <f t="shared" si="6"/>
        <v>336</v>
      </c>
      <c r="K19">
        <f t="shared" si="7"/>
        <v>120.96</v>
      </c>
      <c r="L19">
        <f t="shared" si="8"/>
        <v>14.666399999999998</v>
      </c>
      <c r="M19">
        <f t="shared" si="9"/>
        <v>13.843872000000003</v>
      </c>
      <c r="N19">
        <f t="shared" si="10"/>
        <v>6.5015999999999998</v>
      </c>
      <c r="O19">
        <f t="shared" si="21"/>
        <v>11.400835764705885</v>
      </c>
      <c r="P19">
        <f t="shared" si="11"/>
        <v>4.5356371490280774</v>
      </c>
      <c r="Q19">
        <f t="shared" si="12"/>
        <v>42</v>
      </c>
      <c r="R19">
        <f t="shared" si="13"/>
        <v>720</v>
      </c>
      <c r="S19">
        <f t="shared" si="14"/>
        <v>177.6</v>
      </c>
      <c r="T19">
        <f t="shared" si="15"/>
        <v>158.4</v>
      </c>
      <c r="U19">
        <f>I19*E19/'[1]Inverter Analysis'!$L$2</f>
        <v>434.78533386154038</v>
      </c>
      <c r="V19">
        <f t="shared" si="16"/>
        <v>238.0952380952381</v>
      </c>
      <c r="W19">
        <f t="shared" si="17"/>
        <v>450.45045045045049</v>
      </c>
      <c r="X19">
        <f t="shared" si="18"/>
        <v>158.73015873015873</v>
      </c>
      <c r="Y19">
        <f t="shared" si="19"/>
        <v>4.4639233828423022</v>
      </c>
      <c r="Z19">
        <f t="shared" si="20"/>
        <v>0.56452581818181813</v>
      </c>
    </row>
    <row r="20" spans="1:26" hidden="1">
      <c r="A20">
        <v>12</v>
      </c>
      <c r="B20" s="12">
        <v>6</v>
      </c>
      <c r="C20" s="12">
        <v>10</v>
      </c>
      <c r="D20">
        <f t="shared" si="0"/>
        <v>540</v>
      </c>
      <c r="E20">
        <f t="shared" si="1"/>
        <v>360</v>
      </c>
      <c r="F20">
        <f t="shared" si="2"/>
        <v>50.4</v>
      </c>
      <c r="G20">
        <f t="shared" si="3"/>
        <v>0.43999999999999995</v>
      </c>
      <c r="H20">
        <f t="shared" si="4"/>
        <v>181.44</v>
      </c>
      <c r="I20">
        <f t="shared" si="5"/>
        <v>504</v>
      </c>
      <c r="J20">
        <f t="shared" si="6"/>
        <v>336</v>
      </c>
      <c r="K20">
        <f t="shared" si="7"/>
        <v>120.96</v>
      </c>
      <c r="L20">
        <f t="shared" si="8"/>
        <v>14.666399999999998</v>
      </c>
      <c r="M20">
        <f t="shared" si="9"/>
        <v>13.843872000000003</v>
      </c>
      <c r="N20">
        <f t="shared" si="10"/>
        <v>6.5015999999999998</v>
      </c>
      <c r="O20">
        <f t="shared" si="21"/>
        <v>11.400835764705885</v>
      </c>
      <c r="P20">
        <f t="shared" si="11"/>
        <v>5.4427645788336934</v>
      </c>
      <c r="Q20">
        <f t="shared" si="12"/>
        <v>50.4</v>
      </c>
      <c r="R20">
        <f t="shared" si="13"/>
        <v>720</v>
      </c>
      <c r="S20">
        <f t="shared" si="14"/>
        <v>177.60000000000002</v>
      </c>
      <c r="T20">
        <f t="shared" si="15"/>
        <v>158.39999999999998</v>
      </c>
      <c r="U20">
        <f>I20*E20/'[1]Inverter Analysis'!$L$2</f>
        <v>434.78533386154038</v>
      </c>
      <c r="V20">
        <f t="shared" si="16"/>
        <v>238.0952380952381</v>
      </c>
      <c r="W20">
        <f t="shared" si="17"/>
        <v>450.45045045045038</v>
      </c>
      <c r="X20">
        <f t="shared" si="18"/>
        <v>158.73015873015873</v>
      </c>
      <c r="Y20">
        <f t="shared" si="19"/>
        <v>4.4639233828422995</v>
      </c>
      <c r="Z20">
        <f t="shared" si="20"/>
        <v>0.56452581818181846</v>
      </c>
    </row>
    <row r="21" spans="1:26" hidden="1">
      <c r="A21" s="8">
        <v>15</v>
      </c>
      <c r="B21" s="12">
        <v>6</v>
      </c>
      <c r="C21" s="12">
        <v>8</v>
      </c>
      <c r="D21">
        <f t="shared" si="0"/>
        <v>540</v>
      </c>
      <c r="E21">
        <f t="shared" si="1"/>
        <v>360</v>
      </c>
      <c r="F21">
        <f t="shared" si="2"/>
        <v>50.4</v>
      </c>
      <c r="G21">
        <f t="shared" si="3"/>
        <v>0.44</v>
      </c>
      <c r="H21">
        <f t="shared" si="4"/>
        <v>181.44</v>
      </c>
      <c r="I21">
        <f t="shared" si="5"/>
        <v>504</v>
      </c>
      <c r="J21">
        <f t="shared" si="6"/>
        <v>336</v>
      </c>
      <c r="K21">
        <f t="shared" si="7"/>
        <v>120.96</v>
      </c>
      <c r="L21">
        <f t="shared" si="8"/>
        <v>14.666399999999998</v>
      </c>
      <c r="M21">
        <f t="shared" si="9"/>
        <v>13.843872000000003</v>
      </c>
      <c r="N21">
        <f t="shared" si="10"/>
        <v>6.5015999999999998</v>
      </c>
      <c r="O21">
        <f t="shared" si="21"/>
        <v>11.400835764705885</v>
      </c>
      <c r="P21">
        <f t="shared" si="11"/>
        <v>6.8034557235421165</v>
      </c>
      <c r="Q21">
        <f t="shared" si="12"/>
        <v>63</v>
      </c>
      <c r="R21">
        <f t="shared" si="13"/>
        <v>720</v>
      </c>
      <c r="S21">
        <f t="shared" si="14"/>
        <v>177.6</v>
      </c>
      <c r="T21">
        <f t="shared" si="15"/>
        <v>158.4</v>
      </c>
      <c r="U21">
        <f>I21*E21/'[1]Inverter Analysis'!$L$2</f>
        <v>434.78533386154038</v>
      </c>
      <c r="V21">
        <f t="shared" si="16"/>
        <v>238.0952380952381</v>
      </c>
      <c r="W21">
        <f t="shared" si="17"/>
        <v>450.45045045045049</v>
      </c>
      <c r="X21">
        <f t="shared" si="18"/>
        <v>158.73015873015873</v>
      </c>
      <c r="Y21">
        <f t="shared" si="19"/>
        <v>4.4639233828423022</v>
      </c>
      <c r="Z21">
        <f t="shared" si="20"/>
        <v>0.56452581818181813</v>
      </c>
    </row>
    <row r="22" spans="1:26" hidden="1">
      <c r="A22">
        <v>13</v>
      </c>
      <c r="B22" s="9">
        <v>5</v>
      </c>
      <c r="C22" s="12">
        <v>11</v>
      </c>
      <c r="D22">
        <f t="shared" si="0"/>
        <v>450</v>
      </c>
      <c r="E22">
        <f t="shared" si="1"/>
        <v>300</v>
      </c>
      <c r="F22">
        <f t="shared" si="2"/>
        <v>50.05</v>
      </c>
      <c r="G22">
        <f t="shared" si="3"/>
        <v>0.62919999999999998</v>
      </c>
      <c r="H22">
        <f t="shared" si="4"/>
        <v>180.18</v>
      </c>
      <c r="I22">
        <f t="shared" si="5"/>
        <v>600.6</v>
      </c>
      <c r="J22">
        <f t="shared" si="6"/>
        <v>400.4</v>
      </c>
      <c r="K22">
        <f t="shared" si="7"/>
        <v>120.12</v>
      </c>
      <c r="L22">
        <f t="shared" si="8"/>
        <v>14.564549999999999</v>
      </c>
      <c r="M22">
        <f t="shared" si="9"/>
        <v>13.747734000000001</v>
      </c>
      <c r="N22">
        <f t="shared" si="10"/>
        <v>6.4564500000000002</v>
      </c>
      <c r="O22">
        <f t="shared" si="21"/>
        <v>11.321663294117648</v>
      </c>
      <c r="P22">
        <f t="shared" si="11"/>
        <v>4.9136069114470837</v>
      </c>
      <c r="Q22">
        <f t="shared" si="12"/>
        <v>54.6</v>
      </c>
      <c r="R22">
        <f t="shared" si="13"/>
        <v>715</v>
      </c>
      <c r="S22">
        <f t="shared" si="14"/>
        <v>211.64</v>
      </c>
      <c r="T22">
        <f t="shared" si="15"/>
        <v>188.76</v>
      </c>
      <c r="U22">
        <f>I22*E22/'[1]Inverter Analysis'!$L$2</f>
        <v>431.76599126527969</v>
      </c>
      <c r="V22">
        <f t="shared" si="16"/>
        <v>199.80019980019981</v>
      </c>
      <c r="W22">
        <f t="shared" si="17"/>
        <v>378.00037800037802</v>
      </c>
      <c r="X22">
        <f t="shared" si="18"/>
        <v>133.20013320013319</v>
      </c>
      <c r="Y22">
        <f t="shared" si="19"/>
        <v>3.1434542869054307</v>
      </c>
      <c r="Z22">
        <f t="shared" si="20"/>
        <v>0.79609874093749988</v>
      </c>
    </row>
    <row r="23" spans="1:26" hidden="1">
      <c r="A23">
        <v>13</v>
      </c>
      <c r="B23" s="12">
        <v>6</v>
      </c>
      <c r="C23" s="12">
        <v>9</v>
      </c>
      <c r="D23">
        <f t="shared" si="0"/>
        <v>540</v>
      </c>
      <c r="E23">
        <f t="shared" si="1"/>
        <v>360</v>
      </c>
      <c r="F23">
        <f t="shared" si="2"/>
        <v>49.14</v>
      </c>
      <c r="G23">
        <f t="shared" si="3"/>
        <v>0.42899999999999994</v>
      </c>
      <c r="H23">
        <f t="shared" si="4"/>
        <v>176.904</v>
      </c>
      <c r="I23">
        <f t="shared" si="5"/>
        <v>491.40000000000003</v>
      </c>
      <c r="J23">
        <f t="shared" si="6"/>
        <v>327.59999999999997</v>
      </c>
      <c r="K23">
        <f t="shared" si="7"/>
        <v>117.93599999999998</v>
      </c>
      <c r="L23">
        <f t="shared" si="8"/>
        <v>14.29974</v>
      </c>
      <c r="M23">
        <f t="shared" si="9"/>
        <v>13.497775200000001</v>
      </c>
      <c r="N23">
        <f t="shared" si="10"/>
        <v>6.3390599999999999</v>
      </c>
      <c r="O23">
        <f t="shared" si="21"/>
        <v>11.115814870588236</v>
      </c>
      <c r="P23">
        <f t="shared" si="11"/>
        <v>5.8963282937365014</v>
      </c>
      <c r="Q23">
        <f t="shared" si="12"/>
        <v>54.6</v>
      </c>
      <c r="R23">
        <f t="shared" si="13"/>
        <v>702</v>
      </c>
      <c r="S23">
        <f t="shared" si="14"/>
        <v>173.16</v>
      </c>
      <c r="T23">
        <f t="shared" si="15"/>
        <v>154.43999999999997</v>
      </c>
      <c r="U23">
        <f>I23*E23/'[1]Inverter Analysis'!$L$2</f>
        <v>423.9157005150019</v>
      </c>
      <c r="V23">
        <f t="shared" si="16"/>
        <v>244.20024420024421</v>
      </c>
      <c r="W23">
        <f t="shared" si="17"/>
        <v>462.00046200046199</v>
      </c>
      <c r="X23">
        <f t="shared" si="18"/>
        <v>162.80016280016278</v>
      </c>
      <c r="Y23">
        <f t="shared" si="19"/>
        <v>4.6957773915500862</v>
      </c>
      <c r="Z23">
        <f t="shared" si="20"/>
        <v>0.52323604701136373</v>
      </c>
    </row>
    <row r="24" spans="1:26" hidden="1">
      <c r="A24">
        <v>14</v>
      </c>
      <c r="B24" s="9">
        <v>5</v>
      </c>
      <c r="C24" s="12">
        <v>10</v>
      </c>
      <c r="D24">
        <f t="shared" si="0"/>
        <v>450</v>
      </c>
      <c r="E24">
        <f t="shared" si="1"/>
        <v>300</v>
      </c>
      <c r="F24">
        <f t="shared" si="2"/>
        <v>49</v>
      </c>
      <c r="G24">
        <f t="shared" si="3"/>
        <v>0.61599999999999988</v>
      </c>
      <c r="H24">
        <f t="shared" si="4"/>
        <v>176.4</v>
      </c>
      <c r="I24">
        <f t="shared" si="5"/>
        <v>588</v>
      </c>
      <c r="J24">
        <f t="shared" si="6"/>
        <v>392</v>
      </c>
      <c r="K24">
        <f t="shared" si="7"/>
        <v>117.6</v>
      </c>
      <c r="L24">
        <f t="shared" si="8"/>
        <v>14.258999999999999</v>
      </c>
      <c r="M24">
        <f t="shared" si="9"/>
        <v>13.45932</v>
      </c>
      <c r="N24">
        <f t="shared" si="10"/>
        <v>6.3209999999999997</v>
      </c>
      <c r="O24">
        <f t="shared" si="21"/>
        <v>11.084145882352942</v>
      </c>
      <c r="P24">
        <f t="shared" si="11"/>
        <v>5.291576673866091</v>
      </c>
      <c r="Q24">
        <f t="shared" si="12"/>
        <v>58.8</v>
      </c>
      <c r="R24">
        <f t="shared" si="13"/>
        <v>700</v>
      </c>
      <c r="S24">
        <f t="shared" si="14"/>
        <v>207.20000000000005</v>
      </c>
      <c r="T24">
        <f t="shared" si="15"/>
        <v>184.79999999999995</v>
      </c>
      <c r="U24">
        <f>I24*E24/'[1]Inverter Analysis'!$L$2</f>
        <v>422.70796347649764</v>
      </c>
      <c r="V24">
        <f t="shared" si="16"/>
        <v>204.08163265306123</v>
      </c>
      <c r="W24">
        <f t="shared" si="17"/>
        <v>386.100386100386</v>
      </c>
      <c r="X24">
        <f t="shared" si="18"/>
        <v>136.05442176870747</v>
      </c>
      <c r="Y24">
        <f t="shared" si="19"/>
        <v>3.2796171792310775</v>
      </c>
      <c r="Z24">
        <f t="shared" si="20"/>
        <v>0.74703840909090935</v>
      </c>
    </row>
    <row r="25" spans="1:26" hidden="1">
      <c r="A25" s="8">
        <v>15</v>
      </c>
      <c r="B25" s="9">
        <v>5</v>
      </c>
      <c r="C25" s="12">
        <v>9</v>
      </c>
      <c r="D25">
        <f t="shared" si="0"/>
        <v>450</v>
      </c>
      <c r="E25">
        <f t="shared" si="1"/>
        <v>300</v>
      </c>
      <c r="F25">
        <f t="shared" si="2"/>
        <v>47.25</v>
      </c>
      <c r="G25">
        <f t="shared" si="3"/>
        <v>0.59399999999999986</v>
      </c>
      <c r="H25">
        <f t="shared" si="4"/>
        <v>170.1</v>
      </c>
      <c r="I25">
        <f t="shared" si="5"/>
        <v>567</v>
      </c>
      <c r="J25">
        <f t="shared" si="6"/>
        <v>378</v>
      </c>
      <c r="K25">
        <f t="shared" si="7"/>
        <v>113.4</v>
      </c>
      <c r="L25">
        <f t="shared" si="8"/>
        <v>13.749750000000001</v>
      </c>
      <c r="M25">
        <f t="shared" si="9"/>
        <v>12.978630000000001</v>
      </c>
      <c r="N25">
        <f t="shared" si="10"/>
        <v>6.0952500000000001</v>
      </c>
      <c r="O25">
        <f t="shared" si="21"/>
        <v>10.688283529411766</v>
      </c>
      <c r="P25">
        <f t="shared" si="11"/>
        <v>5.6695464362850974</v>
      </c>
      <c r="Q25">
        <f t="shared" si="12"/>
        <v>63</v>
      </c>
      <c r="R25">
        <f t="shared" si="13"/>
        <v>675</v>
      </c>
      <c r="S25">
        <f t="shared" si="14"/>
        <v>199.80000000000004</v>
      </c>
      <c r="T25">
        <f t="shared" si="15"/>
        <v>178.19999999999996</v>
      </c>
      <c r="U25">
        <f>I25*E25/'[1]Inverter Analysis'!$L$2</f>
        <v>407.61125049519416</v>
      </c>
      <c r="V25">
        <f t="shared" si="16"/>
        <v>211.64021164021165</v>
      </c>
      <c r="W25">
        <f t="shared" si="17"/>
        <v>400.40040040040031</v>
      </c>
      <c r="X25">
        <f t="shared" si="18"/>
        <v>141.09347442680777</v>
      </c>
      <c r="Y25">
        <f t="shared" si="19"/>
        <v>3.5270505740976197</v>
      </c>
      <c r="Z25">
        <f t="shared" si="20"/>
        <v>0.66982311434659114</v>
      </c>
    </row>
    <row r="26" spans="1:26" hidden="1">
      <c r="A26">
        <v>14</v>
      </c>
      <c r="B26" s="12">
        <v>6</v>
      </c>
      <c r="C26" s="12">
        <v>8</v>
      </c>
      <c r="D26">
        <f t="shared" si="0"/>
        <v>540</v>
      </c>
      <c r="E26">
        <f t="shared" si="1"/>
        <v>360</v>
      </c>
      <c r="F26">
        <f t="shared" si="2"/>
        <v>47.04</v>
      </c>
      <c r="G26">
        <f t="shared" si="3"/>
        <v>0.41066666666666668</v>
      </c>
      <c r="H26">
        <f t="shared" si="4"/>
        <v>169.34399999999999</v>
      </c>
      <c r="I26">
        <f t="shared" si="5"/>
        <v>470.40000000000003</v>
      </c>
      <c r="J26">
        <f t="shared" si="6"/>
        <v>313.59999999999997</v>
      </c>
      <c r="K26">
        <f t="shared" si="7"/>
        <v>112.89599999999999</v>
      </c>
      <c r="L26">
        <f t="shared" si="8"/>
        <v>13.688639999999999</v>
      </c>
      <c r="M26">
        <f t="shared" si="9"/>
        <v>12.920947200000002</v>
      </c>
      <c r="N26">
        <f t="shared" si="10"/>
        <v>6.0681599999999998</v>
      </c>
      <c r="O26">
        <f t="shared" si="21"/>
        <v>10.640780047058826</v>
      </c>
      <c r="P26">
        <f t="shared" si="11"/>
        <v>6.3498920086393094</v>
      </c>
      <c r="Q26">
        <f t="shared" si="12"/>
        <v>58.800000000000004</v>
      </c>
      <c r="R26">
        <f t="shared" si="13"/>
        <v>672</v>
      </c>
      <c r="S26">
        <f t="shared" si="14"/>
        <v>165.75999999999996</v>
      </c>
      <c r="T26">
        <f t="shared" si="15"/>
        <v>147.84</v>
      </c>
      <c r="U26">
        <f>I26*E26/'[1]Inverter Analysis'!$L$2</f>
        <v>405.79964493743773</v>
      </c>
      <c r="V26">
        <f t="shared" si="16"/>
        <v>255.10204081632656</v>
      </c>
      <c r="W26">
        <f t="shared" si="17"/>
        <v>482.62548262548273</v>
      </c>
      <c r="X26">
        <f t="shared" si="18"/>
        <v>170.06802721088434</v>
      </c>
      <c r="Y26">
        <f t="shared" si="19"/>
        <v>5.1244018425485631</v>
      </c>
      <c r="Z26">
        <f t="shared" si="20"/>
        <v>0.45898039854545436</v>
      </c>
    </row>
    <row r="27" spans="1:26" hidden="1">
      <c r="A27" s="8">
        <v>16</v>
      </c>
      <c r="B27" s="12">
        <v>6</v>
      </c>
      <c r="C27" s="12">
        <v>7</v>
      </c>
      <c r="D27">
        <f t="shared" si="0"/>
        <v>540</v>
      </c>
      <c r="E27">
        <f t="shared" si="1"/>
        <v>360</v>
      </c>
      <c r="F27">
        <f t="shared" si="2"/>
        <v>47.04</v>
      </c>
      <c r="G27">
        <f t="shared" si="3"/>
        <v>0.41066666666666668</v>
      </c>
      <c r="H27">
        <f t="shared" si="4"/>
        <v>169.34399999999999</v>
      </c>
      <c r="I27">
        <f t="shared" si="5"/>
        <v>470.40000000000003</v>
      </c>
      <c r="J27">
        <f t="shared" si="6"/>
        <v>313.59999999999997</v>
      </c>
      <c r="K27">
        <f t="shared" si="7"/>
        <v>112.89599999999999</v>
      </c>
      <c r="L27">
        <f t="shared" si="8"/>
        <v>13.688639999999999</v>
      </c>
      <c r="M27">
        <f t="shared" si="9"/>
        <v>12.920947200000002</v>
      </c>
      <c r="N27">
        <f t="shared" si="10"/>
        <v>6.0681599999999998</v>
      </c>
      <c r="O27">
        <f t="shared" si="21"/>
        <v>10.640780047058826</v>
      </c>
      <c r="P27">
        <f t="shared" si="11"/>
        <v>7.2570194384449254</v>
      </c>
      <c r="Q27">
        <f t="shared" si="12"/>
        <v>67.2</v>
      </c>
      <c r="R27">
        <f t="shared" si="13"/>
        <v>672</v>
      </c>
      <c r="S27">
        <f t="shared" si="14"/>
        <v>165.75999999999996</v>
      </c>
      <c r="T27">
        <f t="shared" si="15"/>
        <v>147.84</v>
      </c>
      <c r="U27">
        <f>I27*E27/'[1]Inverter Analysis'!$L$2</f>
        <v>405.79964493743773</v>
      </c>
      <c r="V27">
        <f t="shared" si="16"/>
        <v>255.10204081632656</v>
      </c>
      <c r="W27">
        <f t="shared" si="17"/>
        <v>482.62548262548273</v>
      </c>
      <c r="X27">
        <f t="shared" si="18"/>
        <v>170.06802721088434</v>
      </c>
      <c r="Y27">
        <f t="shared" si="19"/>
        <v>5.1244018425485631</v>
      </c>
      <c r="Z27">
        <f t="shared" si="20"/>
        <v>0.45898039854545436</v>
      </c>
    </row>
    <row r="28" spans="1:26" hidden="1">
      <c r="A28">
        <v>11</v>
      </c>
      <c r="B28" s="9">
        <v>5</v>
      </c>
      <c r="C28">
        <v>12</v>
      </c>
      <c r="D28">
        <f t="shared" si="0"/>
        <v>450</v>
      </c>
      <c r="E28">
        <f t="shared" si="1"/>
        <v>300</v>
      </c>
      <c r="F28">
        <f t="shared" si="2"/>
        <v>46.2</v>
      </c>
      <c r="G28">
        <f t="shared" si="3"/>
        <v>0.58079999999999987</v>
      </c>
      <c r="H28">
        <f t="shared" si="4"/>
        <v>166.32</v>
      </c>
      <c r="I28">
        <f t="shared" si="5"/>
        <v>554.4</v>
      </c>
      <c r="J28">
        <f t="shared" si="6"/>
        <v>369.59999999999997</v>
      </c>
      <c r="K28">
        <f t="shared" si="7"/>
        <v>110.87999999999998</v>
      </c>
      <c r="L28">
        <f t="shared" si="8"/>
        <v>13.444199999999999</v>
      </c>
      <c r="M28">
        <f t="shared" si="9"/>
        <v>12.690215999999999</v>
      </c>
      <c r="N28">
        <f t="shared" si="10"/>
        <v>5.9597999999999995</v>
      </c>
      <c r="O28">
        <f t="shared" si="21"/>
        <v>10.45076611764706</v>
      </c>
      <c r="P28">
        <f t="shared" si="11"/>
        <v>4.157667386609071</v>
      </c>
      <c r="Q28">
        <f t="shared" si="12"/>
        <v>46.199999999999996</v>
      </c>
      <c r="R28">
        <f t="shared" si="13"/>
        <v>660</v>
      </c>
      <c r="S28">
        <f t="shared" si="14"/>
        <v>195.36</v>
      </c>
      <c r="T28">
        <f t="shared" si="15"/>
        <v>174.23999999999995</v>
      </c>
      <c r="U28">
        <f>I28*E28/'[1]Inverter Analysis'!$L$2</f>
        <v>398.55322270641204</v>
      </c>
      <c r="V28">
        <f t="shared" si="16"/>
        <v>216.45021645021646</v>
      </c>
      <c r="W28">
        <f t="shared" si="17"/>
        <v>409.50040950040949</v>
      </c>
      <c r="X28">
        <f t="shared" si="18"/>
        <v>144.3001443001443</v>
      </c>
      <c r="Y28">
        <f t="shared" si="19"/>
        <v>3.6891928783820673</v>
      </c>
      <c r="Z28">
        <f t="shared" si="20"/>
        <v>0.62615321999999995</v>
      </c>
    </row>
    <row r="29" spans="1:26" hidden="1">
      <c r="A29">
        <v>10</v>
      </c>
      <c r="B29" s="12">
        <v>6</v>
      </c>
      <c r="C29" s="12">
        <v>11</v>
      </c>
      <c r="D29">
        <f t="shared" si="0"/>
        <v>540</v>
      </c>
      <c r="E29">
        <f t="shared" si="1"/>
        <v>360</v>
      </c>
      <c r="F29">
        <f t="shared" si="2"/>
        <v>46.2</v>
      </c>
      <c r="G29">
        <f t="shared" si="3"/>
        <v>0.40333333333333332</v>
      </c>
      <c r="H29">
        <f t="shared" si="4"/>
        <v>166.32</v>
      </c>
      <c r="I29">
        <f t="shared" si="5"/>
        <v>462</v>
      </c>
      <c r="J29">
        <f t="shared" si="6"/>
        <v>308</v>
      </c>
      <c r="K29">
        <f t="shared" si="7"/>
        <v>110.88</v>
      </c>
      <c r="L29">
        <f t="shared" si="8"/>
        <v>13.444199999999999</v>
      </c>
      <c r="M29">
        <f t="shared" si="9"/>
        <v>12.690215999999999</v>
      </c>
      <c r="N29">
        <f t="shared" si="10"/>
        <v>5.9597999999999995</v>
      </c>
      <c r="O29">
        <f t="shared" si="21"/>
        <v>10.45076611764706</v>
      </c>
      <c r="P29">
        <f t="shared" si="11"/>
        <v>4.5356371490280774</v>
      </c>
      <c r="Q29">
        <f t="shared" si="12"/>
        <v>42</v>
      </c>
      <c r="R29">
        <f t="shared" si="13"/>
        <v>660</v>
      </c>
      <c r="S29">
        <f t="shared" si="14"/>
        <v>162.80000000000001</v>
      </c>
      <c r="T29">
        <f t="shared" si="15"/>
        <v>145.19999999999999</v>
      </c>
      <c r="U29">
        <f>I29*E29/'[1]Inverter Analysis'!$L$2</f>
        <v>398.55322270641204</v>
      </c>
      <c r="V29">
        <f t="shared" si="16"/>
        <v>259.74025974025972</v>
      </c>
      <c r="W29">
        <f t="shared" si="17"/>
        <v>491.40049140049138</v>
      </c>
      <c r="X29">
        <f t="shared" si="18"/>
        <v>173.16017316017317</v>
      </c>
      <c r="Y29">
        <f t="shared" si="19"/>
        <v>5.3124377448701763</v>
      </c>
      <c r="Z29">
        <f t="shared" si="20"/>
        <v>0.43482862500000008</v>
      </c>
    </row>
    <row r="30" spans="1:26" hidden="1">
      <c r="A30">
        <v>12</v>
      </c>
      <c r="B30" s="9">
        <v>5</v>
      </c>
      <c r="C30" s="12">
        <v>11</v>
      </c>
      <c r="D30">
        <f t="shared" si="0"/>
        <v>450</v>
      </c>
      <c r="E30">
        <f t="shared" si="1"/>
        <v>300</v>
      </c>
      <c r="F30">
        <f t="shared" si="2"/>
        <v>46.2</v>
      </c>
      <c r="G30">
        <f t="shared" si="3"/>
        <v>0.58079999999999987</v>
      </c>
      <c r="H30">
        <f t="shared" si="4"/>
        <v>166.32</v>
      </c>
      <c r="I30">
        <f t="shared" si="5"/>
        <v>554.4</v>
      </c>
      <c r="J30">
        <f t="shared" si="6"/>
        <v>369.59999999999997</v>
      </c>
      <c r="K30">
        <f t="shared" si="7"/>
        <v>110.87999999999998</v>
      </c>
      <c r="L30">
        <f t="shared" si="8"/>
        <v>13.444199999999999</v>
      </c>
      <c r="M30">
        <f t="shared" si="9"/>
        <v>12.690215999999999</v>
      </c>
      <c r="N30">
        <f t="shared" si="10"/>
        <v>5.9597999999999995</v>
      </c>
      <c r="O30">
        <f t="shared" si="21"/>
        <v>10.45076611764706</v>
      </c>
      <c r="P30">
        <f t="shared" si="11"/>
        <v>4.5356371490280774</v>
      </c>
      <c r="Q30">
        <f t="shared" si="12"/>
        <v>50.4</v>
      </c>
      <c r="R30">
        <f t="shared" si="13"/>
        <v>660</v>
      </c>
      <c r="S30">
        <f t="shared" si="14"/>
        <v>195.36</v>
      </c>
      <c r="T30">
        <f t="shared" si="15"/>
        <v>174.23999999999995</v>
      </c>
      <c r="U30">
        <f>I30*E30/'[1]Inverter Analysis'!$L$2</f>
        <v>398.55322270641204</v>
      </c>
      <c r="V30">
        <f t="shared" si="16"/>
        <v>216.45021645021646</v>
      </c>
      <c r="W30">
        <f t="shared" si="17"/>
        <v>409.50040950040949</v>
      </c>
      <c r="X30">
        <f t="shared" si="18"/>
        <v>144.3001443001443</v>
      </c>
      <c r="Y30">
        <f t="shared" si="19"/>
        <v>3.6891928783820673</v>
      </c>
      <c r="Z30">
        <f t="shared" si="20"/>
        <v>0.62615321999999995</v>
      </c>
    </row>
    <row r="31" spans="1:26" hidden="1">
      <c r="A31">
        <v>11</v>
      </c>
      <c r="B31" s="12">
        <v>6</v>
      </c>
      <c r="C31" s="12">
        <v>10</v>
      </c>
      <c r="D31">
        <f t="shared" si="0"/>
        <v>540</v>
      </c>
      <c r="E31">
        <f t="shared" si="1"/>
        <v>360</v>
      </c>
      <c r="F31">
        <f t="shared" si="2"/>
        <v>46.2</v>
      </c>
      <c r="G31">
        <f t="shared" si="3"/>
        <v>0.40333333333333332</v>
      </c>
      <c r="H31">
        <f t="shared" si="4"/>
        <v>166.32</v>
      </c>
      <c r="I31">
        <f t="shared" si="5"/>
        <v>462</v>
      </c>
      <c r="J31">
        <f t="shared" si="6"/>
        <v>308</v>
      </c>
      <c r="K31">
        <f t="shared" si="7"/>
        <v>110.88</v>
      </c>
      <c r="L31">
        <f t="shared" si="8"/>
        <v>13.444199999999999</v>
      </c>
      <c r="M31">
        <f t="shared" si="9"/>
        <v>12.690215999999999</v>
      </c>
      <c r="N31">
        <f t="shared" si="10"/>
        <v>5.9597999999999995</v>
      </c>
      <c r="O31">
        <f t="shared" si="21"/>
        <v>10.45076611764706</v>
      </c>
      <c r="P31">
        <f t="shared" si="11"/>
        <v>4.9892008639308854</v>
      </c>
      <c r="Q31">
        <f t="shared" si="12"/>
        <v>46.2</v>
      </c>
      <c r="R31">
        <f t="shared" si="13"/>
        <v>660</v>
      </c>
      <c r="S31">
        <f t="shared" si="14"/>
        <v>162.80000000000001</v>
      </c>
      <c r="T31">
        <f t="shared" si="15"/>
        <v>145.19999999999999</v>
      </c>
      <c r="U31">
        <f>I31*E31/'[1]Inverter Analysis'!$L$2</f>
        <v>398.55322270641204</v>
      </c>
      <c r="V31">
        <f t="shared" si="16"/>
        <v>259.74025974025972</v>
      </c>
      <c r="W31">
        <f t="shared" si="17"/>
        <v>491.40049140049138</v>
      </c>
      <c r="X31">
        <f t="shared" si="18"/>
        <v>173.16017316017317</v>
      </c>
      <c r="Y31">
        <f t="shared" si="19"/>
        <v>5.3124377448701763</v>
      </c>
      <c r="Z31">
        <f t="shared" si="20"/>
        <v>0.43482862500000008</v>
      </c>
    </row>
    <row r="32" spans="1:26" hidden="1">
      <c r="A32">
        <v>13</v>
      </c>
      <c r="B32" s="9">
        <v>5</v>
      </c>
      <c r="C32" s="12">
        <v>10</v>
      </c>
      <c r="D32">
        <f t="shared" si="0"/>
        <v>450</v>
      </c>
      <c r="E32">
        <f t="shared" si="1"/>
        <v>300</v>
      </c>
      <c r="F32">
        <f t="shared" si="2"/>
        <v>45.5</v>
      </c>
      <c r="G32">
        <f t="shared" si="3"/>
        <v>0.57199999999999995</v>
      </c>
      <c r="H32">
        <f t="shared" si="4"/>
        <v>163.80000000000001</v>
      </c>
      <c r="I32">
        <f t="shared" si="5"/>
        <v>546</v>
      </c>
      <c r="J32">
        <f t="shared" si="6"/>
        <v>364</v>
      </c>
      <c r="K32">
        <f t="shared" si="7"/>
        <v>109.2</v>
      </c>
      <c r="L32">
        <f t="shared" si="8"/>
        <v>13.240500000000001</v>
      </c>
      <c r="M32">
        <f t="shared" si="9"/>
        <v>12.49794</v>
      </c>
      <c r="N32">
        <f t="shared" si="10"/>
        <v>5.8694999999999995</v>
      </c>
      <c r="O32">
        <f t="shared" si="21"/>
        <v>10.292421176470588</v>
      </c>
      <c r="P32">
        <f t="shared" si="11"/>
        <v>4.9136069114470846</v>
      </c>
      <c r="Q32">
        <f t="shared" si="12"/>
        <v>54.6</v>
      </c>
      <c r="R32">
        <f t="shared" si="13"/>
        <v>650</v>
      </c>
      <c r="S32">
        <f t="shared" si="14"/>
        <v>192.4</v>
      </c>
      <c r="T32">
        <f t="shared" si="15"/>
        <v>171.6</v>
      </c>
      <c r="U32">
        <f>I32*E32/'[1]Inverter Analysis'!$L$2</f>
        <v>392.51453751389062</v>
      </c>
      <c r="V32">
        <f t="shared" si="16"/>
        <v>219.78021978021977</v>
      </c>
      <c r="W32">
        <f t="shared" si="17"/>
        <v>415.80041580041581</v>
      </c>
      <c r="X32">
        <f t="shared" si="18"/>
        <v>146.52014652014651</v>
      </c>
      <c r="Y32">
        <f t="shared" si="19"/>
        <v>3.8035796871555707</v>
      </c>
      <c r="Z32">
        <f t="shared" si="20"/>
        <v>0.59812076704545458</v>
      </c>
    </row>
    <row r="33" spans="1:26" hidden="1">
      <c r="A33">
        <v>12</v>
      </c>
      <c r="B33" s="12">
        <v>6</v>
      </c>
      <c r="C33" s="12">
        <v>9</v>
      </c>
      <c r="D33">
        <f t="shared" si="0"/>
        <v>540</v>
      </c>
      <c r="E33">
        <f t="shared" si="1"/>
        <v>360</v>
      </c>
      <c r="F33">
        <f t="shared" si="2"/>
        <v>45.36</v>
      </c>
      <c r="G33">
        <f t="shared" si="3"/>
        <v>0.39599999999999996</v>
      </c>
      <c r="H33">
        <f t="shared" si="4"/>
        <v>163.29599999999999</v>
      </c>
      <c r="I33">
        <f t="shared" si="5"/>
        <v>453.6</v>
      </c>
      <c r="J33">
        <f t="shared" si="6"/>
        <v>302.39999999999998</v>
      </c>
      <c r="K33">
        <f t="shared" si="7"/>
        <v>108.86399999999999</v>
      </c>
      <c r="L33">
        <f t="shared" si="8"/>
        <v>13.199759999999999</v>
      </c>
      <c r="M33">
        <f t="shared" si="9"/>
        <v>12.459484800000002</v>
      </c>
      <c r="N33">
        <f t="shared" si="10"/>
        <v>5.8514400000000002</v>
      </c>
      <c r="O33">
        <f t="shared" si="21"/>
        <v>10.260752188235296</v>
      </c>
      <c r="P33">
        <f t="shared" si="11"/>
        <v>5.4427645788336925</v>
      </c>
      <c r="Q33">
        <f t="shared" si="12"/>
        <v>50.400000000000006</v>
      </c>
      <c r="R33">
        <f t="shared" si="13"/>
        <v>648</v>
      </c>
      <c r="S33">
        <f t="shared" si="14"/>
        <v>159.84</v>
      </c>
      <c r="T33">
        <f t="shared" si="15"/>
        <v>142.55999999999997</v>
      </c>
      <c r="U33">
        <f>I33*E33/'[1]Inverter Analysis'!$L$2</f>
        <v>391.30680047538635</v>
      </c>
      <c r="V33">
        <f t="shared" si="16"/>
        <v>264.55026455026456</v>
      </c>
      <c r="W33">
        <f t="shared" si="17"/>
        <v>500.50050050050049</v>
      </c>
      <c r="X33">
        <f t="shared" si="18"/>
        <v>176.3668430335097</v>
      </c>
      <c r="Y33">
        <f t="shared" si="19"/>
        <v>5.511016522027532</v>
      </c>
      <c r="Z33">
        <f t="shared" si="20"/>
        <v>0.41153932145454553</v>
      </c>
    </row>
    <row r="34" spans="1:26" hidden="1">
      <c r="A34" s="8">
        <v>16</v>
      </c>
      <c r="B34" s="9">
        <v>5</v>
      </c>
      <c r="C34" s="12">
        <v>8</v>
      </c>
      <c r="D34">
        <f t="shared" si="0"/>
        <v>450</v>
      </c>
      <c r="E34">
        <f t="shared" si="1"/>
        <v>300</v>
      </c>
      <c r="F34">
        <f t="shared" si="2"/>
        <v>44.8</v>
      </c>
      <c r="G34">
        <f t="shared" si="3"/>
        <v>0.56319999999999992</v>
      </c>
      <c r="H34">
        <f t="shared" si="4"/>
        <v>161.28</v>
      </c>
      <c r="I34">
        <f t="shared" si="5"/>
        <v>537.6</v>
      </c>
      <c r="J34">
        <f t="shared" si="6"/>
        <v>358.4</v>
      </c>
      <c r="K34">
        <f t="shared" si="7"/>
        <v>107.52</v>
      </c>
      <c r="L34">
        <f t="shared" si="8"/>
        <v>13.036800000000001</v>
      </c>
      <c r="M34">
        <f t="shared" si="9"/>
        <v>12.305664</v>
      </c>
      <c r="N34">
        <f t="shared" si="10"/>
        <v>5.7791999999999994</v>
      </c>
      <c r="O34">
        <f t="shared" si="21"/>
        <v>10.134076235294119</v>
      </c>
      <c r="P34">
        <f t="shared" si="11"/>
        <v>6.0475161987041037</v>
      </c>
      <c r="Q34">
        <f t="shared" si="12"/>
        <v>67.2</v>
      </c>
      <c r="R34">
        <f t="shared" si="13"/>
        <v>640</v>
      </c>
      <c r="S34">
        <f t="shared" si="14"/>
        <v>189.44</v>
      </c>
      <c r="T34">
        <f t="shared" si="15"/>
        <v>168.95999999999998</v>
      </c>
      <c r="U34">
        <f>I34*E34/'[1]Inverter Analysis'!$L$2</f>
        <v>386.47585232136925</v>
      </c>
      <c r="V34">
        <f t="shared" si="16"/>
        <v>223.21428571428572</v>
      </c>
      <c r="W34">
        <f t="shared" si="17"/>
        <v>422.29729729729729</v>
      </c>
      <c r="X34">
        <f t="shared" si="18"/>
        <v>148.8095238095238</v>
      </c>
      <c r="Y34">
        <f t="shared" si="19"/>
        <v>3.9233701607012414</v>
      </c>
      <c r="Z34">
        <f t="shared" si="20"/>
        <v>0.57093771636363644</v>
      </c>
    </row>
    <row r="35" spans="1:26" hidden="1">
      <c r="A35">
        <v>14</v>
      </c>
      <c r="B35" s="9">
        <v>5</v>
      </c>
      <c r="C35" s="12">
        <v>9</v>
      </c>
      <c r="D35">
        <f t="shared" si="0"/>
        <v>450</v>
      </c>
      <c r="E35">
        <f t="shared" si="1"/>
        <v>300</v>
      </c>
      <c r="F35">
        <f t="shared" si="2"/>
        <v>44.1</v>
      </c>
      <c r="G35">
        <f t="shared" si="3"/>
        <v>0.55439999999999989</v>
      </c>
      <c r="H35">
        <f t="shared" si="4"/>
        <v>158.76</v>
      </c>
      <c r="I35">
        <f t="shared" si="5"/>
        <v>529.20000000000005</v>
      </c>
      <c r="J35">
        <f t="shared" si="6"/>
        <v>352.79999999999995</v>
      </c>
      <c r="K35">
        <f t="shared" si="7"/>
        <v>105.83999999999999</v>
      </c>
      <c r="L35">
        <f t="shared" si="8"/>
        <v>12.833099999999998</v>
      </c>
      <c r="M35">
        <f t="shared" si="9"/>
        <v>12.113388000000002</v>
      </c>
      <c r="N35">
        <f t="shared" si="10"/>
        <v>5.6888999999999994</v>
      </c>
      <c r="O35">
        <f t="shared" si="21"/>
        <v>9.975731294117649</v>
      </c>
      <c r="P35">
        <f t="shared" si="11"/>
        <v>5.2915766738660919</v>
      </c>
      <c r="Q35">
        <f t="shared" si="12"/>
        <v>58.800000000000004</v>
      </c>
      <c r="R35">
        <f t="shared" si="13"/>
        <v>630</v>
      </c>
      <c r="S35">
        <f t="shared" si="14"/>
        <v>186.48</v>
      </c>
      <c r="T35">
        <f t="shared" si="15"/>
        <v>166.31999999999996</v>
      </c>
      <c r="U35">
        <f>I35*E35/'[1]Inverter Analysis'!$L$2</f>
        <v>380.43716712884788</v>
      </c>
      <c r="V35">
        <f t="shared" si="16"/>
        <v>226.7573696145125</v>
      </c>
      <c r="W35">
        <f t="shared" si="17"/>
        <v>429.00042900042905</v>
      </c>
      <c r="X35">
        <f t="shared" si="18"/>
        <v>151.17157974300829</v>
      </c>
      <c r="Y35">
        <f t="shared" si="19"/>
        <v>4.0489100978161474</v>
      </c>
      <c r="Z35">
        <f t="shared" si="20"/>
        <v>0.54459100022727269</v>
      </c>
    </row>
    <row r="36" spans="1:26" hidden="1">
      <c r="A36" s="8">
        <v>15</v>
      </c>
      <c r="B36" s="12">
        <v>6</v>
      </c>
      <c r="C36" s="12">
        <v>7</v>
      </c>
      <c r="D36">
        <f t="shared" si="0"/>
        <v>540</v>
      </c>
      <c r="E36">
        <f t="shared" si="1"/>
        <v>360</v>
      </c>
      <c r="F36">
        <f t="shared" si="2"/>
        <v>44.1</v>
      </c>
      <c r="G36">
        <f t="shared" si="3"/>
        <v>0.38500000000000001</v>
      </c>
      <c r="H36">
        <f t="shared" si="4"/>
        <v>158.76</v>
      </c>
      <c r="I36">
        <f t="shared" si="5"/>
        <v>441</v>
      </c>
      <c r="J36">
        <f t="shared" si="6"/>
        <v>294</v>
      </c>
      <c r="K36">
        <f t="shared" si="7"/>
        <v>105.84</v>
      </c>
      <c r="L36">
        <f t="shared" si="8"/>
        <v>12.833099999999998</v>
      </c>
      <c r="M36">
        <f t="shared" si="9"/>
        <v>12.113388</v>
      </c>
      <c r="N36">
        <f t="shared" si="10"/>
        <v>5.6888999999999994</v>
      </c>
      <c r="O36">
        <f t="shared" si="21"/>
        <v>9.975731294117649</v>
      </c>
      <c r="P36">
        <f t="shared" si="11"/>
        <v>6.8034557235421165</v>
      </c>
      <c r="Q36">
        <f t="shared" si="12"/>
        <v>63</v>
      </c>
      <c r="R36">
        <f t="shared" si="13"/>
        <v>630</v>
      </c>
      <c r="S36">
        <f t="shared" si="14"/>
        <v>155.4</v>
      </c>
      <c r="T36">
        <f t="shared" si="15"/>
        <v>138.6</v>
      </c>
      <c r="U36">
        <f>I36*E36/'[1]Inverter Analysis'!$L$2</f>
        <v>380.43716712884788</v>
      </c>
      <c r="V36">
        <f t="shared" si="16"/>
        <v>272.10884353741494</v>
      </c>
      <c r="W36">
        <f t="shared" si="17"/>
        <v>514.80051480051475</v>
      </c>
      <c r="X36">
        <f t="shared" si="18"/>
        <v>181.40589569160997</v>
      </c>
      <c r="Y36">
        <f t="shared" si="19"/>
        <v>5.8304305408552493</v>
      </c>
      <c r="Z36">
        <f t="shared" si="20"/>
        <v>0.37818819460227293</v>
      </c>
    </row>
    <row r="37" spans="1:26" hidden="1">
      <c r="A37">
        <v>13</v>
      </c>
      <c r="B37" s="12">
        <v>6</v>
      </c>
      <c r="C37" s="12">
        <v>8</v>
      </c>
      <c r="D37">
        <f t="shared" si="0"/>
        <v>540</v>
      </c>
      <c r="E37">
        <f t="shared" si="1"/>
        <v>360</v>
      </c>
      <c r="F37">
        <f t="shared" si="2"/>
        <v>43.68</v>
      </c>
      <c r="G37">
        <f t="shared" si="3"/>
        <v>0.3813333333333333</v>
      </c>
      <c r="H37">
        <f t="shared" si="4"/>
        <v>157.24799999999999</v>
      </c>
      <c r="I37">
        <f t="shared" si="5"/>
        <v>436.8</v>
      </c>
      <c r="J37">
        <f t="shared" si="6"/>
        <v>291.2</v>
      </c>
      <c r="K37">
        <f t="shared" si="7"/>
        <v>104.83199999999999</v>
      </c>
      <c r="L37">
        <f t="shared" si="8"/>
        <v>12.710880000000001</v>
      </c>
      <c r="M37">
        <f t="shared" si="9"/>
        <v>11.998022400000002</v>
      </c>
      <c r="N37">
        <f t="shared" si="10"/>
        <v>5.6347200000000006</v>
      </c>
      <c r="O37">
        <f t="shared" si="21"/>
        <v>9.8807243294117661</v>
      </c>
      <c r="P37">
        <f t="shared" si="11"/>
        <v>5.8963282937365005</v>
      </c>
      <c r="Q37">
        <f t="shared" si="12"/>
        <v>54.6</v>
      </c>
      <c r="R37">
        <f t="shared" si="13"/>
        <v>624</v>
      </c>
      <c r="S37">
        <f t="shared" si="14"/>
        <v>153.91999999999999</v>
      </c>
      <c r="T37">
        <f t="shared" si="15"/>
        <v>137.28</v>
      </c>
      <c r="U37">
        <f>I37*E37/'[1]Inverter Analysis'!$L$2</f>
        <v>376.81395601333503</v>
      </c>
      <c r="V37">
        <f t="shared" si="16"/>
        <v>274.72527472527474</v>
      </c>
      <c r="W37">
        <f t="shared" si="17"/>
        <v>519.75051975051974</v>
      </c>
      <c r="X37">
        <f t="shared" si="18"/>
        <v>183.15018315018315</v>
      </c>
      <c r="Y37">
        <f t="shared" si="19"/>
        <v>5.9430932611805787</v>
      </c>
      <c r="Z37">
        <f t="shared" si="20"/>
        <v>0.36748539927272733</v>
      </c>
    </row>
    <row r="38" spans="1:26" hidden="1">
      <c r="A38">
        <v>11</v>
      </c>
      <c r="B38" s="9">
        <v>5</v>
      </c>
      <c r="C38" s="12">
        <v>11</v>
      </c>
      <c r="D38">
        <f t="shared" si="0"/>
        <v>450</v>
      </c>
      <c r="E38">
        <f t="shared" si="1"/>
        <v>300</v>
      </c>
      <c r="F38">
        <f t="shared" si="2"/>
        <v>42.35</v>
      </c>
      <c r="G38">
        <f t="shared" si="3"/>
        <v>0.53239999999999987</v>
      </c>
      <c r="H38">
        <f t="shared" si="4"/>
        <v>152.46</v>
      </c>
      <c r="I38">
        <f t="shared" si="5"/>
        <v>508.20000000000005</v>
      </c>
      <c r="J38">
        <f t="shared" si="6"/>
        <v>338.79999999999995</v>
      </c>
      <c r="K38">
        <f t="shared" si="7"/>
        <v>101.63999999999999</v>
      </c>
      <c r="L38">
        <f t="shared" si="8"/>
        <v>12.32385</v>
      </c>
      <c r="M38">
        <f t="shared" si="9"/>
        <v>11.632698000000001</v>
      </c>
      <c r="N38">
        <f t="shared" si="10"/>
        <v>5.4631500000000006</v>
      </c>
      <c r="O38">
        <f t="shared" si="21"/>
        <v>9.579868941176473</v>
      </c>
      <c r="P38">
        <f t="shared" si="11"/>
        <v>4.157667386609071</v>
      </c>
      <c r="Q38">
        <f t="shared" si="12"/>
        <v>46.2</v>
      </c>
      <c r="R38">
        <f t="shared" si="13"/>
        <v>605</v>
      </c>
      <c r="S38">
        <f t="shared" si="14"/>
        <v>179.07999999999998</v>
      </c>
      <c r="T38">
        <f t="shared" si="15"/>
        <v>159.71999999999997</v>
      </c>
      <c r="U38">
        <f>I38*E38/'[1]Inverter Analysis'!$L$2</f>
        <v>365.34045414754439</v>
      </c>
      <c r="V38">
        <f t="shared" si="16"/>
        <v>236.12750885478161</v>
      </c>
      <c r="W38">
        <f t="shared" si="17"/>
        <v>446.72771945499221</v>
      </c>
      <c r="X38">
        <f t="shared" si="18"/>
        <v>157.41833923652104</v>
      </c>
      <c r="Y38">
        <f t="shared" si="19"/>
        <v>4.390444417248081</v>
      </c>
      <c r="Z38">
        <f t="shared" si="20"/>
        <v>0.48229741656249997</v>
      </c>
    </row>
    <row r="39" spans="1:26" hidden="1">
      <c r="A39">
        <v>10</v>
      </c>
      <c r="B39" s="9">
        <v>5</v>
      </c>
      <c r="C39">
        <v>12</v>
      </c>
      <c r="D39">
        <f t="shared" si="0"/>
        <v>450</v>
      </c>
      <c r="E39">
        <f t="shared" si="1"/>
        <v>300</v>
      </c>
      <c r="F39">
        <f t="shared" si="2"/>
        <v>42</v>
      </c>
      <c r="G39">
        <f t="shared" si="3"/>
        <v>0.52800000000000002</v>
      </c>
      <c r="H39">
        <f t="shared" si="4"/>
        <v>151.19999999999999</v>
      </c>
      <c r="I39">
        <f t="shared" si="5"/>
        <v>504</v>
      </c>
      <c r="J39">
        <f t="shared" si="6"/>
        <v>336</v>
      </c>
      <c r="K39">
        <f t="shared" si="7"/>
        <v>100.8</v>
      </c>
      <c r="L39">
        <f t="shared" si="8"/>
        <v>12.221999999999998</v>
      </c>
      <c r="M39">
        <f t="shared" si="9"/>
        <v>11.536560000000001</v>
      </c>
      <c r="N39">
        <f t="shared" si="10"/>
        <v>5.4180000000000001</v>
      </c>
      <c r="O39">
        <f t="shared" si="21"/>
        <v>9.5006964705882382</v>
      </c>
      <c r="P39">
        <f t="shared" si="11"/>
        <v>3.7796976241900651</v>
      </c>
      <c r="Q39">
        <f t="shared" si="12"/>
        <v>42</v>
      </c>
      <c r="R39">
        <f t="shared" si="13"/>
        <v>600</v>
      </c>
      <c r="S39">
        <f t="shared" si="14"/>
        <v>177.6</v>
      </c>
      <c r="T39">
        <f t="shared" si="15"/>
        <v>158.4</v>
      </c>
      <c r="U39">
        <f>I39*E39/'[1]Inverter Analysis'!$L$2</f>
        <v>362.32111155128365</v>
      </c>
      <c r="V39">
        <f t="shared" si="16"/>
        <v>238.0952380952381</v>
      </c>
      <c r="W39">
        <f t="shared" si="17"/>
        <v>450.45045045045049</v>
      </c>
      <c r="X39">
        <f t="shared" si="18"/>
        <v>158.73015873015873</v>
      </c>
      <c r="Y39">
        <f t="shared" si="19"/>
        <v>4.4639233828423022</v>
      </c>
      <c r="Z39">
        <f t="shared" si="20"/>
        <v>0.47043818181818181</v>
      </c>
    </row>
    <row r="40" spans="1:26" hidden="1">
      <c r="A40">
        <v>10</v>
      </c>
      <c r="B40" s="12">
        <v>6</v>
      </c>
      <c r="C40" s="12">
        <v>10</v>
      </c>
      <c r="D40">
        <f t="shared" si="0"/>
        <v>540</v>
      </c>
      <c r="E40">
        <f t="shared" si="1"/>
        <v>360</v>
      </c>
      <c r="F40">
        <f t="shared" si="2"/>
        <v>42</v>
      </c>
      <c r="G40">
        <f t="shared" si="3"/>
        <v>0.3666666666666667</v>
      </c>
      <c r="H40">
        <f t="shared" si="4"/>
        <v>151.19999999999999</v>
      </c>
      <c r="I40">
        <f t="shared" si="5"/>
        <v>420</v>
      </c>
      <c r="J40">
        <f t="shared" si="6"/>
        <v>280</v>
      </c>
      <c r="K40">
        <f t="shared" si="7"/>
        <v>100.8</v>
      </c>
      <c r="L40">
        <f t="shared" si="8"/>
        <v>12.221999999999998</v>
      </c>
      <c r="M40">
        <f t="shared" si="9"/>
        <v>11.536560000000001</v>
      </c>
      <c r="N40">
        <f t="shared" si="10"/>
        <v>5.4180000000000001</v>
      </c>
      <c r="O40">
        <f t="shared" si="21"/>
        <v>9.5006964705882382</v>
      </c>
      <c r="P40">
        <f t="shared" si="11"/>
        <v>4.5356371490280782</v>
      </c>
      <c r="Q40">
        <f t="shared" si="12"/>
        <v>42</v>
      </c>
      <c r="R40">
        <f t="shared" si="13"/>
        <v>600</v>
      </c>
      <c r="S40">
        <f t="shared" si="14"/>
        <v>148</v>
      </c>
      <c r="T40">
        <f t="shared" si="15"/>
        <v>132</v>
      </c>
      <c r="U40">
        <f>I40*E40/'[1]Inverter Analysis'!$L$2</f>
        <v>362.32111155128365</v>
      </c>
      <c r="V40">
        <f t="shared" si="16"/>
        <v>285.71428571428572</v>
      </c>
      <c r="W40">
        <f t="shared" si="17"/>
        <v>540.54054054054052</v>
      </c>
      <c r="X40">
        <f t="shared" si="18"/>
        <v>190.47619047619048</v>
      </c>
      <c r="Y40">
        <f t="shared" si="19"/>
        <v>6.4280496712929134</v>
      </c>
      <c r="Z40">
        <f t="shared" si="20"/>
        <v>0.32669318181818185</v>
      </c>
    </row>
    <row r="41" spans="1:26" hidden="1">
      <c r="A41">
        <v>12</v>
      </c>
      <c r="B41" s="9">
        <v>5</v>
      </c>
      <c r="C41" s="12">
        <v>10</v>
      </c>
      <c r="D41">
        <f t="shared" si="0"/>
        <v>450</v>
      </c>
      <c r="E41">
        <f t="shared" si="1"/>
        <v>300</v>
      </c>
      <c r="F41">
        <f t="shared" si="2"/>
        <v>42</v>
      </c>
      <c r="G41">
        <f t="shared" si="3"/>
        <v>0.52799999999999991</v>
      </c>
      <c r="H41">
        <f t="shared" si="4"/>
        <v>151.19999999999999</v>
      </c>
      <c r="I41">
        <f t="shared" si="5"/>
        <v>504</v>
      </c>
      <c r="J41">
        <f t="shared" si="6"/>
        <v>336</v>
      </c>
      <c r="K41">
        <f t="shared" si="7"/>
        <v>100.8</v>
      </c>
      <c r="L41">
        <f t="shared" si="8"/>
        <v>12.221999999999998</v>
      </c>
      <c r="M41">
        <f t="shared" si="9"/>
        <v>11.536560000000001</v>
      </c>
      <c r="N41">
        <f t="shared" si="10"/>
        <v>5.4180000000000001</v>
      </c>
      <c r="O41">
        <f t="shared" si="21"/>
        <v>9.5006964705882382</v>
      </c>
      <c r="P41">
        <f t="shared" si="11"/>
        <v>4.5356371490280782</v>
      </c>
      <c r="Q41">
        <f t="shared" si="12"/>
        <v>50.4</v>
      </c>
      <c r="R41">
        <f t="shared" si="13"/>
        <v>600</v>
      </c>
      <c r="S41">
        <f t="shared" si="14"/>
        <v>177.60000000000002</v>
      </c>
      <c r="T41">
        <f t="shared" si="15"/>
        <v>158.39999999999998</v>
      </c>
      <c r="U41">
        <f>I41*E41/'[1]Inverter Analysis'!$L$2</f>
        <v>362.32111155128365</v>
      </c>
      <c r="V41">
        <f t="shared" si="16"/>
        <v>238.0952380952381</v>
      </c>
      <c r="W41">
        <f t="shared" si="17"/>
        <v>450.45045045045038</v>
      </c>
      <c r="X41">
        <f t="shared" si="18"/>
        <v>158.73015873015873</v>
      </c>
      <c r="Y41">
        <f t="shared" si="19"/>
        <v>4.4639233828422995</v>
      </c>
      <c r="Z41">
        <f t="shared" si="20"/>
        <v>0.47043818181818209</v>
      </c>
    </row>
    <row r="42" spans="1:26" hidden="1">
      <c r="A42" s="8">
        <v>15</v>
      </c>
      <c r="B42" s="9">
        <v>5</v>
      </c>
      <c r="C42" s="12">
        <v>8</v>
      </c>
      <c r="D42">
        <f t="shared" si="0"/>
        <v>450</v>
      </c>
      <c r="E42">
        <f t="shared" si="1"/>
        <v>300</v>
      </c>
      <c r="F42">
        <f t="shared" si="2"/>
        <v>42</v>
      </c>
      <c r="G42">
        <f t="shared" si="3"/>
        <v>0.52799999999999991</v>
      </c>
      <c r="H42">
        <f t="shared" si="4"/>
        <v>151.19999999999999</v>
      </c>
      <c r="I42">
        <f t="shared" si="5"/>
        <v>504</v>
      </c>
      <c r="J42">
        <f t="shared" si="6"/>
        <v>336</v>
      </c>
      <c r="K42">
        <f t="shared" si="7"/>
        <v>100.8</v>
      </c>
      <c r="L42">
        <f t="shared" si="8"/>
        <v>12.221999999999998</v>
      </c>
      <c r="M42">
        <f t="shared" si="9"/>
        <v>11.536560000000001</v>
      </c>
      <c r="N42">
        <f t="shared" si="10"/>
        <v>5.4180000000000001</v>
      </c>
      <c r="O42">
        <f t="shared" si="21"/>
        <v>9.5006964705882382</v>
      </c>
      <c r="P42">
        <f t="shared" si="11"/>
        <v>5.6695464362850974</v>
      </c>
      <c r="Q42">
        <f t="shared" si="12"/>
        <v>63</v>
      </c>
      <c r="R42">
        <f t="shared" si="13"/>
        <v>600</v>
      </c>
      <c r="S42">
        <f t="shared" si="14"/>
        <v>177.60000000000002</v>
      </c>
      <c r="T42">
        <f t="shared" si="15"/>
        <v>158.39999999999998</v>
      </c>
      <c r="U42">
        <f>I42*E42/'[1]Inverter Analysis'!$L$2</f>
        <v>362.32111155128365</v>
      </c>
      <c r="V42">
        <f t="shared" si="16"/>
        <v>238.0952380952381</v>
      </c>
      <c r="W42">
        <f t="shared" si="17"/>
        <v>450.45045045045038</v>
      </c>
      <c r="X42">
        <f t="shared" si="18"/>
        <v>158.73015873015873</v>
      </c>
      <c r="Y42">
        <f t="shared" si="19"/>
        <v>4.4639233828422995</v>
      </c>
      <c r="Z42">
        <f t="shared" si="20"/>
        <v>0.47043818181818209</v>
      </c>
    </row>
    <row r="43" spans="1:26" hidden="1">
      <c r="A43">
        <v>11</v>
      </c>
      <c r="B43" s="12">
        <v>6</v>
      </c>
      <c r="C43" s="12">
        <v>9</v>
      </c>
      <c r="D43">
        <f t="shared" si="0"/>
        <v>540</v>
      </c>
      <c r="E43">
        <f t="shared" si="1"/>
        <v>360</v>
      </c>
      <c r="F43">
        <f t="shared" si="2"/>
        <v>41.58</v>
      </c>
      <c r="G43">
        <f t="shared" si="3"/>
        <v>0.36299999999999999</v>
      </c>
      <c r="H43">
        <f t="shared" si="4"/>
        <v>149.68799999999999</v>
      </c>
      <c r="I43">
        <f t="shared" si="5"/>
        <v>415.8</v>
      </c>
      <c r="J43">
        <f t="shared" si="6"/>
        <v>277.2</v>
      </c>
      <c r="K43">
        <f t="shared" si="7"/>
        <v>99.792000000000002</v>
      </c>
      <c r="L43">
        <f t="shared" si="8"/>
        <v>12.099779999999999</v>
      </c>
      <c r="M43">
        <f t="shared" si="9"/>
        <v>11.421194400000003</v>
      </c>
      <c r="N43">
        <f t="shared" si="10"/>
        <v>5.3638199999999996</v>
      </c>
      <c r="O43">
        <f t="shared" si="21"/>
        <v>9.4056895058823553</v>
      </c>
      <c r="P43">
        <f t="shared" si="11"/>
        <v>4.9892008639308854</v>
      </c>
      <c r="Q43">
        <f t="shared" si="12"/>
        <v>46.2</v>
      </c>
      <c r="R43">
        <f t="shared" si="13"/>
        <v>594</v>
      </c>
      <c r="S43">
        <f t="shared" si="14"/>
        <v>146.51999999999998</v>
      </c>
      <c r="T43">
        <f t="shared" si="15"/>
        <v>130.68</v>
      </c>
      <c r="U43">
        <f>I43*E43/'[1]Inverter Analysis'!$L$2</f>
        <v>358.69790043577086</v>
      </c>
      <c r="V43">
        <f t="shared" si="16"/>
        <v>288.60028860028859</v>
      </c>
      <c r="W43">
        <f t="shared" si="17"/>
        <v>546.00054600054602</v>
      </c>
      <c r="X43">
        <f t="shared" si="18"/>
        <v>192.4001924001924</v>
      </c>
      <c r="Y43">
        <f t="shared" si="19"/>
        <v>6.5585651171236767</v>
      </c>
      <c r="Z43">
        <f t="shared" si="20"/>
        <v>0.31699006762499987</v>
      </c>
    </row>
    <row r="44" spans="1:26" hidden="1">
      <c r="A44">
        <v>14</v>
      </c>
      <c r="B44" s="12">
        <v>6</v>
      </c>
      <c r="C44" s="12">
        <v>7</v>
      </c>
      <c r="D44">
        <f t="shared" si="0"/>
        <v>540</v>
      </c>
      <c r="E44">
        <f t="shared" si="1"/>
        <v>360</v>
      </c>
      <c r="F44">
        <f t="shared" si="2"/>
        <v>41.16</v>
      </c>
      <c r="G44">
        <f t="shared" si="3"/>
        <v>0.35933333333333334</v>
      </c>
      <c r="H44">
        <f t="shared" si="4"/>
        <v>148.17599999999999</v>
      </c>
      <c r="I44">
        <f t="shared" si="5"/>
        <v>411.6</v>
      </c>
      <c r="J44">
        <f t="shared" si="6"/>
        <v>274.39999999999998</v>
      </c>
      <c r="K44">
        <f t="shared" si="7"/>
        <v>98.783999999999992</v>
      </c>
      <c r="L44">
        <f t="shared" si="8"/>
        <v>11.977559999999999</v>
      </c>
      <c r="M44">
        <f t="shared" si="9"/>
        <v>11.3058288</v>
      </c>
      <c r="N44">
        <f t="shared" si="10"/>
        <v>5.3096399999999999</v>
      </c>
      <c r="O44">
        <f t="shared" si="21"/>
        <v>9.3106825411764724</v>
      </c>
      <c r="P44">
        <f t="shared" si="11"/>
        <v>6.3498920086393085</v>
      </c>
      <c r="Q44">
        <f t="shared" si="12"/>
        <v>58.800000000000004</v>
      </c>
      <c r="R44">
        <f t="shared" si="13"/>
        <v>588</v>
      </c>
      <c r="S44">
        <f t="shared" si="14"/>
        <v>145.03999999999996</v>
      </c>
      <c r="T44">
        <f t="shared" si="15"/>
        <v>129.36000000000001</v>
      </c>
      <c r="U44">
        <f>I44*E44/'[1]Inverter Analysis'!$L$2</f>
        <v>355.07468932025802</v>
      </c>
      <c r="V44">
        <f t="shared" si="16"/>
        <v>291.54518950437318</v>
      </c>
      <c r="W44">
        <f t="shared" si="17"/>
        <v>551.57198014340884</v>
      </c>
      <c r="X44">
        <f t="shared" si="18"/>
        <v>194.36345966958211</v>
      </c>
      <c r="Y44">
        <f t="shared" si="19"/>
        <v>6.6930962841450619</v>
      </c>
      <c r="Z44">
        <f t="shared" si="20"/>
        <v>0.30748100918181803</v>
      </c>
    </row>
    <row r="45" spans="1:26" hidden="1">
      <c r="A45">
        <v>13</v>
      </c>
      <c r="B45" s="9">
        <v>5</v>
      </c>
      <c r="C45" s="12">
        <v>9</v>
      </c>
      <c r="D45">
        <f t="shared" si="0"/>
        <v>450</v>
      </c>
      <c r="E45">
        <f t="shared" si="1"/>
        <v>300</v>
      </c>
      <c r="F45">
        <f t="shared" si="2"/>
        <v>40.950000000000003</v>
      </c>
      <c r="G45">
        <f t="shared" si="3"/>
        <v>0.51479999999999992</v>
      </c>
      <c r="H45">
        <f t="shared" si="4"/>
        <v>147.41999999999999</v>
      </c>
      <c r="I45">
        <f t="shared" si="5"/>
        <v>491.40000000000003</v>
      </c>
      <c r="J45">
        <f t="shared" si="6"/>
        <v>327.59999999999997</v>
      </c>
      <c r="K45">
        <f t="shared" si="7"/>
        <v>98.279999999999987</v>
      </c>
      <c r="L45">
        <f t="shared" si="8"/>
        <v>11.916450000000001</v>
      </c>
      <c r="M45">
        <f t="shared" si="9"/>
        <v>11.248146</v>
      </c>
      <c r="N45">
        <f t="shared" si="10"/>
        <v>5.2825500000000005</v>
      </c>
      <c r="O45">
        <f t="shared" si="21"/>
        <v>9.2631790588235301</v>
      </c>
      <c r="P45">
        <f t="shared" si="11"/>
        <v>4.9136069114470846</v>
      </c>
      <c r="Q45">
        <f t="shared" si="12"/>
        <v>54.6</v>
      </c>
      <c r="R45">
        <f t="shared" si="13"/>
        <v>585</v>
      </c>
      <c r="S45">
        <f t="shared" si="14"/>
        <v>173.16</v>
      </c>
      <c r="T45">
        <f t="shared" si="15"/>
        <v>154.43999999999997</v>
      </c>
      <c r="U45">
        <f>I45*E45/'[1]Inverter Analysis'!$L$2</f>
        <v>353.26308376250159</v>
      </c>
      <c r="V45">
        <f t="shared" si="16"/>
        <v>244.20024420024421</v>
      </c>
      <c r="W45">
        <f t="shared" si="17"/>
        <v>462.00046200046199</v>
      </c>
      <c r="X45">
        <f t="shared" si="18"/>
        <v>162.80016280016278</v>
      </c>
      <c r="Y45">
        <f t="shared" si="19"/>
        <v>4.6957773915500862</v>
      </c>
      <c r="Z45">
        <f t="shared" si="20"/>
        <v>0.43603003917613647</v>
      </c>
    </row>
    <row r="46" spans="1:26" hidden="1">
      <c r="A46">
        <v>12</v>
      </c>
      <c r="B46">
        <v>4</v>
      </c>
      <c r="C46">
        <v>12</v>
      </c>
      <c r="D46">
        <f t="shared" si="0"/>
        <v>360</v>
      </c>
      <c r="E46">
        <f t="shared" si="1"/>
        <v>240</v>
      </c>
      <c r="F46">
        <f t="shared" si="2"/>
        <v>40.32</v>
      </c>
      <c r="G46">
        <f t="shared" si="3"/>
        <v>0.79200000000000004</v>
      </c>
      <c r="H46">
        <f t="shared" si="4"/>
        <v>145.15200000000002</v>
      </c>
      <c r="I46">
        <f t="shared" si="5"/>
        <v>604.80000000000007</v>
      </c>
      <c r="J46">
        <f t="shared" si="6"/>
        <v>403.2</v>
      </c>
      <c r="K46">
        <f t="shared" si="7"/>
        <v>96.768000000000001</v>
      </c>
      <c r="L46">
        <f t="shared" si="8"/>
        <v>11.733120000000001</v>
      </c>
      <c r="M46">
        <f t="shared" si="9"/>
        <v>11.075097600000003</v>
      </c>
      <c r="N46">
        <f t="shared" si="10"/>
        <v>5.2012800000000006</v>
      </c>
      <c r="O46">
        <f t="shared" si="21"/>
        <v>9.1206686117647084</v>
      </c>
      <c r="P46">
        <f t="shared" si="11"/>
        <v>3.6285097192224627</v>
      </c>
      <c r="Q46">
        <f t="shared" si="12"/>
        <v>50.400000000000006</v>
      </c>
      <c r="R46">
        <f t="shared" si="13"/>
        <v>576</v>
      </c>
      <c r="S46">
        <f t="shared" si="14"/>
        <v>213.11999999999998</v>
      </c>
      <c r="T46">
        <f t="shared" si="15"/>
        <v>190.08</v>
      </c>
      <c r="U46">
        <f>I46*E46/'[1]Inverter Analysis'!$L$2</f>
        <v>347.82826708923238</v>
      </c>
      <c r="V46">
        <f t="shared" si="16"/>
        <v>198.4126984126984</v>
      </c>
      <c r="W46">
        <f t="shared" si="17"/>
        <v>375.37537537537543</v>
      </c>
      <c r="X46">
        <f t="shared" si="18"/>
        <v>132.27513227513225</v>
      </c>
      <c r="Y46">
        <f t="shared" si="19"/>
        <v>3.0999467936404876</v>
      </c>
      <c r="Z46">
        <f t="shared" si="20"/>
        <v>0.65033374254545451</v>
      </c>
    </row>
    <row r="47" spans="1:26" hidden="1">
      <c r="A47">
        <v>16</v>
      </c>
      <c r="B47">
        <v>4</v>
      </c>
      <c r="C47" s="12">
        <v>9</v>
      </c>
      <c r="D47">
        <f t="shared" si="0"/>
        <v>360</v>
      </c>
      <c r="E47">
        <f t="shared" si="1"/>
        <v>240</v>
      </c>
      <c r="F47">
        <f t="shared" si="2"/>
        <v>40.32</v>
      </c>
      <c r="G47">
        <f t="shared" si="3"/>
        <v>0.79199999999999993</v>
      </c>
      <c r="H47">
        <f t="shared" si="4"/>
        <v>145.15200000000002</v>
      </c>
      <c r="I47">
        <f t="shared" si="5"/>
        <v>604.80000000000007</v>
      </c>
      <c r="J47">
        <f t="shared" si="6"/>
        <v>403.2</v>
      </c>
      <c r="K47">
        <f t="shared" si="7"/>
        <v>96.768000000000001</v>
      </c>
      <c r="L47">
        <f t="shared" si="8"/>
        <v>11.733120000000001</v>
      </c>
      <c r="M47">
        <f t="shared" si="9"/>
        <v>11.075097600000003</v>
      </c>
      <c r="N47">
        <f t="shared" si="10"/>
        <v>5.2012800000000006</v>
      </c>
      <c r="O47">
        <f t="shared" si="21"/>
        <v>9.1206686117647084</v>
      </c>
      <c r="P47">
        <f t="shared" si="11"/>
        <v>4.8380129589632839</v>
      </c>
      <c r="Q47">
        <f t="shared" si="12"/>
        <v>67.2</v>
      </c>
      <c r="R47">
        <f t="shared" si="13"/>
        <v>576</v>
      </c>
      <c r="S47">
        <f t="shared" si="14"/>
        <v>213.12</v>
      </c>
      <c r="T47">
        <f t="shared" si="15"/>
        <v>190.07999999999998</v>
      </c>
      <c r="U47">
        <f>I47*E47/'[1]Inverter Analysis'!$L$2</f>
        <v>347.82826708923238</v>
      </c>
      <c r="V47">
        <f t="shared" si="16"/>
        <v>198.4126984126984</v>
      </c>
      <c r="W47">
        <f t="shared" si="17"/>
        <v>375.37537537537537</v>
      </c>
      <c r="X47">
        <f t="shared" si="18"/>
        <v>132.27513227513225</v>
      </c>
      <c r="Y47">
        <f t="shared" si="19"/>
        <v>3.0999467936404872</v>
      </c>
      <c r="Z47">
        <f t="shared" si="20"/>
        <v>0.65033374254545462</v>
      </c>
    </row>
    <row r="48" spans="1:26">
      <c r="A48">
        <v>12</v>
      </c>
      <c r="B48" s="12">
        <v>6</v>
      </c>
      <c r="C48" s="12">
        <v>8</v>
      </c>
      <c r="D48">
        <f t="shared" si="0"/>
        <v>540</v>
      </c>
      <c r="E48">
        <f t="shared" si="1"/>
        <v>360</v>
      </c>
      <c r="F48">
        <f t="shared" si="2"/>
        <v>40.32</v>
      </c>
      <c r="G48">
        <f t="shared" si="3"/>
        <v>0.35199999999999998</v>
      </c>
      <c r="H48">
        <f t="shared" si="4"/>
        <v>145.15200000000002</v>
      </c>
      <c r="I48">
        <f t="shared" si="5"/>
        <v>403.20000000000005</v>
      </c>
      <c r="J48">
        <f t="shared" si="6"/>
        <v>268.79999999999995</v>
      </c>
      <c r="K48">
        <f t="shared" si="7"/>
        <v>96.767999999999986</v>
      </c>
      <c r="L48">
        <f t="shared" si="8"/>
        <v>11.73312</v>
      </c>
      <c r="M48">
        <f t="shared" si="9"/>
        <v>11.075097600000001</v>
      </c>
      <c r="N48">
        <f t="shared" si="10"/>
        <v>5.2012800000000006</v>
      </c>
      <c r="O48">
        <f t="shared" si="21"/>
        <v>9.1206686117647084</v>
      </c>
      <c r="P48">
        <f t="shared" si="11"/>
        <v>5.4427645788336942</v>
      </c>
      <c r="Q48">
        <f t="shared" si="12"/>
        <v>50.400000000000006</v>
      </c>
      <c r="R48">
        <f t="shared" si="13"/>
        <v>576</v>
      </c>
      <c r="S48">
        <f t="shared" si="14"/>
        <v>142.07999999999996</v>
      </c>
      <c r="T48">
        <f t="shared" si="15"/>
        <v>126.72</v>
      </c>
      <c r="U48">
        <f>I48*E48/'[1]Inverter Analysis'!$L$2</f>
        <v>347.82826708923238</v>
      </c>
      <c r="V48">
        <f t="shared" si="16"/>
        <v>297.61904761904765</v>
      </c>
      <c r="W48">
        <f t="shared" si="17"/>
        <v>563.06306306306328</v>
      </c>
      <c r="X48">
        <f t="shared" si="18"/>
        <v>198.4126984126984</v>
      </c>
      <c r="Y48">
        <f t="shared" si="19"/>
        <v>6.9748802856911016</v>
      </c>
      <c r="Z48">
        <f t="shared" si="20"/>
        <v>0.28903721890909068</v>
      </c>
    </row>
    <row r="49" spans="1:26">
      <c r="A49" s="8">
        <v>16</v>
      </c>
      <c r="B49" s="12">
        <v>6</v>
      </c>
      <c r="C49">
        <v>6</v>
      </c>
      <c r="D49">
        <f t="shared" si="0"/>
        <v>540</v>
      </c>
      <c r="E49">
        <f t="shared" si="1"/>
        <v>360</v>
      </c>
      <c r="F49">
        <f t="shared" si="2"/>
        <v>40.32</v>
      </c>
      <c r="G49">
        <f t="shared" si="3"/>
        <v>0.35199999999999998</v>
      </c>
      <c r="H49">
        <f t="shared" si="4"/>
        <v>145.15200000000002</v>
      </c>
      <c r="I49">
        <f t="shared" si="5"/>
        <v>403.20000000000005</v>
      </c>
      <c r="J49">
        <f t="shared" si="6"/>
        <v>268.79999999999995</v>
      </c>
      <c r="K49">
        <f t="shared" si="7"/>
        <v>96.767999999999986</v>
      </c>
      <c r="L49">
        <f t="shared" si="8"/>
        <v>11.73312</v>
      </c>
      <c r="M49">
        <f t="shared" si="9"/>
        <v>11.075097600000001</v>
      </c>
      <c r="N49">
        <f t="shared" si="10"/>
        <v>5.2012800000000006</v>
      </c>
      <c r="O49">
        <f t="shared" si="21"/>
        <v>9.1206686117647084</v>
      </c>
      <c r="P49">
        <f t="shared" si="11"/>
        <v>7.2570194384449254</v>
      </c>
      <c r="Q49">
        <f t="shared" si="12"/>
        <v>67.2</v>
      </c>
      <c r="R49">
        <f t="shared" si="13"/>
        <v>576</v>
      </c>
      <c r="S49">
        <f t="shared" si="14"/>
        <v>142.07999999999996</v>
      </c>
      <c r="T49">
        <f t="shared" si="15"/>
        <v>126.72</v>
      </c>
      <c r="U49">
        <f>I49*E49/'[1]Inverter Analysis'!$L$2</f>
        <v>347.82826708923238</v>
      </c>
      <c r="V49">
        <f t="shared" si="16"/>
        <v>297.61904761904765</v>
      </c>
      <c r="W49">
        <f t="shared" si="17"/>
        <v>563.06306306306328</v>
      </c>
      <c r="X49">
        <f t="shared" si="18"/>
        <v>198.4126984126984</v>
      </c>
      <c r="Y49">
        <f t="shared" si="19"/>
        <v>6.9748802856911016</v>
      </c>
      <c r="Z49">
        <f t="shared" si="20"/>
        <v>0.28903721890909068</v>
      </c>
    </row>
    <row r="50" spans="1:26" hidden="1">
      <c r="A50">
        <v>13</v>
      </c>
      <c r="B50">
        <v>4</v>
      </c>
      <c r="C50" s="12">
        <v>11</v>
      </c>
      <c r="D50">
        <f t="shared" si="0"/>
        <v>360</v>
      </c>
      <c r="E50">
        <f t="shared" si="1"/>
        <v>240</v>
      </c>
      <c r="F50">
        <f t="shared" si="2"/>
        <v>40.04</v>
      </c>
      <c r="G50">
        <f t="shared" si="3"/>
        <v>0.78649999999999998</v>
      </c>
      <c r="H50">
        <f t="shared" si="4"/>
        <v>144.14400000000001</v>
      </c>
      <c r="I50">
        <f t="shared" si="5"/>
        <v>600.6</v>
      </c>
      <c r="J50">
        <f t="shared" si="6"/>
        <v>400.4</v>
      </c>
      <c r="K50">
        <f t="shared" si="7"/>
        <v>96.096000000000004</v>
      </c>
      <c r="L50">
        <f t="shared" si="8"/>
        <v>11.651639999999999</v>
      </c>
      <c r="M50">
        <f t="shared" si="9"/>
        <v>10.9981872</v>
      </c>
      <c r="N50">
        <f t="shared" si="10"/>
        <v>5.1651600000000002</v>
      </c>
      <c r="O50">
        <f t="shared" si="21"/>
        <v>9.0573306352941181</v>
      </c>
      <c r="P50">
        <f t="shared" si="11"/>
        <v>3.9308855291576674</v>
      </c>
      <c r="Q50">
        <f t="shared" si="12"/>
        <v>54.6</v>
      </c>
      <c r="R50">
        <f t="shared" si="13"/>
        <v>572</v>
      </c>
      <c r="S50">
        <f t="shared" si="14"/>
        <v>211.64</v>
      </c>
      <c r="T50">
        <f t="shared" si="15"/>
        <v>188.76</v>
      </c>
      <c r="U50">
        <f>I50*E50/'[1]Inverter Analysis'!$L$2</f>
        <v>345.41279301222374</v>
      </c>
      <c r="V50">
        <f t="shared" si="16"/>
        <v>199.80019980019981</v>
      </c>
      <c r="W50">
        <f t="shared" si="17"/>
        <v>378.00037800037802</v>
      </c>
      <c r="X50">
        <f t="shared" si="18"/>
        <v>133.20013320013319</v>
      </c>
      <c r="Y50">
        <f t="shared" si="19"/>
        <v>3.1434542869054307</v>
      </c>
      <c r="Z50">
        <f t="shared" si="20"/>
        <v>0.63687899274999982</v>
      </c>
    </row>
    <row r="51" spans="1:26" hidden="1">
      <c r="A51">
        <v>14</v>
      </c>
      <c r="B51" s="9">
        <v>5</v>
      </c>
      <c r="C51" s="12">
        <v>8</v>
      </c>
      <c r="D51">
        <f t="shared" si="0"/>
        <v>450</v>
      </c>
      <c r="E51">
        <f t="shared" si="1"/>
        <v>300</v>
      </c>
      <c r="F51">
        <f t="shared" si="2"/>
        <v>39.200000000000003</v>
      </c>
      <c r="G51">
        <f t="shared" si="3"/>
        <v>0.4927999999999999</v>
      </c>
      <c r="H51">
        <f t="shared" si="4"/>
        <v>141.12</v>
      </c>
      <c r="I51">
        <f t="shared" si="5"/>
        <v>470.40000000000003</v>
      </c>
      <c r="J51">
        <f t="shared" si="6"/>
        <v>313.59999999999997</v>
      </c>
      <c r="K51">
        <f t="shared" si="7"/>
        <v>94.079999999999984</v>
      </c>
      <c r="L51">
        <f t="shared" si="8"/>
        <v>11.407200000000001</v>
      </c>
      <c r="M51">
        <f t="shared" si="9"/>
        <v>10.767456000000003</v>
      </c>
      <c r="N51">
        <f t="shared" si="10"/>
        <v>5.0568</v>
      </c>
      <c r="O51">
        <f t="shared" si="21"/>
        <v>8.8673167058823559</v>
      </c>
      <c r="P51">
        <f t="shared" si="11"/>
        <v>5.2915766738660901</v>
      </c>
      <c r="Q51">
        <f t="shared" si="12"/>
        <v>58.800000000000004</v>
      </c>
      <c r="R51">
        <f t="shared" si="13"/>
        <v>560</v>
      </c>
      <c r="S51">
        <f t="shared" si="14"/>
        <v>165.76</v>
      </c>
      <c r="T51">
        <f t="shared" si="15"/>
        <v>147.83999999999997</v>
      </c>
      <c r="U51">
        <f>I51*E51/'[1]Inverter Analysis'!$L$2</f>
        <v>338.16637078119811</v>
      </c>
      <c r="V51">
        <f t="shared" si="16"/>
        <v>255.10204081632656</v>
      </c>
      <c r="W51">
        <f t="shared" si="17"/>
        <v>482.62548262548268</v>
      </c>
      <c r="X51">
        <f t="shared" si="18"/>
        <v>170.06802721088434</v>
      </c>
      <c r="Y51">
        <f t="shared" si="19"/>
        <v>5.1244018425485613</v>
      </c>
      <c r="Z51">
        <f t="shared" si="20"/>
        <v>0.38248366545454543</v>
      </c>
    </row>
    <row r="52" spans="1:26" hidden="1">
      <c r="A52" s="8">
        <v>16</v>
      </c>
      <c r="B52" s="9">
        <v>5</v>
      </c>
      <c r="C52" s="12">
        <v>7</v>
      </c>
      <c r="D52">
        <f t="shared" si="0"/>
        <v>450</v>
      </c>
      <c r="E52">
        <f t="shared" si="1"/>
        <v>300</v>
      </c>
      <c r="F52">
        <f t="shared" si="2"/>
        <v>39.200000000000003</v>
      </c>
      <c r="G52">
        <f t="shared" si="3"/>
        <v>0.4927999999999999</v>
      </c>
      <c r="H52">
        <f t="shared" si="4"/>
        <v>141.12</v>
      </c>
      <c r="I52">
        <f t="shared" si="5"/>
        <v>470.40000000000003</v>
      </c>
      <c r="J52">
        <f t="shared" si="6"/>
        <v>313.59999999999997</v>
      </c>
      <c r="K52">
        <f t="shared" si="7"/>
        <v>94.079999999999984</v>
      </c>
      <c r="L52">
        <f t="shared" si="8"/>
        <v>11.407200000000001</v>
      </c>
      <c r="M52">
        <f t="shared" si="9"/>
        <v>10.767456000000003</v>
      </c>
      <c r="N52">
        <f t="shared" si="10"/>
        <v>5.0568</v>
      </c>
      <c r="O52">
        <f t="shared" si="21"/>
        <v>8.8673167058823559</v>
      </c>
      <c r="P52">
        <f t="shared" si="11"/>
        <v>6.0475161987041028</v>
      </c>
      <c r="Q52">
        <f t="shared" si="12"/>
        <v>67.2</v>
      </c>
      <c r="R52">
        <f t="shared" si="13"/>
        <v>560</v>
      </c>
      <c r="S52">
        <f t="shared" si="14"/>
        <v>165.76</v>
      </c>
      <c r="T52">
        <f t="shared" si="15"/>
        <v>147.83999999999997</v>
      </c>
      <c r="U52">
        <f>I52*E52/'[1]Inverter Analysis'!$L$2</f>
        <v>338.16637078119811</v>
      </c>
      <c r="V52">
        <f t="shared" si="16"/>
        <v>255.10204081632656</v>
      </c>
      <c r="W52">
        <f t="shared" si="17"/>
        <v>482.62548262548268</v>
      </c>
      <c r="X52">
        <f t="shared" si="18"/>
        <v>170.06802721088434</v>
      </c>
      <c r="Y52">
        <f t="shared" si="19"/>
        <v>5.1244018425485613</v>
      </c>
      <c r="Z52">
        <f t="shared" si="20"/>
        <v>0.38248366545454543</v>
      </c>
    </row>
    <row r="53" spans="1:26" hidden="1">
      <c r="A53">
        <v>14</v>
      </c>
      <c r="B53">
        <v>4</v>
      </c>
      <c r="C53" s="12">
        <v>10</v>
      </c>
      <c r="D53">
        <f t="shared" si="0"/>
        <v>360</v>
      </c>
      <c r="E53">
        <f t="shared" si="1"/>
        <v>240</v>
      </c>
      <c r="F53">
        <f t="shared" si="2"/>
        <v>39.200000000000003</v>
      </c>
      <c r="G53">
        <f t="shared" si="3"/>
        <v>0.77</v>
      </c>
      <c r="H53">
        <f t="shared" si="4"/>
        <v>141.12</v>
      </c>
      <c r="I53">
        <f t="shared" si="5"/>
        <v>588</v>
      </c>
      <c r="J53">
        <f t="shared" si="6"/>
        <v>392</v>
      </c>
      <c r="K53">
        <f t="shared" si="7"/>
        <v>94.08</v>
      </c>
      <c r="L53">
        <f t="shared" si="8"/>
        <v>11.4072</v>
      </c>
      <c r="M53">
        <f t="shared" si="9"/>
        <v>10.767455999999999</v>
      </c>
      <c r="N53">
        <f t="shared" si="10"/>
        <v>5.0568</v>
      </c>
      <c r="O53">
        <f t="shared" si="21"/>
        <v>8.8673167058823523</v>
      </c>
      <c r="P53">
        <f t="shared" si="11"/>
        <v>4.2332613390928717</v>
      </c>
      <c r="Q53">
        <f t="shared" si="12"/>
        <v>58.8</v>
      </c>
      <c r="R53">
        <f t="shared" si="13"/>
        <v>560</v>
      </c>
      <c r="S53">
        <f t="shared" si="14"/>
        <v>207.2</v>
      </c>
      <c r="T53">
        <f t="shared" si="15"/>
        <v>184.8</v>
      </c>
      <c r="U53">
        <f>I53*E53/'[1]Inverter Analysis'!$L$2</f>
        <v>338.16637078119811</v>
      </c>
      <c r="V53">
        <f t="shared" si="16"/>
        <v>204.08163265306123</v>
      </c>
      <c r="W53">
        <f t="shared" si="17"/>
        <v>386.10038610038612</v>
      </c>
      <c r="X53">
        <f t="shared" si="18"/>
        <v>136.05442176870747</v>
      </c>
      <c r="Y53">
        <f t="shared" si="19"/>
        <v>3.2796171792310793</v>
      </c>
      <c r="Z53">
        <f t="shared" si="20"/>
        <v>0.59763072727272726</v>
      </c>
    </row>
    <row r="54" spans="1:26" hidden="1">
      <c r="A54">
        <v>10</v>
      </c>
      <c r="B54" s="9">
        <v>5</v>
      </c>
      <c r="C54" s="12">
        <v>11</v>
      </c>
      <c r="D54">
        <f t="shared" si="0"/>
        <v>450</v>
      </c>
      <c r="E54">
        <f t="shared" si="1"/>
        <v>300</v>
      </c>
      <c r="F54">
        <f t="shared" si="2"/>
        <v>38.5</v>
      </c>
      <c r="G54">
        <f t="shared" si="3"/>
        <v>0.48399999999999999</v>
      </c>
      <c r="H54">
        <f t="shared" si="4"/>
        <v>138.6</v>
      </c>
      <c r="I54">
        <f t="shared" si="5"/>
        <v>462</v>
      </c>
      <c r="J54">
        <f t="shared" si="6"/>
        <v>308</v>
      </c>
      <c r="K54">
        <f t="shared" si="7"/>
        <v>92.4</v>
      </c>
      <c r="L54">
        <f t="shared" si="8"/>
        <v>11.2035</v>
      </c>
      <c r="M54">
        <f t="shared" si="9"/>
        <v>10.57518</v>
      </c>
      <c r="N54">
        <f t="shared" si="10"/>
        <v>4.9664999999999999</v>
      </c>
      <c r="O54">
        <f t="shared" si="21"/>
        <v>8.7089717647058826</v>
      </c>
      <c r="P54">
        <f t="shared" si="11"/>
        <v>3.7796976241900642</v>
      </c>
      <c r="Q54">
        <f t="shared" si="12"/>
        <v>42</v>
      </c>
      <c r="R54">
        <f t="shared" si="13"/>
        <v>550</v>
      </c>
      <c r="S54">
        <f t="shared" si="14"/>
        <v>162.80000000000001</v>
      </c>
      <c r="T54">
        <f t="shared" si="15"/>
        <v>145.19999999999999</v>
      </c>
      <c r="U54">
        <f>I54*E54/'[1]Inverter Analysis'!$L$2</f>
        <v>332.12768558867668</v>
      </c>
      <c r="V54">
        <f t="shared" si="16"/>
        <v>259.74025974025972</v>
      </c>
      <c r="W54">
        <f t="shared" si="17"/>
        <v>491.40049140049138</v>
      </c>
      <c r="X54">
        <f t="shared" si="18"/>
        <v>173.16017316017317</v>
      </c>
      <c r="Y54">
        <f t="shared" si="19"/>
        <v>5.3124377448701763</v>
      </c>
      <c r="Z54">
        <f t="shared" si="20"/>
        <v>0.36235718750000007</v>
      </c>
    </row>
    <row r="55" spans="1:26" hidden="1">
      <c r="A55">
        <v>11</v>
      </c>
      <c r="B55" s="9">
        <v>5</v>
      </c>
      <c r="C55" s="12">
        <v>10</v>
      </c>
      <c r="D55">
        <f t="shared" si="0"/>
        <v>450</v>
      </c>
      <c r="E55">
        <f t="shared" si="1"/>
        <v>300</v>
      </c>
      <c r="F55">
        <f t="shared" si="2"/>
        <v>38.5</v>
      </c>
      <c r="G55">
        <f t="shared" si="3"/>
        <v>0.48399999999999993</v>
      </c>
      <c r="H55">
        <f t="shared" si="4"/>
        <v>138.6</v>
      </c>
      <c r="I55">
        <f t="shared" si="5"/>
        <v>462</v>
      </c>
      <c r="J55">
        <f t="shared" si="6"/>
        <v>308</v>
      </c>
      <c r="K55">
        <f t="shared" si="7"/>
        <v>92.4</v>
      </c>
      <c r="L55">
        <f t="shared" si="8"/>
        <v>11.2035</v>
      </c>
      <c r="M55">
        <f t="shared" si="9"/>
        <v>10.57518</v>
      </c>
      <c r="N55">
        <f t="shared" si="10"/>
        <v>4.9664999999999999</v>
      </c>
      <c r="O55">
        <f t="shared" si="21"/>
        <v>8.7089717647058826</v>
      </c>
      <c r="P55">
        <f t="shared" si="11"/>
        <v>4.157667386609071</v>
      </c>
      <c r="Q55">
        <f t="shared" si="12"/>
        <v>46.2</v>
      </c>
      <c r="R55">
        <f t="shared" si="13"/>
        <v>550</v>
      </c>
      <c r="S55">
        <f t="shared" si="14"/>
        <v>162.80000000000001</v>
      </c>
      <c r="T55">
        <f t="shared" si="15"/>
        <v>145.19999999999999</v>
      </c>
      <c r="U55">
        <f>I55*E55/'[1]Inverter Analysis'!$L$2</f>
        <v>332.12768558867668</v>
      </c>
      <c r="V55">
        <f t="shared" si="16"/>
        <v>259.74025974025972</v>
      </c>
      <c r="W55">
        <f t="shared" si="17"/>
        <v>491.40049140049138</v>
      </c>
      <c r="X55">
        <f t="shared" si="18"/>
        <v>173.16017316017317</v>
      </c>
      <c r="Y55">
        <f t="shared" si="19"/>
        <v>5.3124377448701763</v>
      </c>
      <c r="Z55">
        <f t="shared" si="20"/>
        <v>0.36235718750000007</v>
      </c>
    </row>
    <row r="56" spans="1:26" hidden="1">
      <c r="A56">
        <v>12</v>
      </c>
      <c r="B56" s="9">
        <v>5</v>
      </c>
      <c r="C56" s="12">
        <v>9</v>
      </c>
      <c r="D56">
        <f t="shared" si="0"/>
        <v>450</v>
      </c>
      <c r="E56">
        <f t="shared" si="1"/>
        <v>300</v>
      </c>
      <c r="F56">
        <f t="shared" si="2"/>
        <v>37.799999999999997</v>
      </c>
      <c r="G56">
        <f t="shared" si="3"/>
        <v>0.47519999999999996</v>
      </c>
      <c r="H56">
        <f t="shared" si="4"/>
        <v>136.08000000000001</v>
      </c>
      <c r="I56">
        <f t="shared" si="5"/>
        <v>453.6</v>
      </c>
      <c r="J56">
        <f t="shared" si="6"/>
        <v>302.39999999999998</v>
      </c>
      <c r="K56">
        <f t="shared" si="7"/>
        <v>90.72</v>
      </c>
      <c r="L56">
        <f t="shared" si="8"/>
        <v>10.999799999999999</v>
      </c>
      <c r="M56">
        <f t="shared" si="9"/>
        <v>10.382904</v>
      </c>
      <c r="N56">
        <f t="shared" si="10"/>
        <v>4.8761999999999999</v>
      </c>
      <c r="O56">
        <f t="shared" si="21"/>
        <v>8.5506268235294129</v>
      </c>
      <c r="P56">
        <f t="shared" si="11"/>
        <v>4.5356371490280774</v>
      </c>
      <c r="Q56">
        <f t="shared" si="12"/>
        <v>50.400000000000006</v>
      </c>
      <c r="R56">
        <f t="shared" si="13"/>
        <v>540</v>
      </c>
      <c r="S56">
        <f t="shared" si="14"/>
        <v>159.84</v>
      </c>
      <c r="T56">
        <f t="shared" si="15"/>
        <v>142.55999999999997</v>
      </c>
      <c r="U56">
        <f>I56*E56/'[1]Inverter Analysis'!$L$2</f>
        <v>326.08900039615531</v>
      </c>
      <c r="V56">
        <f t="shared" si="16"/>
        <v>264.55026455026456</v>
      </c>
      <c r="W56">
        <f t="shared" si="17"/>
        <v>500.50050050050049</v>
      </c>
      <c r="X56">
        <f t="shared" si="18"/>
        <v>176.3668430335097</v>
      </c>
      <c r="Y56">
        <f t="shared" si="19"/>
        <v>5.511016522027532</v>
      </c>
      <c r="Z56">
        <f t="shared" si="20"/>
        <v>0.34294943454545457</v>
      </c>
    </row>
    <row r="57" spans="1:26" hidden="1">
      <c r="A57">
        <v>15</v>
      </c>
      <c r="B57">
        <v>4</v>
      </c>
      <c r="C57" s="12">
        <v>9</v>
      </c>
      <c r="D57">
        <f t="shared" si="0"/>
        <v>360</v>
      </c>
      <c r="E57">
        <f t="shared" si="1"/>
        <v>240</v>
      </c>
      <c r="F57">
        <f t="shared" si="2"/>
        <v>37.799999999999997</v>
      </c>
      <c r="G57">
        <f t="shared" si="3"/>
        <v>0.74249999999999994</v>
      </c>
      <c r="H57">
        <f t="shared" si="4"/>
        <v>136.08000000000001</v>
      </c>
      <c r="I57">
        <f t="shared" si="5"/>
        <v>567</v>
      </c>
      <c r="J57">
        <f t="shared" si="6"/>
        <v>378</v>
      </c>
      <c r="K57">
        <f t="shared" si="7"/>
        <v>90.72</v>
      </c>
      <c r="L57">
        <f t="shared" si="8"/>
        <v>10.999799999999999</v>
      </c>
      <c r="M57">
        <f t="shared" si="9"/>
        <v>10.382904</v>
      </c>
      <c r="N57">
        <f t="shared" si="10"/>
        <v>4.8761999999999999</v>
      </c>
      <c r="O57">
        <f t="shared" si="21"/>
        <v>8.5506268235294129</v>
      </c>
      <c r="P57">
        <f t="shared" si="11"/>
        <v>4.5356371490280774</v>
      </c>
      <c r="Q57">
        <f t="shared" si="12"/>
        <v>63</v>
      </c>
      <c r="R57">
        <f t="shared" si="13"/>
        <v>540</v>
      </c>
      <c r="S57">
        <f t="shared" si="14"/>
        <v>199.8</v>
      </c>
      <c r="T57">
        <f t="shared" si="15"/>
        <v>178.2</v>
      </c>
      <c r="U57">
        <f>I57*E57/'[1]Inverter Analysis'!$L$2</f>
        <v>326.08900039615531</v>
      </c>
      <c r="V57">
        <f t="shared" si="16"/>
        <v>211.64021164021165</v>
      </c>
      <c r="W57">
        <f t="shared" si="17"/>
        <v>400.40040040040037</v>
      </c>
      <c r="X57">
        <f t="shared" si="18"/>
        <v>141.09347442680777</v>
      </c>
      <c r="Y57">
        <f t="shared" si="19"/>
        <v>3.5270505740976206</v>
      </c>
      <c r="Z57">
        <f t="shared" si="20"/>
        <v>0.53585849147727282</v>
      </c>
    </row>
    <row r="58" spans="1:26" hidden="1">
      <c r="A58">
        <v>11</v>
      </c>
      <c r="B58">
        <v>4</v>
      </c>
      <c r="C58">
        <v>12</v>
      </c>
      <c r="D58">
        <f t="shared" si="0"/>
        <v>360</v>
      </c>
      <c r="E58">
        <f t="shared" si="1"/>
        <v>240</v>
      </c>
      <c r="F58">
        <f t="shared" si="2"/>
        <v>36.96</v>
      </c>
      <c r="G58">
        <f t="shared" si="3"/>
        <v>0.72599999999999998</v>
      </c>
      <c r="H58">
        <f t="shared" si="4"/>
        <v>133.05600000000001</v>
      </c>
      <c r="I58">
        <f t="shared" si="5"/>
        <v>554.4</v>
      </c>
      <c r="J58">
        <f t="shared" si="6"/>
        <v>369.59999999999997</v>
      </c>
      <c r="K58">
        <f t="shared" si="7"/>
        <v>88.703999999999979</v>
      </c>
      <c r="L58">
        <f t="shared" si="8"/>
        <v>10.75536</v>
      </c>
      <c r="M58">
        <f t="shared" si="9"/>
        <v>10.152172800000001</v>
      </c>
      <c r="N58">
        <f t="shared" si="10"/>
        <v>4.7678399999999996</v>
      </c>
      <c r="O58">
        <f t="shared" si="21"/>
        <v>8.360612894117649</v>
      </c>
      <c r="P58">
        <f t="shared" si="11"/>
        <v>3.3261339092872571</v>
      </c>
      <c r="Q58">
        <f t="shared" si="12"/>
        <v>46.199999999999996</v>
      </c>
      <c r="R58">
        <f t="shared" si="13"/>
        <v>528</v>
      </c>
      <c r="S58">
        <f t="shared" si="14"/>
        <v>195.35999999999996</v>
      </c>
      <c r="T58">
        <f t="shared" si="15"/>
        <v>174.24</v>
      </c>
      <c r="U58">
        <f>I58*E58/'[1]Inverter Analysis'!$L$2</f>
        <v>318.84257816512962</v>
      </c>
      <c r="V58">
        <f t="shared" si="16"/>
        <v>216.45021645021646</v>
      </c>
      <c r="W58">
        <f t="shared" si="17"/>
        <v>409.5004095004096</v>
      </c>
      <c r="X58">
        <f t="shared" si="18"/>
        <v>144.3001443001443</v>
      </c>
      <c r="Y58">
        <f t="shared" si="19"/>
        <v>3.6891928783820691</v>
      </c>
      <c r="Z58">
        <f t="shared" si="20"/>
        <v>0.50092257599999979</v>
      </c>
    </row>
    <row r="59" spans="1:26" hidden="1">
      <c r="A59">
        <v>12</v>
      </c>
      <c r="B59">
        <v>4</v>
      </c>
      <c r="C59" s="12">
        <v>11</v>
      </c>
      <c r="D59">
        <f t="shared" si="0"/>
        <v>360</v>
      </c>
      <c r="E59">
        <f t="shared" si="1"/>
        <v>240</v>
      </c>
      <c r="F59">
        <f t="shared" si="2"/>
        <v>36.96</v>
      </c>
      <c r="G59">
        <f t="shared" si="3"/>
        <v>0.72599999999999998</v>
      </c>
      <c r="H59">
        <f t="shared" si="4"/>
        <v>133.05600000000001</v>
      </c>
      <c r="I59">
        <f t="shared" si="5"/>
        <v>554.4</v>
      </c>
      <c r="J59">
        <f t="shared" si="6"/>
        <v>369.59999999999997</v>
      </c>
      <c r="K59">
        <f t="shared" si="7"/>
        <v>88.703999999999979</v>
      </c>
      <c r="L59">
        <f t="shared" si="8"/>
        <v>10.75536</v>
      </c>
      <c r="M59">
        <f t="shared" si="9"/>
        <v>10.152172800000001</v>
      </c>
      <c r="N59">
        <f t="shared" si="10"/>
        <v>4.7678399999999996</v>
      </c>
      <c r="O59">
        <f t="shared" si="21"/>
        <v>8.360612894117649</v>
      </c>
      <c r="P59">
        <f t="shared" si="11"/>
        <v>3.6285097192224622</v>
      </c>
      <c r="Q59">
        <f t="shared" si="12"/>
        <v>50.4</v>
      </c>
      <c r="R59">
        <f t="shared" si="13"/>
        <v>528</v>
      </c>
      <c r="S59">
        <f t="shared" si="14"/>
        <v>195.35999999999996</v>
      </c>
      <c r="T59">
        <f t="shared" si="15"/>
        <v>174.24</v>
      </c>
      <c r="U59">
        <f>I59*E59/'[1]Inverter Analysis'!$L$2</f>
        <v>318.84257816512962</v>
      </c>
      <c r="V59">
        <f t="shared" si="16"/>
        <v>216.45021645021646</v>
      </c>
      <c r="W59">
        <f t="shared" si="17"/>
        <v>409.5004095004096</v>
      </c>
      <c r="X59">
        <f t="shared" si="18"/>
        <v>144.3001443001443</v>
      </c>
      <c r="Y59">
        <f t="shared" si="19"/>
        <v>3.6891928783820691</v>
      </c>
      <c r="Z59">
        <f t="shared" si="20"/>
        <v>0.50092257599999979</v>
      </c>
    </row>
    <row r="60" spans="1:26" hidden="1">
      <c r="A60" s="8">
        <v>15</v>
      </c>
      <c r="B60" s="9">
        <v>5</v>
      </c>
      <c r="C60" s="12">
        <v>7</v>
      </c>
      <c r="D60">
        <f t="shared" si="0"/>
        <v>450</v>
      </c>
      <c r="E60">
        <f t="shared" si="1"/>
        <v>300</v>
      </c>
      <c r="F60">
        <f t="shared" si="2"/>
        <v>36.75</v>
      </c>
      <c r="G60">
        <f t="shared" si="3"/>
        <v>0.46199999999999991</v>
      </c>
      <c r="H60">
        <f t="shared" si="4"/>
        <v>132.30000000000001</v>
      </c>
      <c r="I60">
        <f t="shared" si="5"/>
        <v>441</v>
      </c>
      <c r="J60">
        <f t="shared" si="6"/>
        <v>294</v>
      </c>
      <c r="K60">
        <f t="shared" si="7"/>
        <v>88.2</v>
      </c>
      <c r="L60">
        <f t="shared" si="8"/>
        <v>10.69425</v>
      </c>
      <c r="M60">
        <f t="shared" si="9"/>
        <v>10.094490000000002</v>
      </c>
      <c r="N60">
        <f t="shared" si="10"/>
        <v>4.7407500000000002</v>
      </c>
      <c r="O60">
        <f t="shared" si="21"/>
        <v>8.3131094117647084</v>
      </c>
      <c r="P60">
        <f t="shared" si="11"/>
        <v>5.6695464362850965</v>
      </c>
      <c r="Q60">
        <f t="shared" si="12"/>
        <v>63</v>
      </c>
      <c r="R60">
        <f t="shared" si="13"/>
        <v>525</v>
      </c>
      <c r="S60">
        <f t="shared" si="14"/>
        <v>155.40000000000003</v>
      </c>
      <c r="T60">
        <f t="shared" si="15"/>
        <v>138.59999999999997</v>
      </c>
      <c r="U60">
        <f>I60*E60/'[1]Inverter Analysis'!$L$2</f>
        <v>317.0309726073732</v>
      </c>
      <c r="V60">
        <f t="shared" si="16"/>
        <v>272.10884353741494</v>
      </c>
      <c r="W60">
        <f t="shared" si="17"/>
        <v>514.80051480051463</v>
      </c>
      <c r="X60">
        <f t="shared" si="18"/>
        <v>181.40589569160997</v>
      </c>
      <c r="Y60">
        <f t="shared" si="19"/>
        <v>5.8304305408552466</v>
      </c>
      <c r="Z60">
        <f t="shared" si="20"/>
        <v>0.3151568288352275</v>
      </c>
    </row>
    <row r="61" spans="1:26" hidden="1">
      <c r="A61">
        <v>13</v>
      </c>
      <c r="B61">
        <v>4</v>
      </c>
      <c r="C61" s="12">
        <v>10</v>
      </c>
      <c r="D61">
        <f t="shared" si="0"/>
        <v>360</v>
      </c>
      <c r="E61">
        <f t="shared" si="1"/>
        <v>240</v>
      </c>
      <c r="F61">
        <f t="shared" si="2"/>
        <v>36.4</v>
      </c>
      <c r="G61">
        <f t="shared" si="3"/>
        <v>0.71499999999999997</v>
      </c>
      <c r="H61">
        <f t="shared" si="4"/>
        <v>131.04</v>
      </c>
      <c r="I61">
        <f t="shared" si="5"/>
        <v>546</v>
      </c>
      <c r="J61">
        <f t="shared" si="6"/>
        <v>364</v>
      </c>
      <c r="K61">
        <f t="shared" si="7"/>
        <v>87.36</v>
      </c>
      <c r="L61">
        <f t="shared" si="8"/>
        <v>10.5924</v>
      </c>
      <c r="M61">
        <f t="shared" si="9"/>
        <v>9.9983520000000006</v>
      </c>
      <c r="N61">
        <f t="shared" si="10"/>
        <v>4.6955999999999998</v>
      </c>
      <c r="O61">
        <f t="shared" si="21"/>
        <v>8.2339369411764718</v>
      </c>
      <c r="P61">
        <f t="shared" si="11"/>
        <v>3.930885529157667</v>
      </c>
      <c r="Q61">
        <f t="shared" si="12"/>
        <v>54.6</v>
      </c>
      <c r="R61">
        <f t="shared" si="13"/>
        <v>520</v>
      </c>
      <c r="S61">
        <f t="shared" si="14"/>
        <v>192.4</v>
      </c>
      <c r="T61">
        <f t="shared" si="15"/>
        <v>171.6</v>
      </c>
      <c r="U61">
        <f>I61*E61/'[1]Inverter Analysis'!$L$2</f>
        <v>314.01163001111252</v>
      </c>
      <c r="V61">
        <f t="shared" si="16"/>
        <v>219.78021978021977</v>
      </c>
      <c r="W61">
        <f t="shared" si="17"/>
        <v>415.80041580041581</v>
      </c>
      <c r="X61">
        <f t="shared" si="18"/>
        <v>146.52014652014651</v>
      </c>
      <c r="Y61">
        <f t="shared" si="19"/>
        <v>3.8035796871555707</v>
      </c>
      <c r="Z61">
        <f t="shared" si="20"/>
        <v>0.47849661363636364</v>
      </c>
    </row>
    <row r="62" spans="1:26" hidden="1">
      <c r="A62">
        <v>13</v>
      </c>
      <c r="B62" s="9">
        <v>5</v>
      </c>
      <c r="C62" s="12">
        <v>8</v>
      </c>
      <c r="D62">
        <f t="shared" si="0"/>
        <v>450</v>
      </c>
      <c r="E62">
        <f t="shared" si="1"/>
        <v>300</v>
      </c>
      <c r="F62">
        <f t="shared" si="2"/>
        <v>36.4</v>
      </c>
      <c r="G62">
        <f t="shared" si="3"/>
        <v>0.45759999999999995</v>
      </c>
      <c r="H62">
        <f t="shared" si="4"/>
        <v>131.04</v>
      </c>
      <c r="I62">
        <f t="shared" si="5"/>
        <v>436.8</v>
      </c>
      <c r="J62">
        <f t="shared" si="6"/>
        <v>291.2</v>
      </c>
      <c r="K62">
        <f t="shared" si="7"/>
        <v>87.36</v>
      </c>
      <c r="L62">
        <f t="shared" si="8"/>
        <v>10.5924</v>
      </c>
      <c r="M62">
        <f t="shared" si="9"/>
        <v>9.9983520000000006</v>
      </c>
      <c r="N62">
        <f t="shared" si="10"/>
        <v>4.6956000000000007</v>
      </c>
      <c r="O62">
        <f t="shared" si="21"/>
        <v>8.2339369411764718</v>
      </c>
      <c r="P62">
        <f t="shared" si="11"/>
        <v>4.9136069114470837</v>
      </c>
      <c r="Q62">
        <f t="shared" si="12"/>
        <v>54.6</v>
      </c>
      <c r="R62">
        <f t="shared" si="13"/>
        <v>520</v>
      </c>
      <c r="S62">
        <f t="shared" si="14"/>
        <v>153.92000000000002</v>
      </c>
      <c r="T62">
        <f t="shared" si="15"/>
        <v>137.27999999999997</v>
      </c>
      <c r="U62">
        <f>I62*E62/'[1]Inverter Analysis'!$L$2</f>
        <v>314.01163001111252</v>
      </c>
      <c r="V62">
        <f t="shared" si="16"/>
        <v>274.72527472527474</v>
      </c>
      <c r="W62">
        <f t="shared" si="17"/>
        <v>519.75051975051974</v>
      </c>
      <c r="X62">
        <f t="shared" si="18"/>
        <v>183.15018315018315</v>
      </c>
      <c r="Y62">
        <f t="shared" si="19"/>
        <v>5.9430932611805787</v>
      </c>
      <c r="Z62">
        <f t="shared" si="20"/>
        <v>0.30623783272727279</v>
      </c>
    </row>
    <row r="63" spans="1:26" hidden="1">
      <c r="A63">
        <v>16</v>
      </c>
      <c r="B63">
        <v>4</v>
      </c>
      <c r="C63" s="12">
        <v>8</v>
      </c>
      <c r="D63">
        <f t="shared" si="0"/>
        <v>360</v>
      </c>
      <c r="E63">
        <f t="shared" si="1"/>
        <v>240</v>
      </c>
      <c r="F63">
        <f t="shared" si="2"/>
        <v>35.840000000000003</v>
      </c>
      <c r="G63">
        <f t="shared" si="3"/>
        <v>0.70399999999999996</v>
      </c>
      <c r="H63">
        <f t="shared" si="4"/>
        <v>129.024</v>
      </c>
      <c r="I63">
        <f t="shared" si="5"/>
        <v>537.6</v>
      </c>
      <c r="J63">
        <f t="shared" si="6"/>
        <v>358.4</v>
      </c>
      <c r="K63">
        <f t="shared" si="7"/>
        <v>86.016000000000005</v>
      </c>
      <c r="L63">
        <f t="shared" si="8"/>
        <v>10.429440000000001</v>
      </c>
      <c r="M63">
        <f t="shared" si="9"/>
        <v>9.8445312000000005</v>
      </c>
      <c r="N63">
        <f t="shared" si="10"/>
        <v>4.6233599999999999</v>
      </c>
      <c r="O63">
        <f t="shared" si="21"/>
        <v>8.1072609882352946</v>
      </c>
      <c r="P63">
        <f t="shared" si="11"/>
        <v>4.838012958963283</v>
      </c>
      <c r="Q63">
        <f t="shared" si="12"/>
        <v>67.2</v>
      </c>
      <c r="R63">
        <f t="shared" si="13"/>
        <v>512</v>
      </c>
      <c r="S63">
        <f t="shared" si="14"/>
        <v>189.44</v>
      </c>
      <c r="T63">
        <f t="shared" si="15"/>
        <v>168.95999999999998</v>
      </c>
      <c r="U63">
        <f>I63*E63/'[1]Inverter Analysis'!$L$2</f>
        <v>309.18068185709541</v>
      </c>
      <c r="V63">
        <f t="shared" si="16"/>
        <v>223.21428571428572</v>
      </c>
      <c r="W63">
        <f t="shared" si="17"/>
        <v>422.29729729729729</v>
      </c>
      <c r="X63">
        <f t="shared" si="18"/>
        <v>148.8095238095238</v>
      </c>
      <c r="Y63">
        <f t="shared" si="19"/>
        <v>3.9233701607012414</v>
      </c>
      <c r="Z63">
        <f t="shared" si="20"/>
        <v>0.45675017309090915</v>
      </c>
    </row>
    <row r="64" spans="1:26" hidden="1">
      <c r="A64">
        <v>14</v>
      </c>
      <c r="B64">
        <v>4</v>
      </c>
      <c r="C64" s="12">
        <v>9</v>
      </c>
      <c r="D64">
        <f t="shared" si="0"/>
        <v>360</v>
      </c>
      <c r="E64">
        <f t="shared" si="1"/>
        <v>240</v>
      </c>
      <c r="F64">
        <f t="shared" si="2"/>
        <v>35.28</v>
      </c>
      <c r="G64">
        <f t="shared" si="3"/>
        <v>0.69299999999999995</v>
      </c>
      <c r="H64">
        <f t="shared" si="4"/>
        <v>127.00800000000001</v>
      </c>
      <c r="I64">
        <f t="shared" si="5"/>
        <v>529.20000000000005</v>
      </c>
      <c r="J64">
        <f t="shared" si="6"/>
        <v>352.79999999999995</v>
      </c>
      <c r="K64">
        <f t="shared" si="7"/>
        <v>84.671999999999983</v>
      </c>
      <c r="L64">
        <f t="shared" si="8"/>
        <v>10.26648</v>
      </c>
      <c r="M64">
        <f t="shared" si="9"/>
        <v>9.6907104000000022</v>
      </c>
      <c r="N64">
        <f t="shared" si="10"/>
        <v>4.5511200000000001</v>
      </c>
      <c r="O64">
        <f t="shared" si="21"/>
        <v>7.9805850352941201</v>
      </c>
      <c r="P64">
        <f t="shared" si="11"/>
        <v>4.2332613390928726</v>
      </c>
      <c r="Q64">
        <f t="shared" si="12"/>
        <v>58.800000000000004</v>
      </c>
      <c r="R64">
        <f t="shared" si="13"/>
        <v>504</v>
      </c>
      <c r="S64">
        <f t="shared" si="14"/>
        <v>186.47999999999996</v>
      </c>
      <c r="T64">
        <f t="shared" si="15"/>
        <v>166.32</v>
      </c>
      <c r="U64">
        <f>I64*E64/'[1]Inverter Analysis'!$L$2</f>
        <v>304.3497337030783</v>
      </c>
      <c r="V64">
        <f t="shared" si="16"/>
        <v>226.7573696145125</v>
      </c>
      <c r="W64">
        <f t="shared" si="17"/>
        <v>429.00042900042911</v>
      </c>
      <c r="X64">
        <f t="shared" si="18"/>
        <v>151.17157974300829</v>
      </c>
      <c r="Y64">
        <f t="shared" si="19"/>
        <v>4.0489100978161483</v>
      </c>
      <c r="Z64">
        <f t="shared" si="20"/>
        <v>0.43567280018181803</v>
      </c>
    </row>
    <row r="65" spans="1:26" hidden="1">
      <c r="A65">
        <v>10</v>
      </c>
      <c r="B65" s="9">
        <v>5</v>
      </c>
      <c r="C65" s="12">
        <v>10</v>
      </c>
      <c r="D65">
        <f t="shared" si="0"/>
        <v>450</v>
      </c>
      <c r="E65">
        <f t="shared" si="1"/>
        <v>300</v>
      </c>
      <c r="F65">
        <f t="shared" si="2"/>
        <v>35</v>
      </c>
      <c r="G65">
        <f t="shared" si="3"/>
        <v>0.43999999999999995</v>
      </c>
      <c r="H65">
        <f t="shared" si="4"/>
        <v>126</v>
      </c>
      <c r="I65">
        <f t="shared" si="5"/>
        <v>420</v>
      </c>
      <c r="J65">
        <f t="shared" si="6"/>
        <v>280</v>
      </c>
      <c r="K65">
        <f t="shared" si="7"/>
        <v>84</v>
      </c>
      <c r="L65">
        <f t="shared" si="8"/>
        <v>10.184999999999999</v>
      </c>
      <c r="M65">
        <f t="shared" si="9"/>
        <v>9.6138000000000012</v>
      </c>
      <c r="N65">
        <f t="shared" si="10"/>
        <v>4.5149999999999997</v>
      </c>
      <c r="O65">
        <f t="shared" si="21"/>
        <v>7.9172470588235315</v>
      </c>
      <c r="P65">
        <f t="shared" si="11"/>
        <v>3.7796976241900646</v>
      </c>
      <c r="Q65">
        <f t="shared" si="12"/>
        <v>42</v>
      </c>
      <c r="R65">
        <f t="shared" si="13"/>
        <v>500</v>
      </c>
      <c r="S65">
        <f t="shared" si="14"/>
        <v>148.00000000000003</v>
      </c>
      <c r="T65">
        <f t="shared" si="15"/>
        <v>131.99999999999997</v>
      </c>
      <c r="U65">
        <f>I65*E65/'[1]Inverter Analysis'!$L$2</f>
        <v>301.93425962606972</v>
      </c>
      <c r="V65">
        <f t="shared" si="16"/>
        <v>285.71428571428572</v>
      </c>
      <c r="W65">
        <f t="shared" si="17"/>
        <v>540.54054054054041</v>
      </c>
      <c r="X65">
        <f t="shared" si="18"/>
        <v>190.47619047619048</v>
      </c>
      <c r="Y65">
        <f t="shared" si="19"/>
        <v>6.4280496712929107</v>
      </c>
      <c r="Z65">
        <f t="shared" si="20"/>
        <v>0.27224431818181838</v>
      </c>
    </row>
    <row r="66" spans="1:26" hidden="1">
      <c r="A66">
        <v>11</v>
      </c>
      <c r="B66" s="9">
        <v>5</v>
      </c>
      <c r="C66" s="12">
        <v>9</v>
      </c>
      <c r="D66">
        <f t="shared" si="0"/>
        <v>450</v>
      </c>
      <c r="E66">
        <f t="shared" si="1"/>
        <v>300</v>
      </c>
      <c r="F66">
        <f t="shared" si="2"/>
        <v>34.65</v>
      </c>
      <c r="G66">
        <f t="shared" si="3"/>
        <v>0.43559999999999993</v>
      </c>
      <c r="H66">
        <f t="shared" si="4"/>
        <v>124.74</v>
      </c>
      <c r="I66">
        <f t="shared" si="5"/>
        <v>415.8</v>
      </c>
      <c r="J66">
        <f t="shared" si="6"/>
        <v>277.2</v>
      </c>
      <c r="K66">
        <f t="shared" si="7"/>
        <v>83.16</v>
      </c>
      <c r="L66">
        <f t="shared" si="8"/>
        <v>10.08315</v>
      </c>
      <c r="M66">
        <f t="shared" si="9"/>
        <v>9.5176620000000014</v>
      </c>
      <c r="N66">
        <f t="shared" si="10"/>
        <v>4.4698500000000001</v>
      </c>
      <c r="O66">
        <f t="shared" si="21"/>
        <v>7.8380745882352958</v>
      </c>
      <c r="P66">
        <f t="shared" si="11"/>
        <v>4.157667386609071</v>
      </c>
      <c r="Q66">
        <f t="shared" si="12"/>
        <v>46.2</v>
      </c>
      <c r="R66">
        <f t="shared" si="13"/>
        <v>495</v>
      </c>
      <c r="S66">
        <f t="shared" si="14"/>
        <v>146.52000000000001</v>
      </c>
      <c r="T66">
        <f t="shared" si="15"/>
        <v>130.67999999999998</v>
      </c>
      <c r="U66">
        <f>I66*E66/'[1]Inverter Analysis'!$L$2</f>
        <v>298.91491702980903</v>
      </c>
      <c r="V66">
        <f t="shared" si="16"/>
        <v>288.60028860028859</v>
      </c>
      <c r="W66">
        <f t="shared" si="17"/>
        <v>546.00054600054591</v>
      </c>
      <c r="X66">
        <f t="shared" si="18"/>
        <v>192.4001924001924</v>
      </c>
      <c r="Y66">
        <f t="shared" si="19"/>
        <v>6.5585651171236723</v>
      </c>
      <c r="Z66">
        <f t="shared" si="20"/>
        <v>0.26415838968750016</v>
      </c>
    </row>
    <row r="67" spans="1:26" hidden="1">
      <c r="A67">
        <v>14</v>
      </c>
      <c r="B67" s="9">
        <v>5</v>
      </c>
      <c r="C67" s="12">
        <v>7</v>
      </c>
      <c r="D67">
        <f t="shared" si="0"/>
        <v>450</v>
      </c>
      <c r="E67">
        <f t="shared" si="1"/>
        <v>300</v>
      </c>
      <c r="F67">
        <f t="shared" si="2"/>
        <v>34.299999999999997</v>
      </c>
      <c r="G67">
        <f t="shared" si="3"/>
        <v>0.43119999999999992</v>
      </c>
      <c r="H67">
        <f t="shared" si="4"/>
        <v>123.48</v>
      </c>
      <c r="I67">
        <f t="shared" si="5"/>
        <v>411.6</v>
      </c>
      <c r="J67">
        <f t="shared" si="6"/>
        <v>274.39999999999998</v>
      </c>
      <c r="K67">
        <f t="shared" si="7"/>
        <v>82.32</v>
      </c>
      <c r="L67">
        <f t="shared" si="8"/>
        <v>9.9812999999999992</v>
      </c>
      <c r="M67">
        <f t="shared" si="9"/>
        <v>9.4215240000000016</v>
      </c>
      <c r="N67">
        <f t="shared" si="10"/>
        <v>4.4247000000000005</v>
      </c>
      <c r="O67">
        <f t="shared" si="21"/>
        <v>7.7589021176470609</v>
      </c>
      <c r="P67">
        <f t="shared" si="11"/>
        <v>5.2915766738660901</v>
      </c>
      <c r="Q67">
        <f t="shared" si="12"/>
        <v>58.800000000000004</v>
      </c>
      <c r="R67">
        <f t="shared" si="13"/>
        <v>490</v>
      </c>
      <c r="S67">
        <f t="shared" si="14"/>
        <v>145.04</v>
      </c>
      <c r="T67">
        <f t="shared" si="15"/>
        <v>129.35999999999999</v>
      </c>
      <c r="U67">
        <f>I67*E67/'[1]Inverter Analysis'!$L$2</f>
        <v>295.89557443354835</v>
      </c>
      <c r="V67">
        <f t="shared" si="16"/>
        <v>291.54518950437318</v>
      </c>
      <c r="W67">
        <f t="shared" si="17"/>
        <v>551.57198014340872</v>
      </c>
      <c r="X67">
        <f t="shared" si="18"/>
        <v>194.36345966958211</v>
      </c>
      <c r="Y67">
        <f t="shared" si="19"/>
        <v>6.6930962841450583</v>
      </c>
      <c r="Z67">
        <f t="shared" si="20"/>
        <v>0.25623417431818185</v>
      </c>
    </row>
    <row r="68" spans="1:26" hidden="1">
      <c r="A68">
        <v>11</v>
      </c>
      <c r="B68">
        <v>4</v>
      </c>
      <c r="C68" s="12">
        <v>11</v>
      </c>
      <c r="D68">
        <f t="shared" si="0"/>
        <v>360</v>
      </c>
      <c r="E68">
        <f t="shared" si="1"/>
        <v>240</v>
      </c>
      <c r="F68">
        <f t="shared" si="2"/>
        <v>33.880000000000003</v>
      </c>
      <c r="G68">
        <f t="shared" si="3"/>
        <v>0.66549999999999998</v>
      </c>
      <c r="H68">
        <f t="shared" si="4"/>
        <v>121.96800000000002</v>
      </c>
      <c r="I68">
        <f t="shared" si="5"/>
        <v>508.20000000000005</v>
      </c>
      <c r="J68">
        <f t="shared" si="6"/>
        <v>338.79999999999995</v>
      </c>
      <c r="K68">
        <f t="shared" si="7"/>
        <v>81.311999999999983</v>
      </c>
      <c r="L68">
        <f t="shared" si="8"/>
        <v>9.8590800000000005</v>
      </c>
      <c r="M68">
        <f t="shared" si="9"/>
        <v>9.3061584000000028</v>
      </c>
      <c r="N68">
        <f t="shared" si="10"/>
        <v>4.3705200000000008</v>
      </c>
      <c r="O68">
        <f t="shared" si="21"/>
        <v>7.6638951529411798</v>
      </c>
      <c r="P68">
        <f t="shared" si="11"/>
        <v>3.3261339092872571</v>
      </c>
      <c r="Q68">
        <f t="shared" si="12"/>
        <v>46.2</v>
      </c>
      <c r="R68">
        <f t="shared" si="13"/>
        <v>484</v>
      </c>
      <c r="S68">
        <f t="shared" si="14"/>
        <v>179.07999999999996</v>
      </c>
      <c r="T68">
        <f t="shared" si="15"/>
        <v>159.72</v>
      </c>
      <c r="U68">
        <f>I68*E68/'[1]Inverter Analysis'!$L$2</f>
        <v>292.2723633180355</v>
      </c>
      <c r="V68">
        <f t="shared" si="16"/>
        <v>236.12750885478161</v>
      </c>
      <c r="W68">
        <f t="shared" si="17"/>
        <v>446.72771945499227</v>
      </c>
      <c r="X68">
        <f t="shared" si="18"/>
        <v>157.41833923652104</v>
      </c>
      <c r="Y68">
        <f t="shared" si="19"/>
        <v>4.3904444172480819</v>
      </c>
      <c r="Z68">
        <f t="shared" si="20"/>
        <v>0.38583793324999993</v>
      </c>
    </row>
    <row r="69" spans="1:26">
      <c r="A69">
        <v>12</v>
      </c>
      <c r="B69" s="9">
        <v>5</v>
      </c>
      <c r="C69" s="12">
        <v>8</v>
      </c>
      <c r="D69">
        <f t="shared" si="0"/>
        <v>450</v>
      </c>
      <c r="E69">
        <f t="shared" si="1"/>
        <v>300</v>
      </c>
      <c r="F69">
        <f t="shared" si="2"/>
        <v>33.6</v>
      </c>
      <c r="G69">
        <f t="shared" si="3"/>
        <v>0.42239999999999994</v>
      </c>
      <c r="H69">
        <f t="shared" si="4"/>
        <v>120.96000000000001</v>
      </c>
      <c r="I69">
        <f t="shared" si="5"/>
        <v>403.20000000000005</v>
      </c>
      <c r="J69">
        <f t="shared" si="6"/>
        <v>268.79999999999995</v>
      </c>
      <c r="K69">
        <f t="shared" si="7"/>
        <v>80.639999999999986</v>
      </c>
      <c r="L69">
        <f t="shared" si="8"/>
        <v>9.7775999999999996</v>
      </c>
      <c r="M69">
        <f t="shared" si="9"/>
        <v>9.2292480000000019</v>
      </c>
      <c r="N69">
        <f t="shared" si="10"/>
        <v>4.3344000000000005</v>
      </c>
      <c r="O69">
        <f t="shared" si="21"/>
        <v>7.6005571764705904</v>
      </c>
      <c r="P69">
        <f t="shared" si="11"/>
        <v>4.5356371490280782</v>
      </c>
      <c r="Q69">
        <f t="shared" si="12"/>
        <v>50.400000000000006</v>
      </c>
      <c r="R69">
        <f t="shared" si="13"/>
        <v>480</v>
      </c>
      <c r="S69">
        <f t="shared" si="14"/>
        <v>142.07999999999998</v>
      </c>
      <c r="T69">
        <f t="shared" si="15"/>
        <v>126.71999999999998</v>
      </c>
      <c r="U69">
        <f>I69*E69/'[1]Inverter Analysis'!$L$2</f>
        <v>289.85688924102698</v>
      </c>
      <c r="V69">
        <f t="shared" si="16"/>
        <v>297.61904761904765</v>
      </c>
      <c r="W69">
        <f t="shared" si="17"/>
        <v>563.06306306306317</v>
      </c>
      <c r="X69">
        <f t="shared" si="18"/>
        <v>198.4126984126984</v>
      </c>
      <c r="Y69">
        <f t="shared" si="19"/>
        <v>6.974880285691099</v>
      </c>
      <c r="Z69">
        <f t="shared" si="20"/>
        <v>0.24086434909090901</v>
      </c>
    </row>
    <row r="70" spans="1:26">
      <c r="A70" s="8">
        <v>16</v>
      </c>
      <c r="B70" s="9">
        <v>5</v>
      </c>
      <c r="C70">
        <v>6</v>
      </c>
      <c r="D70">
        <f t="shared" ref="D70:D133" si="22">B70*$J$3</f>
        <v>450</v>
      </c>
      <c r="E70">
        <f t="shared" ref="E70:E133" si="23">B70*$I$3</f>
        <v>300</v>
      </c>
      <c r="F70">
        <f t="shared" ref="F70:F133" si="24">A70*B70*C70*$Q$3/1000</f>
        <v>33.6</v>
      </c>
      <c r="G70">
        <f t="shared" ref="G70:G133" si="25">((B70*$R$3^(-1))^(-1))*A70*C70</f>
        <v>0.42239999999999994</v>
      </c>
      <c r="H70">
        <f t="shared" ref="H70:H133" si="26">E70*I70/1000</f>
        <v>120.96000000000001</v>
      </c>
      <c r="I70">
        <f t="shared" ref="I70:I133" si="27">A70*C70*4.2</f>
        <v>403.20000000000005</v>
      </c>
      <c r="J70">
        <f t="shared" ref="J70:J133" si="28">C70*A70*$K$3</f>
        <v>268.79999999999995</v>
      </c>
      <c r="K70">
        <f t="shared" ref="K70:K133" si="29">E70*J70/1000</f>
        <v>80.639999999999986</v>
      </c>
      <c r="L70">
        <f t="shared" ref="L70:L133" si="30">$N$3/1000*I70*B70/1000</f>
        <v>9.7775999999999996</v>
      </c>
      <c r="M70">
        <f t="shared" ref="M70:M133" si="31">$O$3/1000*I70*B70/1000</f>
        <v>9.2292480000000019</v>
      </c>
      <c r="N70">
        <f t="shared" ref="N70:N133" si="32">$P$3/1000*I70*B70/1000</f>
        <v>4.3344000000000005</v>
      </c>
      <c r="O70">
        <f t="shared" si="21"/>
        <v>7.6005571764705904</v>
      </c>
      <c r="P70">
        <f t="shared" ref="P70:P133" si="33">$H$3/1000*B70*I70/277.8/C70</f>
        <v>6.0475161987041046</v>
      </c>
      <c r="Q70">
        <f t="shared" ref="Q70:Q133" si="34">I70/C70</f>
        <v>67.2</v>
      </c>
      <c r="R70">
        <f t="shared" ref="R70:R133" si="35">(A70*B70*C70)</f>
        <v>480</v>
      </c>
      <c r="S70">
        <f t="shared" ref="S70:S133" si="36">J70-(G70*E70)</f>
        <v>142.07999999999998</v>
      </c>
      <c r="T70">
        <f t="shared" ref="T70:T133" si="37">G70*E70</f>
        <v>126.71999999999998</v>
      </c>
      <c r="U70">
        <f>I70*E70/'[1]Inverter Analysis'!$L$2</f>
        <v>289.85688924102698</v>
      </c>
      <c r="V70">
        <f t="shared" ref="V70:V133" si="38">80000/J70</f>
        <v>297.61904761904765</v>
      </c>
      <c r="W70">
        <f t="shared" ref="W70:W133" si="39">80000/S70</f>
        <v>563.06306306306317</v>
      </c>
      <c r="X70">
        <f t="shared" ref="X70:X133" si="40">80000/I70</f>
        <v>198.4126984126984</v>
      </c>
      <c r="Y70">
        <f t="shared" ref="Y70:Y133" si="41">(MAX(V70:X70)^2)*$R$3/1000</f>
        <v>6.974880285691099</v>
      </c>
      <c r="Z70">
        <f t="shared" ref="Z70:Z133" si="42">($S$3*F70/(Y70*1000))*10</f>
        <v>0.24086434909090901</v>
      </c>
    </row>
    <row r="71" spans="1:26" hidden="1">
      <c r="A71">
        <v>10</v>
      </c>
      <c r="B71">
        <v>4</v>
      </c>
      <c r="C71">
        <v>12</v>
      </c>
      <c r="D71">
        <f t="shared" si="22"/>
        <v>360</v>
      </c>
      <c r="E71">
        <f t="shared" si="23"/>
        <v>240</v>
      </c>
      <c r="F71">
        <f t="shared" si="24"/>
        <v>33.6</v>
      </c>
      <c r="G71">
        <f t="shared" si="25"/>
        <v>0.65999999999999992</v>
      </c>
      <c r="H71">
        <f t="shared" si="26"/>
        <v>120.96</v>
      </c>
      <c r="I71">
        <f t="shared" si="27"/>
        <v>504</v>
      </c>
      <c r="J71">
        <f t="shared" si="28"/>
        <v>336</v>
      </c>
      <c r="K71">
        <f t="shared" si="29"/>
        <v>80.64</v>
      </c>
      <c r="L71">
        <f t="shared" si="30"/>
        <v>9.7775999999999978</v>
      </c>
      <c r="M71">
        <f t="shared" si="31"/>
        <v>9.2292480000000019</v>
      </c>
      <c r="N71">
        <f t="shared" si="32"/>
        <v>4.3343999999999996</v>
      </c>
      <c r="O71">
        <f t="shared" ref="O71:O134" si="43">M71*(($L$3-$K$3)/($L$3-$M$3))</f>
        <v>7.6005571764705904</v>
      </c>
      <c r="P71">
        <f t="shared" si="33"/>
        <v>3.0237580993520514</v>
      </c>
      <c r="Q71">
        <f t="shared" si="34"/>
        <v>42</v>
      </c>
      <c r="R71">
        <f t="shared" si="35"/>
        <v>480</v>
      </c>
      <c r="S71">
        <f t="shared" si="36"/>
        <v>177.60000000000002</v>
      </c>
      <c r="T71">
        <f t="shared" si="37"/>
        <v>158.39999999999998</v>
      </c>
      <c r="U71">
        <f>I71*E71/'[1]Inverter Analysis'!$L$2</f>
        <v>289.85688924102692</v>
      </c>
      <c r="V71">
        <f t="shared" si="38"/>
        <v>238.0952380952381</v>
      </c>
      <c r="W71">
        <f t="shared" si="39"/>
        <v>450.45045045045038</v>
      </c>
      <c r="X71">
        <f t="shared" si="40"/>
        <v>158.73015873015873</v>
      </c>
      <c r="Y71">
        <f t="shared" si="41"/>
        <v>4.4639233828422995</v>
      </c>
      <c r="Z71">
        <f t="shared" si="42"/>
        <v>0.37635054545454566</v>
      </c>
    </row>
    <row r="72" spans="1:26" hidden="1">
      <c r="A72">
        <v>12</v>
      </c>
      <c r="B72">
        <v>4</v>
      </c>
      <c r="C72" s="12">
        <v>10</v>
      </c>
      <c r="D72">
        <f t="shared" si="22"/>
        <v>360</v>
      </c>
      <c r="E72">
        <f t="shared" si="23"/>
        <v>240</v>
      </c>
      <c r="F72">
        <f t="shared" si="24"/>
        <v>33.6</v>
      </c>
      <c r="G72">
        <f t="shared" si="25"/>
        <v>0.66</v>
      </c>
      <c r="H72">
        <f t="shared" si="26"/>
        <v>120.96</v>
      </c>
      <c r="I72">
        <f t="shared" si="27"/>
        <v>504</v>
      </c>
      <c r="J72">
        <f t="shared" si="28"/>
        <v>336</v>
      </c>
      <c r="K72">
        <f t="shared" si="29"/>
        <v>80.64</v>
      </c>
      <c r="L72">
        <f t="shared" si="30"/>
        <v>9.7775999999999978</v>
      </c>
      <c r="M72">
        <f t="shared" si="31"/>
        <v>9.2292480000000019</v>
      </c>
      <c r="N72">
        <f t="shared" si="32"/>
        <v>4.3343999999999996</v>
      </c>
      <c r="O72">
        <f t="shared" si="43"/>
        <v>7.6005571764705904</v>
      </c>
      <c r="P72">
        <f t="shared" si="33"/>
        <v>3.6285097192224618</v>
      </c>
      <c r="Q72">
        <f t="shared" si="34"/>
        <v>50.4</v>
      </c>
      <c r="R72">
        <f t="shared" si="35"/>
        <v>480</v>
      </c>
      <c r="S72">
        <f t="shared" si="36"/>
        <v>177.6</v>
      </c>
      <c r="T72">
        <f t="shared" si="37"/>
        <v>158.4</v>
      </c>
      <c r="U72">
        <f>I72*E72/'[1]Inverter Analysis'!$L$2</f>
        <v>289.85688924102692</v>
      </c>
      <c r="V72">
        <f t="shared" si="38"/>
        <v>238.0952380952381</v>
      </c>
      <c r="W72">
        <f t="shared" si="39"/>
        <v>450.45045045045049</v>
      </c>
      <c r="X72">
        <f t="shared" si="40"/>
        <v>158.73015873015873</v>
      </c>
      <c r="Y72">
        <f t="shared" si="41"/>
        <v>4.4639233828423022</v>
      </c>
      <c r="Z72">
        <f t="shared" si="42"/>
        <v>0.37635054545454544</v>
      </c>
    </row>
    <row r="73" spans="1:26" hidden="1">
      <c r="A73">
        <v>15</v>
      </c>
      <c r="B73">
        <v>4</v>
      </c>
      <c r="C73" s="12">
        <v>8</v>
      </c>
      <c r="D73">
        <f t="shared" si="22"/>
        <v>360</v>
      </c>
      <c r="E73">
        <f t="shared" si="23"/>
        <v>240</v>
      </c>
      <c r="F73">
        <f t="shared" si="24"/>
        <v>33.6</v>
      </c>
      <c r="G73">
        <f t="shared" si="25"/>
        <v>0.65999999999999992</v>
      </c>
      <c r="H73">
        <f t="shared" si="26"/>
        <v>120.96</v>
      </c>
      <c r="I73">
        <f t="shared" si="27"/>
        <v>504</v>
      </c>
      <c r="J73">
        <f t="shared" si="28"/>
        <v>336</v>
      </c>
      <c r="K73">
        <f t="shared" si="29"/>
        <v>80.64</v>
      </c>
      <c r="L73">
        <f t="shared" si="30"/>
        <v>9.7775999999999978</v>
      </c>
      <c r="M73">
        <f t="shared" si="31"/>
        <v>9.2292480000000019</v>
      </c>
      <c r="N73">
        <f t="shared" si="32"/>
        <v>4.3343999999999996</v>
      </c>
      <c r="O73">
        <f t="shared" si="43"/>
        <v>7.6005571764705904</v>
      </c>
      <c r="P73">
        <f t="shared" si="33"/>
        <v>4.5356371490280774</v>
      </c>
      <c r="Q73">
        <f t="shared" si="34"/>
        <v>63</v>
      </c>
      <c r="R73">
        <f t="shared" si="35"/>
        <v>480</v>
      </c>
      <c r="S73">
        <f t="shared" si="36"/>
        <v>177.60000000000002</v>
      </c>
      <c r="T73">
        <f t="shared" si="37"/>
        <v>158.39999999999998</v>
      </c>
      <c r="U73">
        <f>I73*E73/'[1]Inverter Analysis'!$L$2</f>
        <v>289.85688924102692</v>
      </c>
      <c r="V73">
        <f t="shared" si="38"/>
        <v>238.0952380952381</v>
      </c>
      <c r="W73">
        <f t="shared" si="39"/>
        <v>450.45045045045038</v>
      </c>
      <c r="X73">
        <f t="shared" si="40"/>
        <v>158.73015873015873</v>
      </c>
      <c r="Y73">
        <f t="shared" si="41"/>
        <v>4.4639233828422995</v>
      </c>
      <c r="Z73">
        <f t="shared" si="42"/>
        <v>0.37635054545454566</v>
      </c>
    </row>
    <row r="74" spans="1:26" hidden="1">
      <c r="A74">
        <v>13</v>
      </c>
      <c r="B74">
        <v>4</v>
      </c>
      <c r="C74" s="12">
        <v>9</v>
      </c>
      <c r="D74">
        <f t="shared" si="22"/>
        <v>360</v>
      </c>
      <c r="E74">
        <f t="shared" si="23"/>
        <v>240</v>
      </c>
      <c r="F74">
        <f t="shared" si="24"/>
        <v>32.76</v>
      </c>
      <c r="G74">
        <f t="shared" si="25"/>
        <v>0.64349999999999996</v>
      </c>
      <c r="H74">
        <f t="shared" si="26"/>
        <v>117.93600000000002</v>
      </c>
      <c r="I74">
        <f t="shared" si="27"/>
        <v>491.40000000000003</v>
      </c>
      <c r="J74">
        <f t="shared" si="28"/>
        <v>327.59999999999997</v>
      </c>
      <c r="K74">
        <f t="shared" si="29"/>
        <v>78.623999999999981</v>
      </c>
      <c r="L74">
        <f t="shared" si="30"/>
        <v>9.5331600000000005</v>
      </c>
      <c r="M74">
        <f t="shared" si="31"/>
        <v>8.9985168000000009</v>
      </c>
      <c r="N74">
        <f t="shared" si="32"/>
        <v>4.2260400000000002</v>
      </c>
      <c r="O74">
        <f t="shared" si="43"/>
        <v>7.4105432470588246</v>
      </c>
      <c r="P74">
        <f t="shared" si="33"/>
        <v>3.9308855291576674</v>
      </c>
      <c r="Q74">
        <f t="shared" si="34"/>
        <v>54.6</v>
      </c>
      <c r="R74">
        <f t="shared" si="35"/>
        <v>468</v>
      </c>
      <c r="S74">
        <f t="shared" si="36"/>
        <v>173.15999999999997</v>
      </c>
      <c r="T74">
        <f t="shared" si="37"/>
        <v>154.44</v>
      </c>
      <c r="U74">
        <f>I74*E74/'[1]Inverter Analysis'!$L$2</f>
        <v>282.61046701000129</v>
      </c>
      <c r="V74">
        <f t="shared" si="38"/>
        <v>244.20024420024421</v>
      </c>
      <c r="W74">
        <f t="shared" si="39"/>
        <v>462.00046200046211</v>
      </c>
      <c r="X74">
        <f t="shared" si="40"/>
        <v>162.80016280016278</v>
      </c>
      <c r="Y74">
        <f t="shared" si="41"/>
        <v>4.6957773915500889</v>
      </c>
      <c r="Z74">
        <f t="shared" si="42"/>
        <v>0.34882403134090889</v>
      </c>
    </row>
    <row r="75" spans="1:26" hidden="1">
      <c r="A75">
        <v>14</v>
      </c>
      <c r="B75">
        <v>4</v>
      </c>
      <c r="C75" s="12">
        <v>8</v>
      </c>
      <c r="D75">
        <f t="shared" si="22"/>
        <v>360</v>
      </c>
      <c r="E75">
        <f t="shared" si="23"/>
        <v>240</v>
      </c>
      <c r="F75">
        <f t="shared" si="24"/>
        <v>31.36</v>
      </c>
      <c r="G75">
        <f t="shared" si="25"/>
        <v>0.61599999999999999</v>
      </c>
      <c r="H75">
        <f t="shared" si="26"/>
        <v>112.89600000000002</v>
      </c>
      <c r="I75">
        <f t="shared" si="27"/>
        <v>470.40000000000003</v>
      </c>
      <c r="J75">
        <f t="shared" si="28"/>
        <v>313.59999999999997</v>
      </c>
      <c r="K75">
        <f t="shared" si="29"/>
        <v>75.263999999999982</v>
      </c>
      <c r="L75">
        <f t="shared" si="30"/>
        <v>9.1257599999999996</v>
      </c>
      <c r="M75">
        <f t="shared" si="31"/>
        <v>8.6139648000000015</v>
      </c>
      <c r="N75">
        <f t="shared" si="32"/>
        <v>4.0454400000000001</v>
      </c>
      <c r="O75">
        <f t="shared" si="43"/>
        <v>7.0938533647058843</v>
      </c>
      <c r="P75">
        <f t="shared" si="33"/>
        <v>4.2332613390928726</v>
      </c>
      <c r="Q75">
        <f t="shared" si="34"/>
        <v>58.800000000000004</v>
      </c>
      <c r="R75">
        <f t="shared" si="35"/>
        <v>448</v>
      </c>
      <c r="S75">
        <f t="shared" si="36"/>
        <v>165.75999999999996</v>
      </c>
      <c r="T75">
        <f t="shared" si="37"/>
        <v>147.84</v>
      </c>
      <c r="U75">
        <f>I75*E75/'[1]Inverter Analysis'!$L$2</f>
        <v>270.53309662495849</v>
      </c>
      <c r="V75">
        <f t="shared" si="38"/>
        <v>255.10204081632656</v>
      </c>
      <c r="W75">
        <f t="shared" si="39"/>
        <v>482.62548262548273</v>
      </c>
      <c r="X75">
        <f t="shared" si="40"/>
        <v>170.06802721088434</v>
      </c>
      <c r="Y75">
        <f t="shared" si="41"/>
        <v>5.1244018425485631</v>
      </c>
      <c r="Z75">
        <f t="shared" si="42"/>
        <v>0.30598693236363628</v>
      </c>
    </row>
    <row r="76" spans="1:26" hidden="1">
      <c r="A76">
        <v>16</v>
      </c>
      <c r="B76">
        <v>4</v>
      </c>
      <c r="C76" s="12">
        <v>7</v>
      </c>
      <c r="D76">
        <f t="shared" si="22"/>
        <v>360</v>
      </c>
      <c r="E76">
        <f t="shared" si="23"/>
        <v>240</v>
      </c>
      <c r="F76">
        <f t="shared" si="24"/>
        <v>31.36</v>
      </c>
      <c r="G76">
        <f t="shared" si="25"/>
        <v>0.61599999999999999</v>
      </c>
      <c r="H76">
        <f t="shared" si="26"/>
        <v>112.89600000000002</v>
      </c>
      <c r="I76">
        <f t="shared" si="27"/>
        <v>470.40000000000003</v>
      </c>
      <c r="J76">
        <f t="shared" si="28"/>
        <v>313.59999999999997</v>
      </c>
      <c r="K76">
        <f t="shared" si="29"/>
        <v>75.263999999999982</v>
      </c>
      <c r="L76">
        <f t="shared" si="30"/>
        <v>9.1257599999999996</v>
      </c>
      <c r="M76">
        <f t="shared" si="31"/>
        <v>8.6139648000000015</v>
      </c>
      <c r="N76">
        <f t="shared" si="32"/>
        <v>4.0454400000000001</v>
      </c>
      <c r="O76">
        <f t="shared" si="43"/>
        <v>7.0938533647058843</v>
      </c>
      <c r="P76">
        <f t="shared" si="33"/>
        <v>4.838012958963283</v>
      </c>
      <c r="Q76">
        <f t="shared" si="34"/>
        <v>67.2</v>
      </c>
      <c r="R76">
        <f t="shared" si="35"/>
        <v>448</v>
      </c>
      <c r="S76">
        <f t="shared" si="36"/>
        <v>165.75999999999996</v>
      </c>
      <c r="T76">
        <f t="shared" si="37"/>
        <v>147.84</v>
      </c>
      <c r="U76">
        <f>I76*E76/'[1]Inverter Analysis'!$L$2</f>
        <v>270.53309662495849</v>
      </c>
      <c r="V76">
        <f t="shared" si="38"/>
        <v>255.10204081632656</v>
      </c>
      <c r="W76">
        <f t="shared" si="39"/>
        <v>482.62548262548273</v>
      </c>
      <c r="X76">
        <f t="shared" si="40"/>
        <v>170.06802721088434</v>
      </c>
      <c r="Y76">
        <f t="shared" si="41"/>
        <v>5.1244018425485631</v>
      </c>
      <c r="Z76">
        <f t="shared" si="42"/>
        <v>0.30598693236363628</v>
      </c>
    </row>
    <row r="77" spans="1:26" hidden="1">
      <c r="A77">
        <v>10</v>
      </c>
      <c r="B77">
        <v>4</v>
      </c>
      <c r="C77" s="12">
        <v>11</v>
      </c>
      <c r="D77">
        <f t="shared" si="22"/>
        <v>360</v>
      </c>
      <c r="E77">
        <f t="shared" si="23"/>
        <v>240</v>
      </c>
      <c r="F77">
        <f t="shared" si="24"/>
        <v>30.8</v>
      </c>
      <c r="G77">
        <f t="shared" si="25"/>
        <v>0.60499999999999998</v>
      </c>
      <c r="H77">
        <f t="shared" si="26"/>
        <v>110.88</v>
      </c>
      <c r="I77">
        <f t="shared" si="27"/>
        <v>462</v>
      </c>
      <c r="J77">
        <f t="shared" si="28"/>
        <v>308</v>
      </c>
      <c r="K77">
        <f t="shared" si="29"/>
        <v>73.92</v>
      </c>
      <c r="L77">
        <f t="shared" si="30"/>
        <v>8.9627999999999997</v>
      </c>
      <c r="M77">
        <f t="shared" si="31"/>
        <v>8.4601439999999997</v>
      </c>
      <c r="N77">
        <f t="shared" si="32"/>
        <v>3.9731999999999998</v>
      </c>
      <c r="O77">
        <f t="shared" si="43"/>
        <v>6.9671774117647063</v>
      </c>
      <c r="P77">
        <f t="shared" si="33"/>
        <v>3.0237580993520514</v>
      </c>
      <c r="Q77">
        <f t="shared" si="34"/>
        <v>42</v>
      </c>
      <c r="R77">
        <f t="shared" si="35"/>
        <v>440</v>
      </c>
      <c r="S77">
        <f t="shared" si="36"/>
        <v>162.80000000000001</v>
      </c>
      <c r="T77">
        <f t="shared" si="37"/>
        <v>145.19999999999999</v>
      </c>
      <c r="U77">
        <f>I77*E77/'[1]Inverter Analysis'!$L$2</f>
        <v>265.70214847094138</v>
      </c>
      <c r="V77">
        <f t="shared" si="38"/>
        <v>259.74025974025972</v>
      </c>
      <c r="W77">
        <f t="shared" si="39"/>
        <v>491.40049140049138</v>
      </c>
      <c r="X77">
        <f t="shared" si="40"/>
        <v>173.16017316017317</v>
      </c>
      <c r="Y77">
        <f t="shared" si="41"/>
        <v>5.3124377448701763</v>
      </c>
      <c r="Z77">
        <f t="shared" si="42"/>
        <v>0.28988575000000005</v>
      </c>
    </row>
    <row r="78" spans="1:26" hidden="1">
      <c r="A78">
        <v>11</v>
      </c>
      <c r="B78">
        <v>4</v>
      </c>
      <c r="C78" s="12">
        <v>10</v>
      </c>
      <c r="D78">
        <f t="shared" si="22"/>
        <v>360</v>
      </c>
      <c r="E78">
        <f t="shared" si="23"/>
        <v>240</v>
      </c>
      <c r="F78">
        <f t="shared" si="24"/>
        <v>30.8</v>
      </c>
      <c r="G78">
        <f t="shared" si="25"/>
        <v>0.60499999999999998</v>
      </c>
      <c r="H78">
        <f t="shared" si="26"/>
        <v>110.88</v>
      </c>
      <c r="I78">
        <f t="shared" si="27"/>
        <v>462</v>
      </c>
      <c r="J78">
        <f t="shared" si="28"/>
        <v>308</v>
      </c>
      <c r="K78">
        <f t="shared" si="29"/>
        <v>73.92</v>
      </c>
      <c r="L78">
        <f t="shared" si="30"/>
        <v>8.9627999999999997</v>
      </c>
      <c r="M78">
        <f t="shared" si="31"/>
        <v>8.4601439999999997</v>
      </c>
      <c r="N78">
        <f t="shared" si="32"/>
        <v>3.9731999999999998</v>
      </c>
      <c r="O78">
        <f t="shared" si="43"/>
        <v>6.9671774117647063</v>
      </c>
      <c r="P78">
        <f t="shared" si="33"/>
        <v>3.3261339092872566</v>
      </c>
      <c r="Q78">
        <f t="shared" si="34"/>
        <v>46.2</v>
      </c>
      <c r="R78">
        <f t="shared" si="35"/>
        <v>440</v>
      </c>
      <c r="S78">
        <f t="shared" si="36"/>
        <v>162.80000000000001</v>
      </c>
      <c r="T78">
        <f t="shared" si="37"/>
        <v>145.19999999999999</v>
      </c>
      <c r="U78">
        <f>I78*E78/'[1]Inverter Analysis'!$L$2</f>
        <v>265.70214847094138</v>
      </c>
      <c r="V78">
        <f t="shared" si="38"/>
        <v>259.74025974025972</v>
      </c>
      <c r="W78">
        <f t="shared" si="39"/>
        <v>491.40049140049138</v>
      </c>
      <c r="X78">
        <f t="shared" si="40"/>
        <v>173.16017316017317</v>
      </c>
      <c r="Y78">
        <f t="shared" si="41"/>
        <v>5.3124377448701763</v>
      </c>
      <c r="Z78">
        <f t="shared" si="42"/>
        <v>0.28988575000000005</v>
      </c>
    </row>
    <row r="79" spans="1:26" hidden="1">
      <c r="A79">
        <v>12</v>
      </c>
      <c r="B79">
        <v>4</v>
      </c>
      <c r="C79" s="12">
        <v>9</v>
      </c>
      <c r="D79">
        <f t="shared" si="22"/>
        <v>360</v>
      </c>
      <c r="E79">
        <f t="shared" si="23"/>
        <v>240</v>
      </c>
      <c r="F79">
        <f t="shared" si="24"/>
        <v>30.24</v>
      </c>
      <c r="G79">
        <f t="shared" si="25"/>
        <v>0.59400000000000008</v>
      </c>
      <c r="H79">
        <f t="shared" si="26"/>
        <v>108.864</v>
      </c>
      <c r="I79">
        <f t="shared" si="27"/>
        <v>453.6</v>
      </c>
      <c r="J79">
        <f t="shared" si="28"/>
        <v>302.39999999999998</v>
      </c>
      <c r="K79">
        <f t="shared" si="29"/>
        <v>72.575999999999993</v>
      </c>
      <c r="L79">
        <f t="shared" si="30"/>
        <v>8.7998399999999997</v>
      </c>
      <c r="M79">
        <f t="shared" si="31"/>
        <v>8.3063232000000013</v>
      </c>
      <c r="N79">
        <f t="shared" si="32"/>
        <v>3.90096</v>
      </c>
      <c r="O79">
        <f t="shared" si="43"/>
        <v>6.8405014588235309</v>
      </c>
      <c r="P79">
        <f t="shared" si="33"/>
        <v>3.6285097192224622</v>
      </c>
      <c r="Q79">
        <f t="shared" si="34"/>
        <v>50.400000000000006</v>
      </c>
      <c r="R79">
        <f t="shared" si="35"/>
        <v>432</v>
      </c>
      <c r="S79">
        <f t="shared" si="36"/>
        <v>159.83999999999995</v>
      </c>
      <c r="T79">
        <f t="shared" si="37"/>
        <v>142.56000000000003</v>
      </c>
      <c r="U79">
        <f>I79*E79/'[1]Inverter Analysis'!$L$2</f>
        <v>260.87120031692422</v>
      </c>
      <c r="V79">
        <f t="shared" si="38"/>
        <v>264.55026455026456</v>
      </c>
      <c r="W79">
        <f t="shared" si="39"/>
        <v>500.50050050050066</v>
      </c>
      <c r="X79">
        <f t="shared" si="40"/>
        <v>176.3668430335097</v>
      </c>
      <c r="Y79">
        <f t="shared" si="41"/>
        <v>5.5110165220275356</v>
      </c>
      <c r="Z79">
        <f t="shared" si="42"/>
        <v>0.2743595476363635</v>
      </c>
    </row>
    <row r="80" spans="1:26" s="7" customFormat="1" hidden="1">
      <c r="A80" s="7">
        <v>12</v>
      </c>
      <c r="B80" s="7">
        <v>3</v>
      </c>
      <c r="C80" s="7">
        <v>12</v>
      </c>
      <c r="D80" s="7">
        <f t="shared" si="22"/>
        <v>270</v>
      </c>
      <c r="E80" s="7">
        <f t="shared" si="23"/>
        <v>180</v>
      </c>
      <c r="F80" s="7">
        <f t="shared" si="24"/>
        <v>30.24</v>
      </c>
      <c r="G80" s="7">
        <f t="shared" si="25"/>
        <v>1.056</v>
      </c>
      <c r="H80" s="7">
        <f t="shared" si="26"/>
        <v>108.86400000000002</v>
      </c>
      <c r="I80" s="7">
        <f t="shared" si="27"/>
        <v>604.80000000000007</v>
      </c>
      <c r="J80" s="7">
        <f t="shared" si="28"/>
        <v>403.2</v>
      </c>
      <c r="K80" s="7">
        <f t="shared" si="29"/>
        <v>72.575999999999993</v>
      </c>
      <c r="L80" s="7">
        <f t="shared" si="30"/>
        <v>8.7998399999999997</v>
      </c>
      <c r="M80" s="7">
        <f t="shared" si="31"/>
        <v>8.3063232000000031</v>
      </c>
      <c r="N80" s="7">
        <f t="shared" si="32"/>
        <v>3.9009600000000004</v>
      </c>
      <c r="O80">
        <f t="shared" si="43"/>
        <v>6.8405014588235327</v>
      </c>
      <c r="P80" s="7">
        <f t="shared" si="33"/>
        <v>2.7213822894168467</v>
      </c>
      <c r="Q80" s="7">
        <f t="shared" si="34"/>
        <v>50.400000000000006</v>
      </c>
      <c r="R80" s="7">
        <f t="shared" si="35"/>
        <v>432</v>
      </c>
      <c r="S80" s="7">
        <f t="shared" si="36"/>
        <v>213.11999999999998</v>
      </c>
      <c r="T80" s="7">
        <f t="shared" si="37"/>
        <v>190.08</v>
      </c>
      <c r="U80" s="7">
        <f>I80*E80/'[1]Inverter Analysis'!$L$2</f>
        <v>260.87120031692427</v>
      </c>
      <c r="V80" s="7">
        <f t="shared" si="38"/>
        <v>198.4126984126984</v>
      </c>
      <c r="W80" s="7">
        <f t="shared" si="39"/>
        <v>375.37537537537543</v>
      </c>
      <c r="X80" s="7">
        <f t="shared" si="40"/>
        <v>132.27513227513225</v>
      </c>
      <c r="Y80" s="7">
        <f t="shared" si="41"/>
        <v>3.0999467936404876</v>
      </c>
      <c r="Z80" s="7">
        <f t="shared" si="42"/>
        <v>0.48775030690909082</v>
      </c>
    </row>
    <row r="81" spans="1:26" s="6" customFormat="1" hidden="1">
      <c r="A81" s="6">
        <v>16</v>
      </c>
      <c r="B81" s="6">
        <v>3</v>
      </c>
      <c r="C81" s="14">
        <v>9</v>
      </c>
      <c r="D81" s="6">
        <f t="shared" si="22"/>
        <v>270</v>
      </c>
      <c r="E81" s="6">
        <f t="shared" si="23"/>
        <v>180</v>
      </c>
      <c r="F81" s="6">
        <f t="shared" si="24"/>
        <v>30.24</v>
      </c>
      <c r="G81" s="6">
        <f t="shared" si="25"/>
        <v>1.056</v>
      </c>
      <c r="H81" s="6">
        <f t="shared" si="26"/>
        <v>108.86400000000002</v>
      </c>
      <c r="I81" s="6">
        <f t="shared" si="27"/>
        <v>604.80000000000007</v>
      </c>
      <c r="J81" s="6">
        <f t="shared" si="28"/>
        <v>403.2</v>
      </c>
      <c r="K81" s="6">
        <f t="shared" si="29"/>
        <v>72.575999999999993</v>
      </c>
      <c r="L81" s="6">
        <f t="shared" si="30"/>
        <v>8.7998399999999997</v>
      </c>
      <c r="M81" s="6">
        <f t="shared" si="31"/>
        <v>8.3063232000000031</v>
      </c>
      <c r="N81" s="6">
        <f t="shared" si="32"/>
        <v>3.9009600000000004</v>
      </c>
      <c r="O81">
        <f t="shared" si="43"/>
        <v>6.8405014588235327</v>
      </c>
      <c r="P81" s="6">
        <f t="shared" si="33"/>
        <v>3.6285097192224622</v>
      </c>
      <c r="Q81" s="6">
        <f t="shared" si="34"/>
        <v>67.2</v>
      </c>
      <c r="R81" s="6">
        <f t="shared" si="35"/>
        <v>432</v>
      </c>
      <c r="S81" s="6">
        <f t="shared" si="36"/>
        <v>213.11999999999998</v>
      </c>
      <c r="T81" s="6">
        <f t="shared" si="37"/>
        <v>190.08</v>
      </c>
      <c r="U81" s="6">
        <f>I81*E81/'[1]Inverter Analysis'!$L$2</f>
        <v>260.87120031692427</v>
      </c>
      <c r="V81" s="6">
        <f t="shared" si="38"/>
        <v>198.4126984126984</v>
      </c>
      <c r="W81" s="6">
        <f t="shared" si="39"/>
        <v>375.37537537537543</v>
      </c>
      <c r="X81" s="6">
        <f t="shared" si="40"/>
        <v>132.27513227513225</v>
      </c>
      <c r="Y81" s="6">
        <f t="shared" si="41"/>
        <v>3.0999467936404876</v>
      </c>
      <c r="Z81" s="6">
        <f t="shared" si="42"/>
        <v>0.48775030690909082</v>
      </c>
    </row>
    <row r="82" spans="1:26" s="6" customFormat="1" hidden="1">
      <c r="A82" s="6">
        <v>13</v>
      </c>
      <c r="B82" s="6">
        <v>3</v>
      </c>
      <c r="C82" s="14">
        <v>11</v>
      </c>
      <c r="D82" s="6">
        <f t="shared" si="22"/>
        <v>270</v>
      </c>
      <c r="E82" s="6">
        <f t="shared" si="23"/>
        <v>180</v>
      </c>
      <c r="F82" s="6">
        <f t="shared" si="24"/>
        <v>30.03</v>
      </c>
      <c r="G82" s="6">
        <f t="shared" si="25"/>
        <v>1.0486666666666666</v>
      </c>
      <c r="H82" s="6">
        <f t="shared" si="26"/>
        <v>108.108</v>
      </c>
      <c r="I82" s="6">
        <f t="shared" si="27"/>
        <v>600.6</v>
      </c>
      <c r="J82" s="6">
        <f t="shared" si="28"/>
        <v>400.4</v>
      </c>
      <c r="K82" s="6">
        <f t="shared" si="29"/>
        <v>72.072000000000003</v>
      </c>
      <c r="L82" s="6">
        <f t="shared" si="30"/>
        <v>8.7387300000000003</v>
      </c>
      <c r="M82" s="6">
        <f t="shared" si="31"/>
        <v>8.2486404000000011</v>
      </c>
      <c r="N82" s="6">
        <f t="shared" si="32"/>
        <v>3.8738699999999997</v>
      </c>
      <c r="O82">
        <f t="shared" si="43"/>
        <v>6.7929979764705894</v>
      </c>
      <c r="P82" s="6">
        <f t="shared" si="33"/>
        <v>2.9481641468682507</v>
      </c>
      <c r="Q82" s="6">
        <f t="shared" si="34"/>
        <v>54.6</v>
      </c>
      <c r="R82" s="6">
        <f t="shared" si="35"/>
        <v>429</v>
      </c>
      <c r="S82" s="6">
        <f t="shared" si="36"/>
        <v>211.64</v>
      </c>
      <c r="T82" s="6">
        <f t="shared" si="37"/>
        <v>188.76</v>
      </c>
      <c r="U82" s="6">
        <f>I82*E82/'[1]Inverter Analysis'!$L$2</f>
        <v>259.05959475916785</v>
      </c>
      <c r="V82" s="6">
        <f t="shared" si="38"/>
        <v>199.80019980019981</v>
      </c>
      <c r="W82" s="6">
        <f t="shared" si="39"/>
        <v>378.00037800037802</v>
      </c>
      <c r="X82" s="6">
        <f t="shared" si="40"/>
        <v>133.20013320013319</v>
      </c>
      <c r="Y82" s="6">
        <f t="shared" si="41"/>
        <v>3.1434542869054307</v>
      </c>
      <c r="Z82" s="6">
        <f t="shared" si="42"/>
        <v>0.47765924456249997</v>
      </c>
    </row>
    <row r="83" spans="1:26" s="15" customFormat="1" hidden="1">
      <c r="A83" s="15">
        <v>14</v>
      </c>
      <c r="B83" s="15">
        <v>3</v>
      </c>
      <c r="C83" s="16">
        <v>10</v>
      </c>
      <c r="D83" s="15">
        <f t="shared" si="22"/>
        <v>270</v>
      </c>
      <c r="E83" s="15">
        <f t="shared" si="23"/>
        <v>180</v>
      </c>
      <c r="F83" s="15">
        <f t="shared" si="24"/>
        <v>29.4</v>
      </c>
      <c r="G83" s="15">
        <f t="shared" si="25"/>
        <v>1.0266666666666666</v>
      </c>
      <c r="H83" s="15">
        <f t="shared" si="26"/>
        <v>105.84</v>
      </c>
      <c r="I83" s="15">
        <f t="shared" si="27"/>
        <v>588</v>
      </c>
      <c r="J83" s="15">
        <f t="shared" si="28"/>
        <v>392</v>
      </c>
      <c r="K83" s="15">
        <f t="shared" si="29"/>
        <v>70.56</v>
      </c>
      <c r="L83" s="15">
        <f t="shared" si="30"/>
        <v>8.5553999999999988</v>
      </c>
      <c r="M83" s="15">
        <f t="shared" si="31"/>
        <v>8.0755920000000003</v>
      </c>
      <c r="N83" s="15">
        <f t="shared" si="32"/>
        <v>3.7926000000000002</v>
      </c>
      <c r="O83" s="15">
        <f t="shared" si="43"/>
        <v>6.6504875294117651</v>
      </c>
      <c r="P83" s="15">
        <f t="shared" si="33"/>
        <v>3.1749460043196542</v>
      </c>
      <c r="Q83" s="15">
        <f t="shared" si="34"/>
        <v>58.8</v>
      </c>
      <c r="R83" s="15">
        <f t="shared" si="35"/>
        <v>420</v>
      </c>
      <c r="S83" s="15">
        <f t="shared" si="36"/>
        <v>207.20000000000002</v>
      </c>
      <c r="T83" s="15">
        <f t="shared" si="37"/>
        <v>184.79999999999998</v>
      </c>
      <c r="U83" s="15">
        <f>I83*E83/'[1]Inverter Analysis'!$L$2</f>
        <v>253.62477808589858</v>
      </c>
      <c r="V83" s="15">
        <f t="shared" si="38"/>
        <v>204.08163265306123</v>
      </c>
      <c r="W83" s="15">
        <f t="shared" si="39"/>
        <v>386.10038610038606</v>
      </c>
      <c r="X83" s="15">
        <f t="shared" si="40"/>
        <v>136.05442176870747</v>
      </c>
      <c r="Y83" s="15">
        <f t="shared" si="41"/>
        <v>3.279617179231078</v>
      </c>
      <c r="Z83" s="15">
        <f t="shared" si="42"/>
        <v>0.44822304545454555</v>
      </c>
    </row>
    <row r="84" spans="1:26" hidden="1">
      <c r="A84">
        <v>15</v>
      </c>
      <c r="B84">
        <v>4</v>
      </c>
      <c r="C84" s="12">
        <v>7</v>
      </c>
      <c r="D84">
        <f t="shared" si="22"/>
        <v>360</v>
      </c>
      <c r="E84">
        <f t="shared" si="23"/>
        <v>240</v>
      </c>
      <c r="F84">
        <f t="shared" si="24"/>
        <v>29.4</v>
      </c>
      <c r="G84">
        <f t="shared" si="25"/>
        <v>0.5774999999999999</v>
      </c>
      <c r="H84">
        <f t="shared" si="26"/>
        <v>105.84</v>
      </c>
      <c r="I84">
        <f t="shared" si="27"/>
        <v>441</v>
      </c>
      <c r="J84">
        <f t="shared" si="28"/>
        <v>294</v>
      </c>
      <c r="K84">
        <f t="shared" si="29"/>
        <v>70.56</v>
      </c>
      <c r="L84">
        <f t="shared" si="30"/>
        <v>8.5553999999999988</v>
      </c>
      <c r="M84">
        <f t="shared" si="31"/>
        <v>8.0755920000000003</v>
      </c>
      <c r="N84">
        <f t="shared" si="32"/>
        <v>3.7925999999999997</v>
      </c>
      <c r="O84">
        <f t="shared" si="43"/>
        <v>6.6504875294117651</v>
      </c>
      <c r="P84">
        <f t="shared" si="33"/>
        <v>4.5356371490280774</v>
      </c>
      <c r="Q84">
        <f t="shared" si="34"/>
        <v>63</v>
      </c>
      <c r="R84">
        <f t="shared" si="35"/>
        <v>420</v>
      </c>
      <c r="S84">
        <f t="shared" si="36"/>
        <v>155.40000000000003</v>
      </c>
      <c r="T84">
        <f t="shared" si="37"/>
        <v>138.59999999999997</v>
      </c>
      <c r="U84">
        <f>I84*E84/'[1]Inverter Analysis'!$L$2</f>
        <v>253.62477808589858</v>
      </c>
      <c r="V84">
        <f t="shared" si="38"/>
        <v>272.10884353741494</v>
      </c>
      <c r="W84">
        <f t="shared" si="39"/>
        <v>514.80051480051463</v>
      </c>
      <c r="X84">
        <f t="shared" si="40"/>
        <v>181.40589569160997</v>
      </c>
      <c r="Y84">
        <f t="shared" si="41"/>
        <v>5.8304305408552466</v>
      </c>
      <c r="Z84">
        <f t="shared" si="42"/>
        <v>0.25212546306818201</v>
      </c>
    </row>
    <row r="85" spans="1:26" hidden="1">
      <c r="A85">
        <v>13</v>
      </c>
      <c r="B85">
        <v>4</v>
      </c>
      <c r="C85" s="12">
        <v>8</v>
      </c>
      <c r="D85">
        <f t="shared" si="22"/>
        <v>360</v>
      </c>
      <c r="E85">
        <f t="shared" si="23"/>
        <v>240</v>
      </c>
      <c r="F85">
        <f t="shared" si="24"/>
        <v>29.12</v>
      </c>
      <c r="G85">
        <f t="shared" si="25"/>
        <v>0.57199999999999995</v>
      </c>
      <c r="H85">
        <f t="shared" si="26"/>
        <v>104.83199999999999</v>
      </c>
      <c r="I85">
        <f t="shared" si="27"/>
        <v>436.8</v>
      </c>
      <c r="J85">
        <f t="shared" si="28"/>
        <v>291.2</v>
      </c>
      <c r="K85">
        <f t="shared" si="29"/>
        <v>69.888000000000005</v>
      </c>
      <c r="L85">
        <f t="shared" si="30"/>
        <v>8.4739199999999997</v>
      </c>
      <c r="M85">
        <f t="shared" si="31"/>
        <v>7.9986816000000012</v>
      </c>
      <c r="N85">
        <f t="shared" si="32"/>
        <v>3.7564799999999998</v>
      </c>
      <c r="O85">
        <f t="shared" si="43"/>
        <v>6.5871495529411783</v>
      </c>
      <c r="P85">
        <f t="shared" si="33"/>
        <v>3.9308855291576674</v>
      </c>
      <c r="Q85">
        <f t="shared" si="34"/>
        <v>54.6</v>
      </c>
      <c r="R85">
        <f t="shared" si="35"/>
        <v>416</v>
      </c>
      <c r="S85">
        <f t="shared" si="36"/>
        <v>153.91999999999999</v>
      </c>
      <c r="T85">
        <f t="shared" si="37"/>
        <v>137.28</v>
      </c>
      <c r="U85">
        <f>I85*E85/'[1]Inverter Analysis'!$L$2</f>
        <v>251.20930400889</v>
      </c>
      <c r="V85">
        <f t="shared" si="38"/>
        <v>274.72527472527474</v>
      </c>
      <c r="W85">
        <f t="shared" si="39"/>
        <v>519.75051975051974</v>
      </c>
      <c r="X85">
        <f t="shared" si="40"/>
        <v>183.15018315018315</v>
      </c>
      <c r="Y85">
        <f t="shared" si="41"/>
        <v>5.9430932611805787</v>
      </c>
      <c r="Z85">
        <f t="shared" si="42"/>
        <v>0.24499026618181821</v>
      </c>
    </row>
    <row r="86" spans="1:26" hidden="1">
      <c r="A86">
        <v>15</v>
      </c>
      <c r="B86">
        <v>3</v>
      </c>
      <c r="C86" s="12">
        <v>9</v>
      </c>
      <c r="D86">
        <f t="shared" si="22"/>
        <v>270</v>
      </c>
      <c r="E86">
        <f t="shared" si="23"/>
        <v>180</v>
      </c>
      <c r="F86">
        <f t="shared" si="24"/>
        <v>28.35</v>
      </c>
      <c r="G86">
        <f t="shared" si="25"/>
        <v>0.99</v>
      </c>
      <c r="H86">
        <f t="shared" si="26"/>
        <v>102.06</v>
      </c>
      <c r="I86">
        <f t="shared" si="27"/>
        <v>567</v>
      </c>
      <c r="J86">
        <f t="shared" si="28"/>
        <v>378</v>
      </c>
      <c r="K86">
        <f t="shared" si="29"/>
        <v>68.040000000000006</v>
      </c>
      <c r="L86">
        <f t="shared" si="30"/>
        <v>8.2498499999999986</v>
      </c>
      <c r="M86">
        <f t="shared" si="31"/>
        <v>7.7871779999999999</v>
      </c>
      <c r="N86">
        <f t="shared" si="32"/>
        <v>3.6571499999999997</v>
      </c>
      <c r="O86">
        <f t="shared" si="43"/>
        <v>6.4129701176470597</v>
      </c>
      <c r="P86">
        <f t="shared" si="33"/>
        <v>3.4017278617710582</v>
      </c>
      <c r="Q86">
        <f t="shared" si="34"/>
        <v>63</v>
      </c>
      <c r="R86">
        <f t="shared" si="35"/>
        <v>405</v>
      </c>
      <c r="S86">
        <f t="shared" si="36"/>
        <v>199.8</v>
      </c>
      <c r="T86">
        <f t="shared" si="37"/>
        <v>178.2</v>
      </c>
      <c r="U86">
        <f>I86*E86/'[1]Inverter Analysis'!$L$2</f>
        <v>244.56675029711647</v>
      </c>
      <c r="V86">
        <f t="shared" si="38"/>
        <v>211.64021164021165</v>
      </c>
      <c r="W86">
        <f t="shared" si="39"/>
        <v>400.40040040040037</v>
      </c>
      <c r="X86">
        <f t="shared" si="40"/>
        <v>141.09347442680777</v>
      </c>
      <c r="Y86">
        <f t="shared" si="41"/>
        <v>3.5270505740976206</v>
      </c>
      <c r="Z86">
        <f t="shared" si="42"/>
        <v>0.40189386860795462</v>
      </c>
    </row>
    <row r="87" spans="1:26" hidden="1">
      <c r="A87">
        <v>10</v>
      </c>
      <c r="B87">
        <v>4</v>
      </c>
      <c r="C87" s="12">
        <v>10</v>
      </c>
      <c r="D87">
        <f t="shared" si="22"/>
        <v>360</v>
      </c>
      <c r="E87">
        <f t="shared" si="23"/>
        <v>240</v>
      </c>
      <c r="F87">
        <f t="shared" si="24"/>
        <v>28</v>
      </c>
      <c r="G87">
        <f t="shared" si="25"/>
        <v>0.54999999999999993</v>
      </c>
      <c r="H87">
        <f t="shared" si="26"/>
        <v>100.8</v>
      </c>
      <c r="I87">
        <f t="shared" si="27"/>
        <v>420</v>
      </c>
      <c r="J87">
        <f t="shared" si="28"/>
        <v>280</v>
      </c>
      <c r="K87">
        <f t="shared" si="29"/>
        <v>67.2</v>
      </c>
      <c r="L87">
        <f t="shared" si="30"/>
        <v>8.1479999999999997</v>
      </c>
      <c r="M87">
        <f t="shared" si="31"/>
        <v>7.691040000000001</v>
      </c>
      <c r="N87">
        <f t="shared" si="32"/>
        <v>3.6120000000000001</v>
      </c>
      <c r="O87">
        <f t="shared" si="43"/>
        <v>6.3337976470588249</v>
      </c>
      <c r="P87">
        <f t="shared" si="33"/>
        <v>3.0237580993520519</v>
      </c>
      <c r="Q87">
        <f t="shared" si="34"/>
        <v>42</v>
      </c>
      <c r="R87">
        <f t="shared" si="35"/>
        <v>400</v>
      </c>
      <c r="S87">
        <f t="shared" si="36"/>
        <v>148.00000000000003</v>
      </c>
      <c r="T87">
        <f t="shared" si="37"/>
        <v>131.99999999999997</v>
      </c>
      <c r="U87">
        <f>I87*E87/'[1]Inverter Analysis'!$L$2</f>
        <v>241.54740770085579</v>
      </c>
      <c r="V87">
        <f t="shared" si="38"/>
        <v>285.71428571428572</v>
      </c>
      <c r="W87">
        <f t="shared" si="39"/>
        <v>540.54054054054041</v>
      </c>
      <c r="X87">
        <f t="shared" si="40"/>
        <v>190.47619047619048</v>
      </c>
      <c r="Y87">
        <f t="shared" si="41"/>
        <v>6.4280496712929107</v>
      </c>
      <c r="Z87">
        <f t="shared" si="42"/>
        <v>0.21779545454545468</v>
      </c>
    </row>
    <row r="88" spans="1:26" hidden="1">
      <c r="A88">
        <v>11</v>
      </c>
      <c r="B88">
        <v>3</v>
      </c>
      <c r="C88">
        <v>12</v>
      </c>
      <c r="D88">
        <f t="shared" si="22"/>
        <v>270</v>
      </c>
      <c r="E88">
        <f t="shared" si="23"/>
        <v>180</v>
      </c>
      <c r="F88">
        <f t="shared" si="24"/>
        <v>27.72</v>
      </c>
      <c r="G88">
        <f t="shared" si="25"/>
        <v>0.96799999999999997</v>
      </c>
      <c r="H88">
        <f t="shared" si="26"/>
        <v>99.792000000000002</v>
      </c>
      <c r="I88">
        <f t="shared" si="27"/>
        <v>554.4</v>
      </c>
      <c r="J88">
        <f t="shared" si="28"/>
        <v>369.59999999999997</v>
      </c>
      <c r="K88">
        <f t="shared" si="29"/>
        <v>66.528000000000006</v>
      </c>
      <c r="L88">
        <f t="shared" si="30"/>
        <v>8.0665199999999988</v>
      </c>
      <c r="M88">
        <f t="shared" si="31"/>
        <v>7.6141296000000001</v>
      </c>
      <c r="N88">
        <f t="shared" si="32"/>
        <v>3.5758799999999993</v>
      </c>
      <c r="O88">
        <f t="shared" si="43"/>
        <v>6.2704596705882363</v>
      </c>
      <c r="P88">
        <f t="shared" si="33"/>
        <v>2.4946004319654427</v>
      </c>
      <c r="Q88">
        <f t="shared" si="34"/>
        <v>46.199999999999996</v>
      </c>
      <c r="R88">
        <f t="shared" si="35"/>
        <v>396</v>
      </c>
      <c r="S88">
        <f t="shared" si="36"/>
        <v>195.35999999999996</v>
      </c>
      <c r="T88">
        <f t="shared" si="37"/>
        <v>174.24</v>
      </c>
      <c r="U88">
        <f>I88*E88/'[1]Inverter Analysis'!$L$2</f>
        <v>239.13193362384723</v>
      </c>
      <c r="V88">
        <f t="shared" si="38"/>
        <v>216.45021645021646</v>
      </c>
      <c r="W88">
        <f t="shared" si="39"/>
        <v>409.5004095004096</v>
      </c>
      <c r="X88">
        <f t="shared" si="40"/>
        <v>144.3001443001443</v>
      </c>
      <c r="Y88">
        <f t="shared" si="41"/>
        <v>3.6891928783820691</v>
      </c>
      <c r="Z88">
        <f t="shared" si="42"/>
        <v>0.37569193199999984</v>
      </c>
    </row>
    <row r="89" spans="1:26" hidden="1">
      <c r="A89">
        <v>12</v>
      </c>
      <c r="B89">
        <v>3</v>
      </c>
      <c r="C89" s="12">
        <v>11</v>
      </c>
      <c r="D89">
        <f t="shared" si="22"/>
        <v>270</v>
      </c>
      <c r="E89">
        <f t="shared" si="23"/>
        <v>180</v>
      </c>
      <c r="F89">
        <f t="shared" si="24"/>
        <v>27.72</v>
      </c>
      <c r="G89">
        <f t="shared" si="25"/>
        <v>0.96799999999999997</v>
      </c>
      <c r="H89">
        <f t="shared" si="26"/>
        <v>99.792000000000002</v>
      </c>
      <c r="I89">
        <f t="shared" si="27"/>
        <v>554.4</v>
      </c>
      <c r="J89">
        <f t="shared" si="28"/>
        <v>369.59999999999997</v>
      </c>
      <c r="K89">
        <f t="shared" si="29"/>
        <v>66.528000000000006</v>
      </c>
      <c r="L89">
        <f t="shared" si="30"/>
        <v>8.0665199999999988</v>
      </c>
      <c r="M89">
        <f t="shared" si="31"/>
        <v>7.6141296000000001</v>
      </c>
      <c r="N89">
        <f t="shared" si="32"/>
        <v>3.5758799999999993</v>
      </c>
      <c r="O89">
        <f t="shared" si="43"/>
        <v>6.2704596705882363</v>
      </c>
      <c r="P89">
        <f t="shared" si="33"/>
        <v>2.7213822894168462</v>
      </c>
      <c r="Q89">
        <f t="shared" si="34"/>
        <v>50.4</v>
      </c>
      <c r="R89">
        <f t="shared" si="35"/>
        <v>396</v>
      </c>
      <c r="S89">
        <f t="shared" si="36"/>
        <v>195.35999999999996</v>
      </c>
      <c r="T89">
        <f t="shared" si="37"/>
        <v>174.24</v>
      </c>
      <c r="U89">
        <f>I89*E89/'[1]Inverter Analysis'!$L$2</f>
        <v>239.13193362384723</v>
      </c>
      <c r="V89">
        <f t="shared" si="38"/>
        <v>216.45021645021646</v>
      </c>
      <c r="W89">
        <f t="shared" si="39"/>
        <v>409.5004095004096</v>
      </c>
      <c r="X89">
        <f t="shared" si="40"/>
        <v>144.3001443001443</v>
      </c>
      <c r="Y89">
        <f t="shared" si="41"/>
        <v>3.6891928783820691</v>
      </c>
      <c r="Z89">
        <f t="shared" si="42"/>
        <v>0.37569193199999984</v>
      </c>
    </row>
    <row r="90" spans="1:26" hidden="1">
      <c r="A90">
        <v>11</v>
      </c>
      <c r="B90">
        <v>4</v>
      </c>
      <c r="C90" s="12">
        <v>9</v>
      </c>
      <c r="D90">
        <f t="shared" si="22"/>
        <v>360</v>
      </c>
      <c r="E90">
        <f t="shared" si="23"/>
        <v>240</v>
      </c>
      <c r="F90">
        <f t="shared" si="24"/>
        <v>27.72</v>
      </c>
      <c r="G90">
        <f t="shared" si="25"/>
        <v>0.54449999999999998</v>
      </c>
      <c r="H90">
        <f t="shared" si="26"/>
        <v>99.792000000000002</v>
      </c>
      <c r="I90">
        <f t="shared" si="27"/>
        <v>415.8</v>
      </c>
      <c r="J90">
        <f t="shared" si="28"/>
        <v>277.2</v>
      </c>
      <c r="K90">
        <f t="shared" si="29"/>
        <v>66.528000000000006</v>
      </c>
      <c r="L90">
        <f t="shared" si="30"/>
        <v>8.0665199999999988</v>
      </c>
      <c r="M90">
        <f t="shared" si="31"/>
        <v>7.6141296000000009</v>
      </c>
      <c r="N90">
        <f t="shared" si="32"/>
        <v>3.5758800000000002</v>
      </c>
      <c r="O90">
        <f t="shared" si="43"/>
        <v>6.2704596705882363</v>
      </c>
      <c r="P90">
        <f t="shared" si="33"/>
        <v>3.3261339092872566</v>
      </c>
      <c r="Q90">
        <f t="shared" si="34"/>
        <v>46.2</v>
      </c>
      <c r="R90">
        <f t="shared" si="35"/>
        <v>396</v>
      </c>
      <c r="S90">
        <f t="shared" si="36"/>
        <v>146.51999999999998</v>
      </c>
      <c r="T90">
        <f t="shared" si="37"/>
        <v>130.68</v>
      </c>
      <c r="U90">
        <f>I90*E90/'[1]Inverter Analysis'!$L$2</f>
        <v>239.13193362384723</v>
      </c>
      <c r="V90">
        <f t="shared" si="38"/>
        <v>288.60028860028859</v>
      </c>
      <c r="W90">
        <f t="shared" si="39"/>
        <v>546.00054600054602</v>
      </c>
      <c r="X90">
        <f t="shared" si="40"/>
        <v>192.4001924001924</v>
      </c>
      <c r="Y90">
        <f t="shared" si="41"/>
        <v>6.5585651171236767</v>
      </c>
      <c r="Z90">
        <f t="shared" si="42"/>
        <v>0.21132671174999995</v>
      </c>
    </row>
    <row r="91" spans="1:26" hidden="1">
      <c r="A91">
        <v>14</v>
      </c>
      <c r="B91">
        <v>4</v>
      </c>
      <c r="C91" s="12">
        <v>7</v>
      </c>
      <c r="D91">
        <f t="shared" si="22"/>
        <v>360</v>
      </c>
      <c r="E91">
        <f t="shared" si="23"/>
        <v>240</v>
      </c>
      <c r="F91">
        <f t="shared" si="24"/>
        <v>27.44</v>
      </c>
      <c r="G91">
        <f t="shared" si="25"/>
        <v>0.53900000000000003</v>
      </c>
      <c r="H91">
        <f t="shared" si="26"/>
        <v>98.784000000000006</v>
      </c>
      <c r="I91">
        <f t="shared" si="27"/>
        <v>411.6</v>
      </c>
      <c r="J91">
        <f t="shared" si="28"/>
        <v>274.39999999999998</v>
      </c>
      <c r="K91">
        <f t="shared" si="29"/>
        <v>65.855999999999995</v>
      </c>
      <c r="L91">
        <f t="shared" si="30"/>
        <v>7.9850399999999997</v>
      </c>
      <c r="M91">
        <f t="shared" si="31"/>
        <v>7.5372192000000009</v>
      </c>
      <c r="N91">
        <f t="shared" si="32"/>
        <v>3.5397600000000002</v>
      </c>
      <c r="O91">
        <f t="shared" si="43"/>
        <v>6.2071216941176486</v>
      </c>
      <c r="P91">
        <f t="shared" si="33"/>
        <v>4.2332613390928726</v>
      </c>
      <c r="Q91">
        <f t="shared" si="34"/>
        <v>58.800000000000004</v>
      </c>
      <c r="R91">
        <f t="shared" si="35"/>
        <v>392</v>
      </c>
      <c r="S91">
        <f t="shared" si="36"/>
        <v>145.03999999999996</v>
      </c>
      <c r="T91">
        <f t="shared" si="37"/>
        <v>129.36000000000001</v>
      </c>
      <c r="U91">
        <f>I91*E91/'[1]Inverter Analysis'!$L$2</f>
        <v>236.71645954683868</v>
      </c>
      <c r="V91">
        <f t="shared" si="38"/>
        <v>291.54518950437318</v>
      </c>
      <c r="W91">
        <f t="shared" si="39"/>
        <v>551.57198014340884</v>
      </c>
      <c r="X91">
        <f t="shared" si="40"/>
        <v>194.36345966958211</v>
      </c>
      <c r="Y91">
        <f t="shared" si="41"/>
        <v>6.6930962841450619</v>
      </c>
      <c r="Z91">
        <f t="shared" si="42"/>
        <v>0.20498733945454539</v>
      </c>
    </row>
    <row r="92" spans="1:26" hidden="1">
      <c r="A92">
        <v>13</v>
      </c>
      <c r="B92">
        <v>3</v>
      </c>
      <c r="C92" s="12">
        <v>10</v>
      </c>
      <c r="D92">
        <f t="shared" si="22"/>
        <v>270</v>
      </c>
      <c r="E92">
        <f t="shared" si="23"/>
        <v>180</v>
      </c>
      <c r="F92">
        <f t="shared" si="24"/>
        <v>27.3</v>
      </c>
      <c r="G92">
        <f t="shared" si="25"/>
        <v>0.95333333333333325</v>
      </c>
      <c r="H92">
        <f t="shared" si="26"/>
        <v>98.28</v>
      </c>
      <c r="I92">
        <f t="shared" si="27"/>
        <v>546</v>
      </c>
      <c r="J92">
        <f t="shared" si="28"/>
        <v>364</v>
      </c>
      <c r="K92">
        <f t="shared" si="29"/>
        <v>65.52</v>
      </c>
      <c r="L92">
        <f t="shared" si="30"/>
        <v>7.9442999999999993</v>
      </c>
      <c r="M92">
        <f t="shared" si="31"/>
        <v>7.4987640000000013</v>
      </c>
      <c r="N92">
        <f t="shared" si="32"/>
        <v>3.5216999999999996</v>
      </c>
      <c r="O92">
        <f t="shared" si="43"/>
        <v>6.1754527058823543</v>
      </c>
      <c r="P92">
        <f t="shared" si="33"/>
        <v>2.9481641468682502</v>
      </c>
      <c r="Q92">
        <f t="shared" si="34"/>
        <v>54.6</v>
      </c>
      <c r="R92">
        <f t="shared" si="35"/>
        <v>390</v>
      </c>
      <c r="S92">
        <f t="shared" si="36"/>
        <v>192.4</v>
      </c>
      <c r="T92">
        <f t="shared" si="37"/>
        <v>171.6</v>
      </c>
      <c r="U92">
        <f>I92*E92/'[1]Inverter Analysis'!$L$2</f>
        <v>235.50872250833439</v>
      </c>
      <c r="V92">
        <f t="shared" si="38"/>
        <v>219.78021978021977</v>
      </c>
      <c r="W92">
        <f t="shared" si="39"/>
        <v>415.80041580041581</v>
      </c>
      <c r="X92">
        <f t="shared" si="40"/>
        <v>146.52014652014651</v>
      </c>
      <c r="Y92">
        <f t="shared" si="41"/>
        <v>3.8035796871555707</v>
      </c>
      <c r="Z92">
        <f t="shared" si="42"/>
        <v>0.3588724602272727</v>
      </c>
    </row>
    <row r="93" spans="1:26" s="15" customFormat="1">
      <c r="A93" s="15">
        <v>12</v>
      </c>
      <c r="B93" s="15">
        <v>3</v>
      </c>
      <c r="C93" s="16">
        <v>8</v>
      </c>
      <c r="D93" s="15">
        <f t="shared" si="22"/>
        <v>270</v>
      </c>
      <c r="E93" s="15">
        <f t="shared" si="23"/>
        <v>180</v>
      </c>
      <c r="F93" s="15">
        <f t="shared" si="24"/>
        <v>20.16</v>
      </c>
      <c r="G93" s="15">
        <f>((B93*$R$3^(-1))^(-1))*A93*C93</f>
        <v>0.70399999999999996</v>
      </c>
      <c r="H93" s="15">
        <f t="shared" si="26"/>
        <v>72.576000000000008</v>
      </c>
      <c r="I93" s="15">
        <f t="shared" si="27"/>
        <v>403.20000000000005</v>
      </c>
      <c r="J93" s="15">
        <f t="shared" si="28"/>
        <v>268.79999999999995</v>
      </c>
      <c r="K93" s="15">
        <f t="shared" si="29"/>
        <v>48.383999999999993</v>
      </c>
      <c r="L93" s="15">
        <f t="shared" si="30"/>
        <v>5.8665599999999998</v>
      </c>
      <c r="M93" s="15">
        <f t="shared" si="31"/>
        <v>5.5375488000000006</v>
      </c>
      <c r="N93" s="15">
        <f t="shared" si="32"/>
        <v>2.6006400000000003</v>
      </c>
      <c r="O93" s="15">
        <f>M93*(($L$3-$K$3)/($L$3-$M$3))</f>
        <v>4.5603343058823542</v>
      </c>
      <c r="P93" s="15">
        <f>$H$3/1000*B93*I93/277.8/C93</f>
        <v>2.7213822894168471</v>
      </c>
      <c r="Q93" s="15">
        <f t="shared" si="34"/>
        <v>50.400000000000006</v>
      </c>
      <c r="R93" s="15">
        <f t="shared" si="35"/>
        <v>288</v>
      </c>
      <c r="S93" s="15">
        <f t="shared" si="36"/>
        <v>142.07999999999996</v>
      </c>
      <c r="T93" s="15">
        <f t="shared" si="37"/>
        <v>126.72</v>
      </c>
      <c r="U93" s="15">
        <f>I93*E93/'[1]Inverter Analysis'!$L$2</f>
        <v>173.91413354461619</v>
      </c>
      <c r="V93" s="15">
        <f t="shared" si="38"/>
        <v>297.61904761904765</v>
      </c>
      <c r="W93" s="15">
        <f t="shared" si="39"/>
        <v>563.06306306306328</v>
      </c>
      <c r="X93" s="15">
        <f t="shared" si="40"/>
        <v>198.4126984126984</v>
      </c>
      <c r="Y93" s="15">
        <f t="shared" si="41"/>
        <v>6.9748802856911016</v>
      </c>
      <c r="Z93" s="15">
        <f t="shared" si="42"/>
        <v>0.14451860945454534</v>
      </c>
    </row>
    <row r="94" spans="1:26" s="6" customFormat="1" hidden="1">
      <c r="A94" s="6">
        <v>16</v>
      </c>
      <c r="B94" s="6">
        <v>3</v>
      </c>
      <c r="C94" s="14">
        <v>8</v>
      </c>
      <c r="D94" s="6">
        <f t="shared" si="22"/>
        <v>270</v>
      </c>
      <c r="E94" s="6">
        <f t="shared" si="23"/>
        <v>180</v>
      </c>
      <c r="F94" s="6">
        <f t="shared" si="24"/>
        <v>26.88</v>
      </c>
      <c r="G94" s="6">
        <f t="shared" si="25"/>
        <v>0.93866666666666665</v>
      </c>
      <c r="H94" s="6">
        <f t="shared" si="26"/>
        <v>96.768000000000001</v>
      </c>
      <c r="I94" s="6">
        <f t="shared" si="27"/>
        <v>537.6</v>
      </c>
      <c r="J94" s="6">
        <f t="shared" si="28"/>
        <v>358.4</v>
      </c>
      <c r="K94" s="6">
        <f t="shared" si="29"/>
        <v>64.511999999999986</v>
      </c>
      <c r="L94" s="6">
        <f t="shared" si="30"/>
        <v>7.8220799999999997</v>
      </c>
      <c r="M94" s="6">
        <f t="shared" si="31"/>
        <v>7.3833984000000008</v>
      </c>
      <c r="N94" s="6">
        <f t="shared" si="32"/>
        <v>3.4675199999999995</v>
      </c>
      <c r="O94">
        <f t="shared" si="43"/>
        <v>6.0804457411764714</v>
      </c>
      <c r="P94" s="6">
        <f t="shared" si="33"/>
        <v>3.6285097192224622</v>
      </c>
      <c r="Q94" s="6">
        <f t="shared" si="34"/>
        <v>67.2</v>
      </c>
      <c r="R94" s="6">
        <f t="shared" si="35"/>
        <v>384</v>
      </c>
      <c r="S94" s="6">
        <f t="shared" si="36"/>
        <v>189.43999999999997</v>
      </c>
      <c r="T94" s="6">
        <f t="shared" si="37"/>
        <v>168.96</v>
      </c>
      <c r="U94" s="6">
        <f>I94*E94/'[1]Inverter Analysis'!$L$2</f>
        <v>231.88551139282154</v>
      </c>
      <c r="V94" s="6">
        <f t="shared" si="38"/>
        <v>223.21428571428572</v>
      </c>
      <c r="W94" s="6">
        <f t="shared" si="39"/>
        <v>422.29729729729735</v>
      </c>
      <c r="X94" s="6">
        <f t="shared" si="40"/>
        <v>148.8095238095238</v>
      </c>
      <c r="Y94" s="6">
        <f t="shared" si="41"/>
        <v>3.9233701607012428</v>
      </c>
      <c r="Z94" s="6">
        <f t="shared" si="42"/>
        <v>0.34256262981818175</v>
      </c>
    </row>
    <row r="95" spans="1:26" s="6" customFormat="1">
      <c r="A95" s="6">
        <v>16</v>
      </c>
      <c r="B95" s="6">
        <v>4</v>
      </c>
      <c r="C95" s="6">
        <v>6</v>
      </c>
      <c r="D95" s="6">
        <f t="shared" si="22"/>
        <v>360</v>
      </c>
      <c r="E95" s="6">
        <f t="shared" si="23"/>
        <v>240</v>
      </c>
      <c r="F95" s="6">
        <f t="shared" si="24"/>
        <v>26.88</v>
      </c>
      <c r="G95" s="6">
        <f t="shared" si="25"/>
        <v>0.52800000000000002</v>
      </c>
      <c r="H95" s="6">
        <f t="shared" si="26"/>
        <v>96.768000000000015</v>
      </c>
      <c r="I95" s="6">
        <f t="shared" si="27"/>
        <v>403.20000000000005</v>
      </c>
      <c r="J95" s="6">
        <f t="shared" si="28"/>
        <v>268.79999999999995</v>
      </c>
      <c r="K95" s="6">
        <f t="shared" si="29"/>
        <v>64.511999999999986</v>
      </c>
      <c r="L95" s="6">
        <f t="shared" si="30"/>
        <v>7.8220799999999997</v>
      </c>
      <c r="M95" s="6">
        <f t="shared" si="31"/>
        <v>7.3833984000000008</v>
      </c>
      <c r="N95" s="6">
        <f t="shared" si="32"/>
        <v>3.4675200000000004</v>
      </c>
      <c r="O95">
        <f t="shared" si="43"/>
        <v>6.0804457411764714</v>
      </c>
      <c r="P95" s="6">
        <f t="shared" si="33"/>
        <v>4.8380129589632839</v>
      </c>
      <c r="Q95" s="6">
        <f t="shared" si="34"/>
        <v>67.2</v>
      </c>
      <c r="R95" s="6">
        <f t="shared" si="35"/>
        <v>384</v>
      </c>
      <c r="S95" s="6">
        <f t="shared" si="36"/>
        <v>142.07999999999996</v>
      </c>
      <c r="T95" s="6">
        <f t="shared" si="37"/>
        <v>126.72</v>
      </c>
      <c r="U95" s="6">
        <f>I95*E95/'[1]Inverter Analysis'!$L$2</f>
        <v>231.8855113928216</v>
      </c>
      <c r="V95" s="6">
        <f t="shared" si="38"/>
        <v>297.61904761904765</v>
      </c>
      <c r="W95" s="6">
        <f t="shared" si="39"/>
        <v>563.06306306306328</v>
      </c>
      <c r="X95" s="6">
        <f t="shared" si="40"/>
        <v>198.4126984126984</v>
      </c>
      <c r="Y95" s="6">
        <f t="shared" si="41"/>
        <v>6.9748802856911016</v>
      </c>
      <c r="Z95" s="6">
        <f t="shared" si="42"/>
        <v>0.19269147927272715</v>
      </c>
    </row>
    <row r="96" spans="1:26" hidden="1">
      <c r="A96">
        <v>14</v>
      </c>
      <c r="B96">
        <v>3</v>
      </c>
      <c r="C96" s="12">
        <v>9</v>
      </c>
      <c r="D96">
        <f t="shared" si="22"/>
        <v>270</v>
      </c>
      <c r="E96">
        <f t="shared" si="23"/>
        <v>180</v>
      </c>
      <c r="F96">
        <f t="shared" si="24"/>
        <v>26.46</v>
      </c>
      <c r="G96">
        <f t="shared" si="25"/>
        <v>0.92400000000000004</v>
      </c>
      <c r="H96">
        <f t="shared" si="26"/>
        <v>95.256000000000014</v>
      </c>
      <c r="I96">
        <f t="shared" si="27"/>
        <v>529.20000000000005</v>
      </c>
      <c r="J96">
        <f t="shared" si="28"/>
        <v>352.79999999999995</v>
      </c>
      <c r="K96">
        <f t="shared" si="29"/>
        <v>63.503999999999991</v>
      </c>
      <c r="L96">
        <f t="shared" si="30"/>
        <v>7.6998599999999993</v>
      </c>
      <c r="M96">
        <f t="shared" si="31"/>
        <v>7.2680328000000012</v>
      </c>
      <c r="N96">
        <f t="shared" si="32"/>
        <v>3.4133400000000003</v>
      </c>
      <c r="O96">
        <f t="shared" si="43"/>
        <v>5.9854387764705894</v>
      </c>
      <c r="P96">
        <f t="shared" si="33"/>
        <v>3.1749460043196547</v>
      </c>
      <c r="Q96">
        <f t="shared" si="34"/>
        <v>58.800000000000004</v>
      </c>
      <c r="R96">
        <f t="shared" si="35"/>
        <v>378</v>
      </c>
      <c r="S96">
        <f t="shared" si="36"/>
        <v>186.47999999999993</v>
      </c>
      <c r="T96">
        <f t="shared" si="37"/>
        <v>166.32000000000002</v>
      </c>
      <c r="U96">
        <f>I96*E96/'[1]Inverter Analysis'!$L$2</f>
        <v>228.26230027730875</v>
      </c>
      <c r="V96">
        <f t="shared" si="38"/>
        <v>226.7573696145125</v>
      </c>
      <c r="W96">
        <f t="shared" si="39"/>
        <v>429.00042900042916</v>
      </c>
      <c r="X96">
        <f t="shared" si="40"/>
        <v>151.17157974300829</v>
      </c>
      <c r="Y96">
        <f t="shared" si="41"/>
        <v>4.0489100978161501</v>
      </c>
      <c r="Z96">
        <f t="shared" si="42"/>
        <v>0.32675460013636337</v>
      </c>
    </row>
    <row r="97" spans="1:26" hidden="1">
      <c r="A97">
        <v>11</v>
      </c>
      <c r="B97">
        <v>3</v>
      </c>
      <c r="C97" s="12">
        <v>11</v>
      </c>
      <c r="D97">
        <f t="shared" si="22"/>
        <v>270</v>
      </c>
      <c r="E97">
        <f t="shared" si="23"/>
        <v>180</v>
      </c>
      <c r="F97">
        <f t="shared" si="24"/>
        <v>25.41</v>
      </c>
      <c r="G97">
        <f t="shared" si="25"/>
        <v>0.88733333333333331</v>
      </c>
      <c r="H97">
        <f t="shared" si="26"/>
        <v>91.476000000000013</v>
      </c>
      <c r="I97">
        <f t="shared" si="27"/>
        <v>508.20000000000005</v>
      </c>
      <c r="J97">
        <f t="shared" si="28"/>
        <v>338.79999999999995</v>
      </c>
      <c r="K97">
        <f t="shared" si="29"/>
        <v>60.983999999999995</v>
      </c>
      <c r="L97">
        <f t="shared" si="30"/>
        <v>7.3943099999999991</v>
      </c>
      <c r="M97">
        <f t="shared" si="31"/>
        <v>6.9796188000000017</v>
      </c>
      <c r="N97">
        <f t="shared" si="32"/>
        <v>3.2778900000000002</v>
      </c>
      <c r="O97">
        <f t="shared" si="43"/>
        <v>5.747921364705884</v>
      </c>
      <c r="P97">
        <f t="shared" si="33"/>
        <v>2.4946004319654431</v>
      </c>
      <c r="Q97">
        <f t="shared" si="34"/>
        <v>46.2</v>
      </c>
      <c r="R97">
        <f t="shared" si="35"/>
        <v>363</v>
      </c>
      <c r="S97">
        <f t="shared" si="36"/>
        <v>179.07999999999996</v>
      </c>
      <c r="T97">
        <f t="shared" si="37"/>
        <v>159.72</v>
      </c>
      <c r="U97">
        <f>I97*E97/'[1]Inverter Analysis'!$L$2</f>
        <v>219.20427248852667</v>
      </c>
      <c r="V97">
        <f t="shared" si="38"/>
        <v>236.12750885478161</v>
      </c>
      <c r="W97">
        <f t="shared" si="39"/>
        <v>446.72771945499227</v>
      </c>
      <c r="X97">
        <f t="shared" si="40"/>
        <v>157.41833923652104</v>
      </c>
      <c r="Y97">
        <f t="shared" si="41"/>
        <v>4.3904444172480819</v>
      </c>
      <c r="Z97">
        <f t="shared" si="42"/>
        <v>0.28937844993749995</v>
      </c>
    </row>
    <row r="98" spans="1:26" hidden="1">
      <c r="A98">
        <v>10</v>
      </c>
      <c r="B98">
        <v>3</v>
      </c>
      <c r="C98">
        <v>12</v>
      </c>
      <c r="D98">
        <f t="shared" si="22"/>
        <v>270</v>
      </c>
      <c r="E98">
        <f t="shared" si="23"/>
        <v>180</v>
      </c>
      <c r="F98">
        <f t="shared" si="24"/>
        <v>25.2</v>
      </c>
      <c r="G98">
        <f t="shared" si="25"/>
        <v>0.88</v>
      </c>
      <c r="H98">
        <f t="shared" si="26"/>
        <v>90.72</v>
      </c>
      <c r="I98">
        <f t="shared" si="27"/>
        <v>504</v>
      </c>
      <c r="J98">
        <f t="shared" si="28"/>
        <v>336</v>
      </c>
      <c r="K98">
        <f t="shared" si="29"/>
        <v>60.48</v>
      </c>
      <c r="L98">
        <f t="shared" si="30"/>
        <v>7.3331999999999988</v>
      </c>
      <c r="M98">
        <f t="shared" si="31"/>
        <v>6.9219360000000014</v>
      </c>
      <c r="N98">
        <f t="shared" si="32"/>
        <v>3.2507999999999999</v>
      </c>
      <c r="O98">
        <f t="shared" si="43"/>
        <v>5.7004178823529426</v>
      </c>
      <c r="P98">
        <f t="shared" si="33"/>
        <v>2.2678185745140387</v>
      </c>
      <c r="Q98">
        <f t="shared" si="34"/>
        <v>42</v>
      </c>
      <c r="R98" t="e" cm="1">
        <f t="array" ref="R98">R96(A98*B98*C98)</f>
        <v>#REF!</v>
      </c>
      <c r="S98">
        <f t="shared" si="36"/>
        <v>177.6</v>
      </c>
      <c r="T98">
        <f t="shared" si="37"/>
        <v>158.4</v>
      </c>
      <c r="U98">
        <f>I98*E98/'[1]Inverter Analysis'!$L$2</f>
        <v>217.39266693077019</v>
      </c>
      <c r="V98">
        <f t="shared" si="38"/>
        <v>238.0952380952381</v>
      </c>
      <c r="W98">
        <f t="shared" si="39"/>
        <v>450.45045045045049</v>
      </c>
      <c r="X98">
        <f t="shared" si="40"/>
        <v>158.73015873015873</v>
      </c>
      <c r="Y98">
        <f t="shared" si="41"/>
        <v>4.4639233828423022</v>
      </c>
      <c r="Z98">
        <f t="shared" si="42"/>
        <v>0.28226290909090906</v>
      </c>
    </row>
    <row r="99" spans="1:26" hidden="1">
      <c r="A99">
        <v>12</v>
      </c>
      <c r="B99">
        <v>3</v>
      </c>
      <c r="C99" s="12">
        <v>10</v>
      </c>
      <c r="D99">
        <f t="shared" si="22"/>
        <v>270</v>
      </c>
      <c r="E99">
        <f t="shared" si="23"/>
        <v>180</v>
      </c>
      <c r="F99">
        <f t="shared" si="24"/>
        <v>25.2</v>
      </c>
      <c r="G99">
        <f t="shared" si="25"/>
        <v>0.87999999999999989</v>
      </c>
      <c r="H99">
        <f t="shared" si="26"/>
        <v>90.72</v>
      </c>
      <c r="I99">
        <f t="shared" si="27"/>
        <v>504</v>
      </c>
      <c r="J99">
        <f t="shared" si="28"/>
        <v>336</v>
      </c>
      <c r="K99">
        <f t="shared" si="29"/>
        <v>60.48</v>
      </c>
      <c r="L99">
        <f t="shared" si="30"/>
        <v>7.3331999999999988</v>
      </c>
      <c r="M99">
        <f t="shared" si="31"/>
        <v>6.9219360000000014</v>
      </c>
      <c r="N99">
        <f t="shared" si="32"/>
        <v>3.2507999999999999</v>
      </c>
      <c r="O99">
        <f t="shared" si="43"/>
        <v>5.7004178823529426</v>
      </c>
      <c r="P99">
        <f t="shared" si="33"/>
        <v>2.7213822894168467</v>
      </c>
      <c r="Q99">
        <f t="shared" si="34"/>
        <v>50.4</v>
      </c>
      <c r="R99">
        <f t="shared" si="35"/>
        <v>360</v>
      </c>
      <c r="S99">
        <f t="shared" si="36"/>
        <v>177.60000000000002</v>
      </c>
      <c r="T99">
        <f t="shared" si="37"/>
        <v>158.39999999999998</v>
      </c>
      <c r="U99">
        <f>I99*E99/'[1]Inverter Analysis'!$L$2</f>
        <v>217.39266693077019</v>
      </c>
      <c r="V99">
        <f t="shared" si="38"/>
        <v>238.0952380952381</v>
      </c>
      <c r="W99">
        <f t="shared" si="39"/>
        <v>450.45045045045038</v>
      </c>
      <c r="X99">
        <f t="shared" si="40"/>
        <v>158.73015873015873</v>
      </c>
      <c r="Y99">
        <f t="shared" si="41"/>
        <v>4.4639233828422995</v>
      </c>
      <c r="Z99">
        <f t="shared" si="42"/>
        <v>0.28226290909090923</v>
      </c>
    </row>
    <row r="100" spans="1:26" hidden="1">
      <c r="A100">
        <v>15</v>
      </c>
      <c r="B100">
        <v>3</v>
      </c>
      <c r="C100" s="12">
        <v>8</v>
      </c>
      <c r="D100">
        <f t="shared" si="22"/>
        <v>270</v>
      </c>
      <c r="E100">
        <f t="shared" si="23"/>
        <v>180</v>
      </c>
      <c r="F100">
        <f t="shared" si="24"/>
        <v>25.2</v>
      </c>
      <c r="G100">
        <f t="shared" si="25"/>
        <v>0.88</v>
      </c>
      <c r="H100">
        <f t="shared" si="26"/>
        <v>90.72</v>
      </c>
      <c r="I100">
        <f t="shared" si="27"/>
        <v>504</v>
      </c>
      <c r="J100">
        <f t="shared" si="28"/>
        <v>336</v>
      </c>
      <c r="K100">
        <f t="shared" si="29"/>
        <v>60.48</v>
      </c>
      <c r="L100">
        <f t="shared" si="30"/>
        <v>7.3331999999999988</v>
      </c>
      <c r="M100">
        <f t="shared" si="31"/>
        <v>6.9219360000000014</v>
      </c>
      <c r="N100">
        <f t="shared" si="32"/>
        <v>3.2507999999999999</v>
      </c>
      <c r="O100">
        <f t="shared" si="43"/>
        <v>5.7004178823529426</v>
      </c>
      <c r="P100">
        <f t="shared" si="33"/>
        <v>3.4017278617710582</v>
      </c>
      <c r="Q100">
        <f t="shared" si="34"/>
        <v>63</v>
      </c>
      <c r="R100">
        <f t="shared" si="35"/>
        <v>360</v>
      </c>
      <c r="S100">
        <f t="shared" si="36"/>
        <v>177.6</v>
      </c>
      <c r="T100">
        <f t="shared" si="37"/>
        <v>158.4</v>
      </c>
      <c r="U100">
        <f>I100*E100/'[1]Inverter Analysis'!$L$2</f>
        <v>217.39266693077019</v>
      </c>
      <c r="V100">
        <f t="shared" si="38"/>
        <v>238.0952380952381</v>
      </c>
      <c r="W100">
        <f t="shared" si="39"/>
        <v>450.45045045045049</v>
      </c>
      <c r="X100">
        <f t="shared" si="40"/>
        <v>158.73015873015873</v>
      </c>
      <c r="Y100">
        <f t="shared" si="41"/>
        <v>4.4639233828423022</v>
      </c>
      <c r="Z100">
        <f t="shared" si="42"/>
        <v>0.28226290909090906</v>
      </c>
    </row>
    <row r="101" spans="1:26" hidden="1">
      <c r="A101">
        <v>13</v>
      </c>
      <c r="B101">
        <v>3</v>
      </c>
      <c r="C101" s="12">
        <v>9</v>
      </c>
      <c r="D101">
        <f t="shared" si="22"/>
        <v>270</v>
      </c>
      <c r="E101">
        <f t="shared" si="23"/>
        <v>180</v>
      </c>
      <c r="F101">
        <f t="shared" si="24"/>
        <v>24.57</v>
      </c>
      <c r="G101">
        <f t="shared" si="25"/>
        <v>0.85799999999999987</v>
      </c>
      <c r="H101">
        <f t="shared" si="26"/>
        <v>88.451999999999998</v>
      </c>
      <c r="I101">
        <f t="shared" si="27"/>
        <v>491.40000000000003</v>
      </c>
      <c r="J101">
        <f t="shared" si="28"/>
        <v>327.59999999999997</v>
      </c>
      <c r="K101">
        <f t="shared" si="29"/>
        <v>58.967999999999989</v>
      </c>
      <c r="L101">
        <f t="shared" si="30"/>
        <v>7.1498699999999999</v>
      </c>
      <c r="M101">
        <f t="shared" si="31"/>
        <v>6.7488876000000007</v>
      </c>
      <c r="N101">
        <f t="shared" si="32"/>
        <v>3.16953</v>
      </c>
      <c r="O101">
        <f t="shared" si="43"/>
        <v>5.5579074352941182</v>
      </c>
      <c r="P101">
        <f t="shared" si="33"/>
        <v>2.9481641468682507</v>
      </c>
      <c r="Q101">
        <f t="shared" si="34"/>
        <v>54.6</v>
      </c>
      <c r="R101">
        <f t="shared" si="35"/>
        <v>351</v>
      </c>
      <c r="S101">
        <f t="shared" si="36"/>
        <v>173.16</v>
      </c>
      <c r="T101">
        <f t="shared" si="37"/>
        <v>154.43999999999997</v>
      </c>
      <c r="U101">
        <f>I101*E101/'[1]Inverter Analysis'!$L$2</f>
        <v>211.95785025750095</v>
      </c>
      <c r="V101">
        <f t="shared" si="38"/>
        <v>244.20024420024421</v>
      </c>
      <c r="W101">
        <f t="shared" si="39"/>
        <v>462.00046200046199</v>
      </c>
      <c r="X101">
        <f t="shared" si="40"/>
        <v>162.80016280016278</v>
      </c>
      <c r="Y101">
        <f t="shared" si="41"/>
        <v>4.6957773915500862</v>
      </c>
      <c r="Z101">
        <f t="shared" si="42"/>
        <v>0.26161802350568186</v>
      </c>
    </row>
    <row r="102" spans="1:26" s="15" customFormat="1" hidden="1">
      <c r="A102" s="15">
        <v>14</v>
      </c>
      <c r="B102" s="15">
        <v>3</v>
      </c>
      <c r="C102" s="16">
        <v>8</v>
      </c>
      <c r="D102" s="15">
        <f t="shared" si="22"/>
        <v>270</v>
      </c>
      <c r="E102" s="15">
        <f t="shared" si="23"/>
        <v>180</v>
      </c>
      <c r="F102" s="15">
        <f t="shared" si="24"/>
        <v>23.52</v>
      </c>
      <c r="G102" s="15">
        <f t="shared" si="25"/>
        <v>0.82133333333333336</v>
      </c>
      <c r="H102" s="15">
        <f t="shared" si="26"/>
        <v>84.671999999999997</v>
      </c>
      <c r="I102" s="15">
        <f t="shared" si="27"/>
        <v>470.40000000000003</v>
      </c>
      <c r="J102" s="15">
        <f t="shared" si="28"/>
        <v>313.59999999999997</v>
      </c>
      <c r="K102" s="15">
        <f t="shared" si="29"/>
        <v>56.447999999999993</v>
      </c>
      <c r="L102" s="15">
        <f t="shared" si="30"/>
        <v>6.8443199999999997</v>
      </c>
      <c r="M102" s="15">
        <f t="shared" si="31"/>
        <v>6.4604736000000011</v>
      </c>
      <c r="N102" s="15">
        <f t="shared" si="32"/>
        <v>3.0340799999999999</v>
      </c>
      <c r="O102" s="15">
        <f t="shared" si="43"/>
        <v>5.3203900235294128</v>
      </c>
      <c r="P102" s="15">
        <f t="shared" si="33"/>
        <v>3.1749460043196547</v>
      </c>
      <c r="Q102" s="15">
        <f t="shared" si="34"/>
        <v>58.800000000000004</v>
      </c>
      <c r="R102" s="15">
        <f t="shared" si="35"/>
        <v>336</v>
      </c>
      <c r="S102" s="15">
        <f t="shared" si="36"/>
        <v>165.75999999999996</v>
      </c>
      <c r="T102" s="15">
        <f t="shared" si="37"/>
        <v>147.84</v>
      </c>
      <c r="U102" s="15">
        <f>I102*E102/'[1]Inverter Analysis'!$L$2</f>
        <v>202.89982246871887</v>
      </c>
      <c r="V102" s="15">
        <f t="shared" si="38"/>
        <v>255.10204081632656</v>
      </c>
      <c r="W102" s="15">
        <f t="shared" si="39"/>
        <v>482.62548262548273</v>
      </c>
      <c r="X102" s="15">
        <f t="shared" si="40"/>
        <v>170.06802721088434</v>
      </c>
      <c r="Y102" s="15">
        <f t="shared" si="41"/>
        <v>5.1244018425485631</v>
      </c>
      <c r="Z102" s="15">
        <f t="shared" si="42"/>
        <v>0.22949019927272718</v>
      </c>
    </row>
    <row r="103" spans="1:26" hidden="1">
      <c r="A103">
        <v>16</v>
      </c>
      <c r="B103">
        <v>3</v>
      </c>
      <c r="C103" s="12">
        <v>7</v>
      </c>
      <c r="D103">
        <f t="shared" si="22"/>
        <v>270</v>
      </c>
      <c r="E103">
        <f t="shared" si="23"/>
        <v>180</v>
      </c>
      <c r="F103">
        <f t="shared" si="24"/>
        <v>23.52</v>
      </c>
      <c r="G103">
        <f t="shared" si="25"/>
        <v>0.82133333333333336</v>
      </c>
      <c r="H103">
        <f t="shared" si="26"/>
        <v>84.671999999999997</v>
      </c>
      <c r="I103">
        <f t="shared" si="27"/>
        <v>470.40000000000003</v>
      </c>
      <c r="J103">
        <f t="shared" si="28"/>
        <v>313.59999999999997</v>
      </c>
      <c r="K103">
        <f t="shared" si="29"/>
        <v>56.447999999999993</v>
      </c>
      <c r="L103">
        <f t="shared" si="30"/>
        <v>6.8443199999999997</v>
      </c>
      <c r="M103">
        <f t="shared" si="31"/>
        <v>6.4604736000000011</v>
      </c>
      <c r="N103">
        <f t="shared" si="32"/>
        <v>3.0340799999999999</v>
      </c>
      <c r="O103">
        <f t="shared" si="43"/>
        <v>5.3203900235294128</v>
      </c>
      <c r="P103">
        <f t="shared" si="33"/>
        <v>3.6285097192224627</v>
      </c>
      <c r="Q103">
        <f t="shared" si="34"/>
        <v>67.2</v>
      </c>
      <c r="R103">
        <f t="shared" si="35"/>
        <v>336</v>
      </c>
      <c r="S103">
        <f t="shared" si="36"/>
        <v>165.75999999999996</v>
      </c>
      <c r="T103">
        <f t="shared" si="37"/>
        <v>147.84</v>
      </c>
      <c r="U103">
        <f>I103*E103/'[1]Inverter Analysis'!$L$2</f>
        <v>202.89982246871887</v>
      </c>
      <c r="V103">
        <f t="shared" si="38"/>
        <v>255.10204081632656</v>
      </c>
      <c r="W103">
        <f t="shared" si="39"/>
        <v>482.62548262548273</v>
      </c>
      <c r="X103">
        <f t="shared" si="40"/>
        <v>170.06802721088434</v>
      </c>
      <c r="Y103">
        <f t="shared" si="41"/>
        <v>5.1244018425485631</v>
      </c>
      <c r="Z103">
        <f t="shared" si="42"/>
        <v>0.22949019927272718</v>
      </c>
    </row>
    <row r="104" spans="1:26" hidden="1">
      <c r="A104">
        <v>10</v>
      </c>
      <c r="B104">
        <v>3</v>
      </c>
      <c r="C104" s="12">
        <v>11</v>
      </c>
      <c r="D104">
        <f t="shared" si="22"/>
        <v>270</v>
      </c>
      <c r="E104">
        <f t="shared" si="23"/>
        <v>180</v>
      </c>
      <c r="F104">
        <f t="shared" si="24"/>
        <v>23.1</v>
      </c>
      <c r="G104">
        <f t="shared" si="25"/>
        <v>0.80666666666666664</v>
      </c>
      <c r="H104">
        <f t="shared" si="26"/>
        <v>83.16</v>
      </c>
      <c r="I104">
        <f t="shared" si="27"/>
        <v>462</v>
      </c>
      <c r="J104">
        <f t="shared" si="28"/>
        <v>308</v>
      </c>
      <c r="K104">
        <f t="shared" si="29"/>
        <v>55.44</v>
      </c>
      <c r="L104">
        <f t="shared" si="30"/>
        <v>6.7220999999999993</v>
      </c>
      <c r="M104">
        <f t="shared" si="31"/>
        <v>6.3451079999999997</v>
      </c>
      <c r="N104">
        <f t="shared" si="32"/>
        <v>2.9798999999999998</v>
      </c>
      <c r="O104">
        <f t="shared" si="43"/>
        <v>5.2253830588235299</v>
      </c>
      <c r="P104">
        <f t="shared" si="33"/>
        <v>2.2678185745140387</v>
      </c>
      <c r="Q104">
        <f t="shared" si="34"/>
        <v>42</v>
      </c>
      <c r="R104">
        <f t="shared" si="35"/>
        <v>330</v>
      </c>
      <c r="S104">
        <f t="shared" si="36"/>
        <v>162.80000000000001</v>
      </c>
      <c r="T104">
        <f t="shared" si="37"/>
        <v>145.19999999999999</v>
      </c>
      <c r="U104">
        <f>I104*E104/'[1]Inverter Analysis'!$L$2</f>
        <v>199.27661135320602</v>
      </c>
      <c r="V104">
        <f t="shared" si="38"/>
        <v>259.74025974025972</v>
      </c>
      <c r="W104">
        <f t="shared" si="39"/>
        <v>491.40049140049138</v>
      </c>
      <c r="X104">
        <f t="shared" si="40"/>
        <v>173.16017316017317</v>
      </c>
      <c r="Y104">
        <f t="shared" si="41"/>
        <v>5.3124377448701763</v>
      </c>
      <c r="Z104">
        <f t="shared" si="42"/>
        <v>0.21741431250000004</v>
      </c>
    </row>
    <row r="105" spans="1:26" hidden="1">
      <c r="A105">
        <v>11</v>
      </c>
      <c r="B105">
        <v>3</v>
      </c>
      <c r="C105" s="12">
        <v>10</v>
      </c>
      <c r="D105">
        <f t="shared" si="22"/>
        <v>270</v>
      </c>
      <c r="E105">
        <f t="shared" si="23"/>
        <v>180</v>
      </c>
      <c r="F105">
        <f t="shared" si="24"/>
        <v>23.1</v>
      </c>
      <c r="G105">
        <f t="shared" si="25"/>
        <v>0.80666666666666664</v>
      </c>
      <c r="H105">
        <f t="shared" si="26"/>
        <v>83.16</v>
      </c>
      <c r="I105">
        <f t="shared" si="27"/>
        <v>462</v>
      </c>
      <c r="J105">
        <f t="shared" si="28"/>
        <v>308</v>
      </c>
      <c r="K105">
        <f t="shared" si="29"/>
        <v>55.44</v>
      </c>
      <c r="L105">
        <f t="shared" si="30"/>
        <v>6.7220999999999993</v>
      </c>
      <c r="M105">
        <f t="shared" si="31"/>
        <v>6.3451079999999997</v>
      </c>
      <c r="N105">
        <f t="shared" si="32"/>
        <v>2.9798999999999998</v>
      </c>
      <c r="O105">
        <f t="shared" si="43"/>
        <v>5.2253830588235299</v>
      </c>
      <c r="P105">
        <f t="shared" si="33"/>
        <v>2.4946004319654427</v>
      </c>
      <c r="Q105">
        <f t="shared" si="34"/>
        <v>46.2</v>
      </c>
      <c r="R105">
        <f t="shared" si="35"/>
        <v>330</v>
      </c>
      <c r="S105">
        <f t="shared" si="36"/>
        <v>162.80000000000001</v>
      </c>
      <c r="T105">
        <f t="shared" si="37"/>
        <v>145.19999999999999</v>
      </c>
      <c r="U105">
        <f>I105*E105/'[1]Inverter Analysis'!$L$2</f>
        <v>199.27661135320602</v>
      </c>
      <c r="V105">
        <f t="shared" si="38"/>
        <v>259.74025974025972</v>
      </c>
      <c r="W105">
        <f t="shared" si="39"/>
        <v>491.40049140049138</v>
      </c>
      <c r="X105">
        <f t="shared" si="40"/>
        <v>173.16017316017317</v>
      </c>
      <c r="Y105">
        <f t="shared" si="41"/>
        <v>5.3124377448701763</v>
      </c>
      <c r="Z105">
        <f t="shared" si="42"/>
        <v>0.21741431250000004</v>
      </c>
    </row>
    <row r="106" spans="1:26" s="6" customFormat="1" hidden="1">
      <c r="A106" s="6">
        <v>12</v>
      </c>
      <c r="B106" s="6">
        <v>3</v>
      </c>
      <c r="C106" s="14">
        <v>9</v>
      </c>
      <c r="D106" s="6">
        <f t="shared" si="22"/>
        <v>270</v>
      </c>
      <c r="E106" s="6">
        <f t="shared" si="23"/>
        <v>180</v>
      </c>
      <c r="F106" s="6">
        <f t="shared" si="24"/>
        <v>22.68</v>
      </c>
      <c r="G106" s="6">
        <f t="shared" si="25"/>
        <v>0.79199999999999993</v>
      </c>
      <c r="H106" s="6">
        <f t="shared" si="26"/>
        <v>81.647999999999996</v>
      </c>
      <c r="I106" s="6">
        <f t="shared" si="27"/>
        <v>453.6</v>
      </c>
      <c r="J106" s="6">
        <f t="shared" si="28"/>
        <v>302.39999999999998</v>
      </c>
      <c r="K106" s="6">
        <f t="shared" si="29"/>
        <v>54.431999999999995</v>
      </c>
      <c r="L106" s="6">
        <f t="shared" si="30"/>
        <v>6.5998799999999997</v>
      </c>
      <c r="M106" s="6">
        <f t="shared" si="31"/>
        <v>6.229742400000001</v>
      </c>
      <c r="N106" s="6">
        <f t="shared" si="32"/>
        <v>2.9257200000000001</v>
      </c>
      <c r="O106">
        <f t="shared" si="43"/>
        <v>5.1303760941176479</v>
      </c>
      <c r="P106" s="6">
        <f t="shared" si="33"/>
        <v>2.7213822894168462</v>
      </c>
      <c r="Q106" s="6">
        <f t="shared" si="34"/>
        <v>50.400000000000006</v>
      </c>
      <c r="R106" s="6">
        <f t="shared" si="35"/>
        <v>324</v>
      </c>
      <c r="S106" s="6">
        <f t="shared" si="36"/>
        <v>159.84</v>
      </c>
      <c r="T106" s="6">
        <f t="shared" si="37"/>
        <v>142.55999999999997</v>
      </c>
      <c r="U106" s="6">
        <f>I106*E106/'[1]Inverter Analysis'!$L$2</f>
        <v>195.65340023769318</v>
      </c>
      <c r="V106" s="6">
        <f t="shared" si="38"/>
        <v>264.55026455026456</v>
      </c>
      <c r="W106" s="6">
        <f t="shared" si="39"/>
        <v>500.50050050050049</v>
      </c>
      <c r="X106" s="6">
        <f t="shared" si="40"/>
        <v>176.3668430335097</v>
      </c>
      <c r="Y106" s="6">
        <f t="shared" si="41"/>
        <v>5.511016522027532</v>
      </c>
      <c r="Z106" s="6">
        <f t="shared" si="42"/>
        <v>0.20576966072727276</v>
      </c>
    </row>
    <row r="107" spans="1:26" s="6" customFormat="1" hidden="1">
      <c r="A107" s="6">
        <v>15</v>
      </c>
      <c r="B107" s="6">
        <v>3</v>
      </c>
      <c r="C107" s="14">
        <v>7</v>
      </c>
      <c r="D107" s="6">
        <f t="shared" si="22"/>
        <v>270</v>
      </c>
      <c r="E107" s="6">
        <f t="shared" si="23"/>
        <v>180</v>
      </c>
      <c r="F107" s="6">
        <f t="shared" si="24"/>
        <v>22.05</v>
      </c>
      <c r="G107" s="6">
        <f t="shared" si="25"/>
        <v>0.77</v>
      </c>
      <c r="H107" s="6">
        <f t="shared" si="26"/>
        <v>79.38</v>
      </c>
      <c r="I107" s="6">
        <f t="shared" si="27"/>
        <v>441</v>
      </c>
      <c r="J107" s="6">
        <f t="shared" si="28"/>
        <v>294</v>
      </c>
      <c r="K107" s="6">
        <f t="shared" si="29"/>
        <v>52.92</v>
      </c>
      <c r="L107" s="6">
        <f t="shared" si="30"/>
        <v>6.4165499999999991</v>
      </c>
      <c r="M107" s="6">
        <f t="shared" si="31"/>
        <v>6.0566940000000002</v>
      </c>
      <c r="N107" s="6">
        <f t="shared" si="32"/>
        <v>2.8444499999999997</v>
      </c>
      <c r="O107">
        <f t="shared" si="43"/>
        <v>4.9878656470588245</v>
      </c>
      <c r="P107" s="6">
        <f t="shared" si="33"/>
        <v>3.4017278617710582</v>
      </c>
      <c r="Q107" s="6">
        <f t="shared" si="34"/>
        <v>63</v>
      </c>
      <c r="R107" s="6">
        <f t="shared" si="35"/>
        <v>315</v>
      </c>
      <c r="S107" s="6">
        <f t="shared" si="36"/>
        <v>155.4</v>
      </c>
      <c r="T107" s="6">
        <f t="shared" si="37"/>
        <v>138.6</v>
      </c>
      <c r="U107" s="6">
        <f>I107*E107/'[1]Inverter Analysis'!$L$2</f>
        <v>190.21858356442394</v>
      </c>
      <c r="V107" s="6">
        <f t="shared" si="38"/>
        <v>272.10884353741494</v>
      </c>
      <c r="W107" s="6">
        <f t="shared" si="39"/>
        <v>514.80051480051475</v>
      </c>
      <c r="X107" s="6">
        <f t="shared" si="40"/>
        <v>181.40589569160997</v>
      </c>
      <c r="Y107" s="6">
        <f t="shared" si="41"/>
        <v>5.8304305408552493</v>
      </c>
      <c r="Z107" s="6">
        <f t="shared" si="42"/>
        <v>0.18909409730113647</v>
      </c>
    </row>
    <row r="108" spans="1:26" s="6" customFormat="1" hidden="1">
      <c r="A108" s="6">
        <v>13</v>
      </c>
      <c r="B108" s="6">
        <v>3</v>
      </c>
      <c r="C108" s="14">
        <v>8</v>
      </c>
      <c r="D108" s="6">
        <f t="shared" si="22"/>
        <v>270</v>
      </c>
      <c r="E108" s="6">
        <f t="shared" si="23"/>
        <v>180</v>
      </c>
      <c r="F108" s="6">
        <f t="shared" si="24"/>
        <v>21.84</v>
      </c>
      <c r="G108" s="6">
        <f t="shared" si="25"/>
        <v>0.7626666666666666</v>
      </c>
      <c r="H108" s="6">
        <f t="shared" si="26"/>
        <v>78.623999999999995</v>
      </c>
      <c r="I108" s="6">
        <f t="shared" si="27"/>
        <v>436.8</v>
      </c>
      <c r="J108" s="6">
        <f t="shared" si="28"/>
        <v>291.2</v>
      </c>
      <c r="K108" s="6">
        <f t="shared" si="29"/>
        <v>52.415999999999997</v>
      </c>
      <c r="L108" s="6">
        <f t="shared" si="30"/>
        <v>6.3554400000000006</v>
      </c>
      <c r="M108" s="6">
        <f t="shared" si="31"/>
        <v>5.9990112000000009</v>
      </c>
      <c r="N108" s="6">
        <f t="shared" si="32"/>
        <v>2.8173600000000003</v>
      </c>
      <c r="O108">
        <f t="shared" si="43"/>
        <v>4.9403621647058831</v>
      </c>
      <c r="P108" s="6">
        <f t="shared" si="33"/>
        <v>2.9481641468682502</v>
      </c>
      <c r="Q108" s="6">
        <f t="shared" si="34"/>
        <v>54.6</v>
      </c>
      <c r="R108" s="6">
        <f t="shared" si="35"/>
        <v>312</v>
      </c>
      <c r="S108" s="6">
        <f t="shared" si="36"/>
        <v>153.91999999999999</v>
      </c>
      <c r="T108" s="6">
        <f t="shared" si="37"/>
        <v>137.28</v>
      </c>
      <c r="U108" s="6">
        <f>I108*E108/'[1]Inverter Analysis'!$L$2</f>
        <v>188.40697800666752</v>
      </c>
      <c r="V108" s="6">
        <f t="shared" si="38"/>
        <v>274.72527472527474</v>
      </c>
      <c r="W108" s="6">
        <f t="shared" si="39"/>
        <v>519.75051975051974</v>
      </c>
      <c r="X108" s="6">
        <f t="shared" si="40"/>
        <v>183.15018315018315</v>
      </c>
      <c r="Y108" s="6">
        <f t="shared" si="41"/>
        <v>5.9430932611805787</v>
      </c>
      <c r="Z108" s="6">
        <f t="shared" si="42"/>
        <v>0.18374269963636367</v>
      </c>
    </row>
    <row r="109" spans="1:26" hidden="1">
      <c r="A109">
        <v>10</v>
      </c>
      <c r="B109">
        <v>3</v>
      </c>
      <c r="C109" s="12">
        <v>10</v>
      </c>
      <c r="D109">
        <f t="shared" si="22"/>
        <v>270</v>
      </c>
      <c r="E109">
        <f t="shared" si="23"/>
        <v>180</v>
      </c>
      <c r="F109">
        <f t="shared" si="24"/>
        <v>21</v>
      </c>
      <c r="G109">
        <f t="shared" si="25"/>
        <v>0.73333333333333339</v>
      </c>
      <c r="H109">
        <f t="shared" si="26"/>
        <v>75.599999999999994</v>
      </c>
      <c r="I109">
        <f t="shared" si="27"/>
        <v>420</v>
      </c>
      <c r="J109">
        <f t="shared" si="28"/>
        <v>280</v>
      </c>
      <c r="K109">
        <f t="shared" si="29"/>
        <v>50.4</v>
      </c>
      <c r="L109">
        <f t="shared" si="30"/>
        <v>6.1109999999999989</v>
      </c>
      <c r="M109">
        <f t="shared" si="31"/>
        <v>5.7682800000000007</v>
      </c>
      <c r="N109">
        <f t="shared" si="32"/>
        <v>2.7090000000000001</v>
      </c>
      <c r="O109">
        <f t="shared" si="43"/>
        <v>4.7503482352941191</v>
      </c>
      <c r="P109">
        <f t="shared" si="33"/>
        <v>2.2678185745140391</v>
      </c>
      <c r="Q109">
        <f t="shared" si="34"/>
        <v>42</v>
      </c>
      <c r="R109">
        <f t="shared" si="35"/>
        <v>300</v>
      </c>
      <c r="S109">
        <f t="shared" si="36"/>
        <v>148</v>
      </c>
      <c r="T109">
        <f t="shared" si="37"/>
        <v>132</v>
      </c>
      <c r="U109">
        <f>I109*E109/'[1]Inverter Analysis'!$L$2</f>
        <v>181.16055577564182</v>
      </c>
      <c r="V109">
        <f t="shared" si="38"/>
        <v>285.71428571428572</v>
      </c>
      <c r="W109">
        <f t="shared" si="39"/>
        <v>540.54054054054052</v>
      </c>
      <c r="X109">
        <f t="shared" si="40"/>
        <v>190.47619047619048</v>
      </c>
      <c r="Y109">
        <f t="shared" si="41"/>
        <v>6.4280496712929134</v>
      </c>
      <c r="Z109">
        <f t="shared" si="42"/>
        <v>0.16334659090909093</v>
      </c>
    </row>
    <row r="110" spans="1:26" hidden="1">
      <c r="A110">
        <v>11</v>
      </c>
      <c r="B110">
        <v>3</v>
      </c>
      <c r="C110" s="12">
        <v>9</v>
      </c>
      <c r="D110">
        <f t="shared" si="22"/>
        <v>270</v>
      </c>
      <c r="E110">
        <f t="shared" si="23"/>
        <v>180</v>
      </c>
      <c r="F110">
        <f t="shared" si="24"/>
        <v>20.79</v>
      </c>
      <c r="G110">
        <f t="shared" si="25"/>
        <v>0.72599999999999998</v>
      </c>
      <c r="H110">
        <f t="shared" si="26"/>
        <v>74.843999999999994</v>
      </c>
      <c r="I110">
        <f t="shared" si="27"/>
        <v>415.8</v>
      </c>
      <c r="J110">
        <f t="shared" si="28"/>
        <v>277.2</v>
      </c>
      <c r="K110">
        <f t="shared" si="29"/>
        <v>49.896000000000001</v>
      </c>
      <c r="L110">
        <f t="shared" si="30"/>
        <v>6.0498899999999995</v>
      </c>
      <c r="M110">
        <f t="shared" si="31"/>
        <v>5.7105972000000014</v>
      </c>
      <c r="N110">
        <f t="shared" si="32"/>
        <v>2.6819099999999998</v>
      </c>
      <c r="O110">
        <f t="shared" si="43"/>
        <v>4.7028447529411777</v>
      </c>
      <c r="P110">
        <f t="shared" si="33"/>
        <v>2.4946004319654427</v>
      </c>
      <c r="Q110">
        <f t="shared" si="34"/>
        <v>46.2</v>
      </c>
      <c r="R110">
        <f t="shared" si="35"/>
        <v>297</v>
      </c>
      <c r="S110">
        <f t="shared" si="36"/>
        <v>146.51999999999998</v>
      </c>
      <c r="T110">
        <f t="shared" si="37"/>
        <v>130.68</v>
      </c>
      <c r="U110">
        <f>I110*E110/'[1]Inverter Analysis'!$L$2</f>
        <v>179.34895021788543</v>
      </c>
      <c r="V110">
        <f t="shared" si="38"/>
        <v>288.60028860028859</v>
      </c>
      <c r="W110">
        <f t="shared" si="39"/>
        <v>546.00054600054602</v>
      </c>
      <c r="X110">
        <f t="shared" si="40"/>
        <v>192.4001924001924</v>
      </c>
      <c r="Y110">
        <f t="shared" si="41"/>
        <v>6.5585651171236767</v>
      </c>
      <c r="Z110">
        <f t="shared" si="42"/>
        <v>0.15849503381249994</v>
      </c>
    </row>
    <row r="111" spans="1:26" hidden="1">
      <c r="A111">
        <v>14</v>
      </c>
      <c r="B111">
        <v>3</v>
      </c>
      <c r="C111" s="12">
        <v>7</v>
      </c>
      <c r="D111">
        <f t="shared" si="22"/>
        <v>270</v>
      </c>
      <c r="E111">
        <f t="shared" si="23"/>
        <v>180</v>
      </c>
      <c r="F111">
        <f t="shared" si="24"/>
        <v>20.58</v>
      </c>
      <c r="G111">
        <f t="shared" si="25"/>
        <v>0.71866666666666668</v>
      </c>
      <c r="H111">
        <f t="shared" si="26"/>
        <v>74.087999999999994</v>
      </c>
      <c r="I111">
        <f t="shared" si="27"/>
        <v>411.6</v>
      </c>
      <c r="J111">
        <f t="shared" si="28"/>
        <v>274.39999999999998</v>
      </c>
      <c r="K111">
        <f t="shared" si="29"/>
        <v>49.391999999999996</v>
      </c>
      <c r="L111">
        <f t="shared" si="30"/>
        <v>5.9887799999999993</v>
      </c>
      <c r="M111">
        <f t="shared" si="31"/>
        <v>5.6529144000000002</v>
      </c>
      <c r="N111">
        <f t="shared" si="32"/>
        <v>2.65482</v>
      </c>
      <c r="O111">
        <f t="shared" si="43"/>
        <v>4.6553412705882362</v>
      </c>
      <c r="P111">
        <f t="shared" si="33"/>
        <v>3.1749460043196542</v>
      </c>
      <c r="Q111">
        <f t="shared" si="34"/>
        <v>58.800000000000004</v>
      </c>
      <c r="R111">
        <f t="shared" si="35"/>
        <v>294</v>
      </c>
      <c r="S111">
        <f t="shared" si="36"/>
        <v>145.03999999999996</v>
      </c>
      <c r="T111">
        <f t="shared" si="37"/>
        <v>129.36000000000001</v>
      </c>
      <c r="U111">
        <f>I111*E111/'[1]Inverter Analysis'!$L$2</f>
        <v>177.53734466012901</v>
      </c>
      <c r="V111">
        <f t="shared" si="38"/>
        <v>291.54518950437318</v>
      </c>
      <c r="W111">
        <f t="shared" si="39"/>
        <v>551.57198014340884</v>
      </c>
      <c r="X111">
        <f t="shared" si="40"/>
        <v>194.36345966958211</v>
      </c>
      <c r="Y111">
        <f t="shared" si="41"/>
        <v>6.6930962841450619</v>
      </c>
      <c r="Z111">
        <f t="shared" si="42"/>
        <v>0.15374050459090902</v>
      </c>
    </row>
    <row r="112" spans="1:26" hidden="1">
      <c r="A112">
        <v>12</v>
      </c>
      <c r="B112">
        <v>2</v>
      </c>
      <c r="C112">
        <v>12</v>
      </c>
      <c r="D112">
        <f t="shared" si="22"/>
        <v>180</v>
      </c>
      <c r="E112">
        <f t="shared" si="23"/>
        <v>120</v>
      </c>
      <c r="F112">
        <f t="shared" si="24"/>
        <v>20.16</v>
      </c>
      <c r="G112">
        <f>((B112*$R$3^(-1))^(-1))*A112*C112</f>
        <v>1.5840000000000001</v>
      </c>
      <c r="H112">
        <f t="shared" si="26"/>
        <v>72.576000000000008</v>
      </c>
      <c r="I112">
        <f t="shared" si="27"/>
        <v>604.80000000000007</v>
      </c>
      <c r="J112">
        <f t="shared" si="28"/>
        <v>403.2</v>
      </c>
      <c r="K112">
        <f t="shared" si="29"/>
        <v>48.384</v>
      </c>
      <c r="L112">
        <f t="shared" si="30"/>
        <v>5.8665600000000007</v>
      </c>
      <c r="M112">
        <f t="shared" si="31"/>
        <v>5.5375488000000015</v>
      </c>
      <c r="N112">
        <f t="shared" si="32"/>
        <v>2.6006400000000003</v>
      </c>
      <c r="O112">
        <f t="shared" si="43"/>
        <v>4.5603343058823542</v>
      </c>
      <c r="P112">
        <f t="shared" si="33"/>
        <v>1.8142548596112313</v>
      </c>
      <c r="Q112">
        <f t="shared" si="34"/>
        <v>50.400000000000006</v>
      </c>
      <c r="R112">
        <f t="shared" si="35"/>
        <v>288</v>
      </c>
      <c r="S112">
        <f t="shared" si="36"/>
        <v>213.11999999999998</v>
      </c>
      <c r="T112">
        <f t="shared" si="37"/>
        <v>190.08</v>
      </c>
      <c r="U112">
        <f>I112*E112/'[1]Inverter Analysis'!$L$2</f>
        <v>173.91413354461619</v>
      </c>
      <c r="V112">
        <f t="shared" si="38"/>
        <v>198.4126984126984</v>
      </c>
      <c r="W112">
        <f t="shared" si="39"/>
        <v>375.37537537537543</v>
      </c>
      <c r="X112">
        <f t="shared" si="40"/>
        <v>132.27513227513225</v>
      </c>
      <c r="Y112">
        <f t="shared" si="41"/>
        <v>3.0999467936404876</v>
      </c>
      <c r="Z112">
        <f t="shared" si="42"/>
        <v>0.32516687127272725</v>
      </c>
    </row>
    <row r="113" spans="1:26" hidden="1">
      <c r="A113">
        <v>16</v>
      </c>
      <c r="B113">
        <v>2</v>
      </c>
      <c r="C113" s="12">
        <v>9</v>
      </c>
      <c r="D113">
        <f t="shared" si="22"/>
        <v>180</v>
      </c>
      <c r="E113">
        <f t="shared" si="23"/>
        <v>120</v>
      </c>
      <c r="F113">
        <f t="shared" si="24"/>
        <v>20.16</v>
      </c>
      <c r="G113">
        <f t="shared" si="25"/>
        <v>1.5839999999999999</v>
      </c>
      <c r="H113">
        <f t="shared" si="26"/>
        <v>72.576000000000008</v>
      </c>
      <c r="I113">
        <f t="shared" si="27"/>
        <v>604.80000000000007</v>
      </c>
      <c r="J113">
        <f t="shared" si="28"/>
        <v>403.2</v>
      </c>
      <c r="K113">
        <f t="shared" si="29"/>
        <v>48.384</v>
      </c>
      <c r="L113">
        <f t="shared" si="30"/>
        <v>5.8665600000000007</v>
      </c>
      <c r="M113">
        <f t="shared" si="31"/>
        <v>5.5375488000000015</v>
      </c>
      <c r="N113">
        <f t="shared" si="32"/>
        <v>2.6006400000000003</v>
      </c>
      <c r="O113">
        <f t="shared" si="43"/>
        <v>4.5603343058823542</v>
      </c>
      <c r="P113">
        <f t="shared" si="33"/>
        <v>2.4190064794816419</v>
      </c>
      <c r="Q113">
        <f t="shared" si="34"/>
        <v>67.2</v>
      </c>
      <c r="R113">
        <f t="shared" si="35"/>
        <v>288</v>
      </c>
      <c r="S113">
        <f t="shared" si="36"/>
        <v>213.12</v>
      </c>
      <c r="T113">
        <f t="shared" si="37"/>
        <v>190.07999999999998</v>
      </c>
      <c r="U113">
        <f>I113*E113/'[1]Inverter Analysis'!$L$2</f>
        <v>173.91413354461619</v>
      </c>
      <c r="V113">
        <f t="shared" si="38"/>
        <v>198.4126984126984</v>
      </c>
      <c r="W113">
        <f t="shared" si="39"/>
        <v>375.37537537537537</v>
      </c>
      <c r="X113">
        <f t="shared" si="40"/>
        <v>132.27513227513225</v>
      </c>
      <c r="Y113">
        <f t="shared" si="41"/>
        <v>3.0999467936404872</v>
      </c>
      <c r="Z113">
        <f t="shared" si="42"/>
        <v>0.32516687127272731</v>
      </c>
    </row>
    <row r="114" spans="1:26" hidden="1">
      <c r="A114">
        <v>12</v>
      </c>
      <c r="B114">
        <v>3</v>
      </c>
      <c r="C114" s="12">
        <v>8</v>
      </c>
      <c r="D114">
        <f t="shared" si="22"/>
        <v>270</v>
      </c>
      <c r="E114">
        <f t="shared" si="23"/>
        <v>180</v>
      </c>
      <c r="F114">
        <f t="shared" si="24"/>
        <v>20.16</v>
      </c>
      <c r="G114">
        <f t="shared" si="25"/>
        <v>0.70399999999999996</v>
      </c>
      <c r="H114">
        <f t="shared" si="26"/>
        <v>72.576000000000008</v>
      </c>
      <c r="I114">
        <f t="shared" si="27"/>
        <v>403.20000000000005</v>
      </c>
      <c r="J114">
        <f t="shared" si="28"/>
        <v>268.79999999999995</v>
      </c>
      <c r="K114">
        <f t="shared" si="29"/>
        <v>48.383999999999993</v>
      </c>
      <c r="L114">
        <f t="shared" si="30"/>
        <v>5.8665599999999998</v>
      </c>
      <c r="M114">
        <f t="shared" si="31"/>
        <v>5.5375488000000006</v>
      </c>
      <c r="N114">
        <f t="shared" si="32"/>
        <v>2.6006400000000003</v>
      </c>
      <c r="O114">
        <f t="shared" si="43"/>
        <v>4.5603343058823542</v>
      </c>
      <c r="P114">
        <f t="shared" si="33"/>
        <v>2.7213822894168471</v>
      </c>
      <c r="Q114">
        <f t="shared" si="34"/>
        <v>50.400000000000006</v>
      </c>
      <c r="R114">
        <f t="shared" si="35"/>
        <v>288</v>
      </c>
      <c r="S114">
        <f t="shared" si="36"/>
        <v>142.07999999999996</v>
      </c>
      <c r="T114">
        <f t="shared" si="37"/>
        <v>126.72</v>
      </c>
      <c r="U114">
        <f>I114*E114/'[1]Inverter Analysis'!$L$2</f>
        <v>173.91413354461619</v>
      </c>
      <c r="V114">
        <f t="shared" si="38"/>
        <v>297.61904761904765</v>
      </c>
      <c r="W114">
        <f t="shared" si="39"/>
        <v>563.06306306306328</v>
      </c>
      <c r="X114">
        <f t="shared" si="40"/>
        <v>198.4126984126984</v>
      </c>
      <c r="Y114">
        <f t="shared" si="41"/>
        <v>6.9748802856911016</v>
      </c>
      <c r="Z114">
        <f t="shared" si="42"/>
        <v>0.14451860945454534</v>
      </c>
    </row>
    <row r="115" spans="1:26" hidden="1">
      <c r="A115">
        <v>16</v>
      </c>
      <c r="B115">
        <v>3</v>
      </c>
      <c r="C115">
        <v>6</v>
      </c>
      <c r="D115">
        <f t="shared" si="22"/>
        <v>270</v>
      </c>
      <c r="E115">
        <f t="shared" si="23"/>
        <v>180</v>
      </c>
      <c r="F115">
        <f t="shared" si="24"/>
        <v>20.16</v>
      </c>
      <c r="G115">
        <f t="shared" si="25"/>
        <v>0.70399999999999996</v>
      </c>
      <c r="H115">
        <f t="shared" si="26"/>
        <v>72.576000000000008</v>
      </c>
      <c r="I115">
        <f t="shared" si="27"/>
        <v>403.20000000000005</v>
      </c>
      <c r="J115">
        <f t="shared" si="28"/>
        <v>268.79999999999995</v>
      </c>
      <c r="K115">
        <f t="shared" si="29"/>
        <v>48.383999999999993</v>
      </c>
      <c r="L115">
        <f t="shared" si="30"/>
        <v>5.8665599999999998</v>
      </c>
      <c r="M115">
        <f t="shared" si="31"/>
        <v>5.5375488000000006</v>
      </c>
      <c r="N115">
        <f t="shared" si="32"/>
        <v>2.6006400000000003</v>
      </c>
      <c r="O115">
        <f t="shared" si="43"/>
        <v>4.5603343058823542</v>
      </c>
      <c r="P115">
        <f t="shared" si="33"/>
        <v>3.6285097192224627</v>
      </c>
      <c r="Q115">
        <f t="shared" si="34"/>
        <v>67.2</v>
      </c>
      <c r="R115">
        <f t="shared" si="35"/>
        <v>288</v>
      </c>
      <c r="S115">
        <f t="shared" si="36"/>
        <v>142.07999999999996</v>
      </c>
      <c r="T115">
        <f t="shared" si="37"/>
        <v>126.72</v>
      </c>
      <c r="U115">
        <f>I115*E115/'[1]Inverter Analysis'!$L$2</f>
        <v>173.91413354461619</v>
      </c>
      <c r="V115">
        <f t="shared" si="38"/>
        <v>297.61904761904765</v>
      </c>
      <c r="W115">
        <f t="shared" si="39"/>
        <v>563.06306306306328</v>
      </c>
      <c r="X115">
        <f t="shared" si="40"/>
        <v>198.4126984126984</v>
      </c>
      <c r="Y115">
        <f t="shared" si="41"/>
        <v>6.9748802856911016</v>
      </c>
      <c r="Z115">
        <f t="shared" si="42"/>
        <v>0.14451860945454534</v>
      </c>
    </row>
    <row r="116" spans="1:26" hidden="1">
      <c r="A116">
        <v>13</v>
      </c>
      <c r="B116">
        <v>2</v>
      </c>
      <c r="C116" s="12">
        <v>11</v>
      </c>
      <c r="D116">
        <f t="shared" si="22"/>
        <v>180</v>
      </c>
      <c r="E116">
        <f t="shared" si="23"/>
        <v>120</v>
      </c>
      <c r="F116">
        <f t="shared" si="24"/>
        <v>20.02</v>
      </c>
      <c r="G116">
        <f t="shared" si="25"/>
        <v>1.573</v>
      </c>
      <c r="H116">
        <f t="shared" si="26"/>
        <v>72.072000000000003</v>
      </c>
      <c r="I116">
        <f t="shared" si="27"/>
        <v>600.6</v>
      </c>
      <c r="J116">
        <f t="shared" si="28"/>
        <v>400.4</v>
      </c>
      <c r="K116">
        <f t="shared" si="29"/>
        <v>48.048000000000002</v>
      </c>
      <c r="L116">
        <f t="shared" si="30"/>
        <v>5.8258199999999993</v>
      </c>
      <c r="M116">
        <f t="shared" si="31"/>
        <v>5.4990936000000001</v>
      </c>
      <c r="N116">
        <f t="shared" si="32"/>
        <v>2.5825800000000001</v>
      </c>
      <c r="O116">
        <f t="shared" si="43"/>
        <v>4.528665317647059</v>
      </c>
      <c r="P116">
        <f t="shared" si="33"/>
        <v>1.9654427645788337</v>
      </c>
      <c r="Q116">
        <f t="shared" si="34"/>
        <v>54.6</v>
      </c>
      <c r="R116">
        <f t="shared" si="35"/>
        <v>286</v>
      </c>
      <c r="S116">
        <f t="shared" si="36"/>
        <v>211.64</v>
      </c>
      <c r="T116">
        <f t="shared" si="37"/>
        <v>188.76</v>
      </c>
      <c r="U116">
        <f>I116*E116/'[1]Inverter Analysis'!$L$2</f>
        <v>172.70639650611187</v>
      </c>
      <c r="V116">
        <f t="shared" si="38"/>
        <v>199.80019980019981</v>
      </c>
      <c r="W116">
        <f t="shared" si="39"/>
        <v>378.00037800037802</v>
      </c>
      <c r="X116">
        <f t="shared" si="40"/>
        <v>133.20013320013319</v>
      </c>
      <c r="Y116">
        <f t="shared" si="41"/>
        <v>3.1434542869054307</v>
      </c>
      <c r="Z116">
        <f t="shared" si="42"/>
        <v>0.31843949637499991</v>
      </c>
    </row>
    <row r="117" spans="1:26" s="7" customFormat="1" hidden="1">
      <c r="A117" s="7">
        <v>14</v>
      </c>
      <c r="B117" s="7">
        <v>2</v>
      </c>
      <c r="C117" s="13">
        <v>10</v>
      </c>
      <c r="D117" s="7">
        <f t="shared" si="22"/>
        <v>180</v>
      </c>
      <c r="E117" s="7">
        <f t="shared" si="23"/>
        <v>120</v>
      </c>
      <c r="F117" s="7">
        <f t="shared" si="24"/>
        <v>19.600000000000001</v>
      </c>
      <c r="G117" s="7">
        <f t="shared" si="25"/>
        <v>1.54</v>
      </c>
      <c r="H117" s="7">
        <f t="shared" si="26"/>
        <v>70.56</v>
      </c>
      <c r="I117" s="7">
        <f t="shared" si="27"/>
        <v>588</v>
      </c>
      <c r="J117" s="7">
        <f t="shared" si="28"/>
        <v>392</v>
      </c>
      <c r="K117" s="7">
        <f t="shared" si="29"/>
        <v>47.04</v>
      </c>
      <c r="L117" s="7">
        <f t="shared" si="30"/>
        <v>5.7035999999999998</v>
      </c>
      <c r="M117" s="7">
        <f t="shared" si="31"/>
        <v>5.3837279999999996</v>
      </c>
      <c r="N117" s="7">
        <f t="shared" si="32"/>
        <v>2.5284</v>
      </c>
      <c r="O117">
        <f t="shared" si="43"/>
        <v>4.4336583529411762</v>
      </c>
      <c r="P117" s="7">
        <f t="shared" si="33"/>
        <v>2.1166306695464359</v>
      </c>
      <c r="Q117" s="7">
        <f t="shared" si="34"/>
        <v>58.8</v>
      </c>
      <c r="R117" s="7">
        <f t="shared" si="35"/>
        <v>280</v>
      </c>
      <c r="S117" s="7">
        <f t="shared" si="36"/>
        <v>207.2</v>
      </c>
      <c r="T117" s="7">
        <f t="shared" si="37"/>
        <v>184.8</v>
      </c>
      <c r="U117" s="7">
        <f>I117*E117/'[1]Inverter Analysis'!$L$2</f>
        <v>169.08318539059906</v>
      </c>
      <c r="V117" s="7">
        <f t="shared" si="38"/>
        <v>204.08163265306123</v>
      </c>
      <c r="W117" s="7">
        <f t="shared" si="39"/>
        <v>386.10038610038612</v>
      </c>
      <c r="X117" s="7">
        <f t="shared" si="40"/>
        <v>136.05442176870747</v>
      </c>
      <c r="Y117" s="7">
        <f t="shared" si="41"/>
        <v>3.2796171792310793</v>
      </c>
      <c r="Z117" s="7">
        <f t="shared" si="42"/>
        <v>0.29881536363636363</v>
      </c>
    </row>
    <row r="118" spans="1:26" hidden="1">
      <c r="A118">
        <v>15</v>
      </c>
      <c r="B118">
        <v>2</v>
      </c>
      <c r="C118" s="12">
        <v>9</v>
      </c>
      <c r="D118">
        <f t="shared" si="22"/>
        <v>180</v>
      </c>
      <c r="E118">
        <f t="shared" si="23"/>
        <v>120</v>
      </c>
      <c r="F118">
        <f t="shared" si="24"/>
        <v>18.899999999999999</v>
      </c>
      <c r="G118">
        <f t="shared" si="25"/>
        <v>1.4849999999999999</v>
      </c>
      <c r="H118">
        <f t="shared" si="26"/>
        <v>68.040000000000006</v>
      </c>
      <c r="I118">
        <f t="shared" si="27"/>
        <v>567</v>
      </c>
      <c r="J118">
        <f t="shared" si="28"/>
        <v>378</v>
      </c>
      <c r="K118">
        <f t="shared" si="29"/>
        <v>45.36</v>
      </c>
      <c r="L118">
        <f t="shared" si="30"/>
        <v>5.4998999999999993</v>
      </c>
      <c r="M118">
        <f t="shared" si="31"/>
        <v>5.191452</v>
      </c>
      <c r="N118">
        <f t="shared" si="32"/>
        <v>2.4380999999999999</v>
      </c>
      <c r="O118">
        <f t="shared" si="43"/>
        <v>4.2753134117647065</v>
      </c>
      <c r="P118">
        <f t="shared" si="33"/>
        <v>2.2678185745140387</v>
      </c>
      <c r="Q118">
        <f t="shared" si="34"/>
        <v>63</v>
      </c>
      <c r="R118">
        <f t="shared" si="35"/>
        <v>270</v>
      </c>
      <c r="S118">
        <f t="shared" si="36"/>
        <v>199.8</v>
      </c>
      <c r="T118">
        <f t="shared" si="37"/>
        <v>178.2</v>
      </c>
      <c r="U118">
        <f>I118*E118/'[1]Inverter Analysis'!$L$2</f>
        <v>163.04450019807766</v>
      </c>
      <c r="V118">
        <f t="shared" si="38"/>
        <v>211.64021164021165</v>
      </c>
      <c r="W118">
        <f t="shared" si="39"/>
        <v>400.40040040040037</v>
      </c>
      <c r="X118">
        <f t="shared" si="40"/>
        <v>141.09347442680777</v>
      </c>
      <c r="Y118">
        <f t="shared" si="41"/>
        <v>3.5270505740976206</v>
      </c>
      <c r="Z118">
        <f t="shared" si="42"/>
        <v>0.26792924573863641</v>
      </c>
    </row>
    <row r="119" spans="1:26" hidden="1">
      <c r="A119">
        <v>11</v>
      </c>
      <c r="B119">
        <v>2</v>
      </c>
      <c r="C119">
        <v>12</v>
      </c>
      <c r="D119">
        <f t="shared" si="22"/>
        <v>180</v>
      </c>
      <c r="E119">
        <f t="shared" si="23"/>
        <v>120</v>
      </c>
      <c r="F119">
        <f t="shared" si="24"/>
        <v>18.48</v>
      </c>
      <c r="G119">
        <f t="shared" si="25"/>
        <v>1.452</v>
      </c>
      <c r="H119">
        <f t="shared" si="26"/>
        <v>66.528000000000006</v>
      </c>
      <c r="I119">
        <f t="shared" si="27"/>
        <v>554.4</v>
      </c>
      <c r="J119">
        <f t="shared" si="28"/>
        <v>369.59999999999997</v>
      </c>
      <c r="K119">
        <f t="shared" si="29"/>
        <v>44.35199999999999</v>
      </c>
      <c r="L119">
        <f t="shared" si="30"/>
        <v>5.3776799999999998</v>
      </c>
      <c r="M119">
        <f t="shared" si="31"/>
        <v>5.0760864000000003</v>
      </c>
      <c r="N119">
        <f t="shared" si="32"/>
        <v>2.3839199999999998</v>
      </c>
      <c r="O119">
        <f t="shared" si="43"/>
        <v>4.1803064470588245</v>
      </c>
      <c r="P119">
        <f t="shared" si="33"/>
        <v>1.6630669546436285</v>
      </c>
      <c r="Q119">
        <f t="shared" si="34"/>
        <v>46.199999999999996</v>
      </c>
      <c r="R119">
        <f t="shared" si="35"/>
        <v>264</v>
      </c>
      <c r="S119">
        <f t="shared" si="36"/>
        <v>195.35999999999996</v>
      </c>
      <c r="T119">
        <f t="shared" si="37"/>
        <v>174.24</v>
      </c>
      <c r="U119">
        <f>I119*E119/'[1]Inverter Analysis'!$L$2</f>
        <v>159.42128908256481</v>
      </c>
      <c r="V119">
        <f t="shared" si="38"/>
        <v>216.45021645021646</v>
      </c>
      <c r="W119">
        <f t="shared" si="39"/>
        <v>409.5004095004096</v>
      </c>
      <c r="X119">
        <f t="shared" si="40"/>
        <v>144.3001443001443</v>
      </c>
      <c r="Y119">
        <f t="shared" si="41"/>
        <v>3.6891928783820691</v>
      </c>
      <c r="Z119">
        <f t="shared" si="42"/>
        <v>0.25046128799999989</v>
      </c>
    </row>
    <row r="120" spans="1:26" hidden="1">
      <c r="A120">
        <v>12</v>
      </c>
      <c r="B120">
        <v>2</v>
      </c>
      <c r="C120" s="12">
        <v>11</v>
      </c>
      <c r="D120">
        <f t="shared" si="22"/>
        <v>180</v>
      </c>
      <c r="E120">
        <f t="shared" si="23"/>
        <v>120</v>
      </c>
      <c r="F120">
        <f t="shared" si="24"/>
        <v>18.48</v>
      </c>
      <c r="G120">
        <f t="shared" si="25"/>
        <v>1.452</v>
      </c>
      <c r="H120">
        <f t="shared" si="26"/>
        <v>66.528000000000006</v>
      </c>
      <c r="I120">
        <f t="shared" si="27"/>
        <v>554.4</v>
      </c>
      <c r="J120">
        <f t="shared" si="28"/>
        <v>369.59999999999997</v>
      </c>
      <c r="K120">
        <f t="shared" si="29"/>
        <v>44.35199999999999</v>
      </c>
      <c r="L120">
        <f t="shared" si="30"/>
        <v>5.3776799999999998</v>
      </c>
      <c r="M120">
        <f t="shared" si="31"/>
        <v>5.0760864000000003</v>
      </c>
      <c r="N120">
        <f t="shared" si="32"/>
        <v>2.3839199999999998</v>
      </c>
      <c r="O120">
        <f t="shared" si="43"/>
        <v>4.1803064470588245</v>
      </c>
      <c r="P120">
        <f t="shared" si="33"/>
        <v>1.8142548596112311</v>
      </c>
      <c r="Q120">
        <f t="shared" si="34"/>
        <v>50.4</v>
      </c>
      <c r="R120">
        <f t="shared" si="35"/>
        <v>264</v>
      </c>
      <c r="S120">
        <f t="shared" si="36"/>
        <v>195.35999999999996</v>
      </c>
      <c r="T120">
        <f t="shared" si="37"/>
        <v>174.24</v>
      </c>
      <c r="U120">
        <f>I120*E120/'[1]Inverter Analysis'!$L$2</f>
        <v>159.42128908256481</v>
      </c>
      <c r="V120">
        <f t="shared" si="38"/>
        <v>216.45021645021646</v>
      </c>
      <c r="W120">
        <f t="shared" si="39"/>
        <v>409.5004095004096</v>
      </c>
      <c r="X120">
        <f t="shared" si="40"/>
        <v>144.3001443001443</v>
      </c>
      <c r="Y120">
        <f t="shared" si="41"/>
        <v>3.6891928783820691</v>
      </c>
      <c r="Z120">
        <f t="shared" si="42"/>
        <v>0.25046128799999989</v>
      </c>
    </row>
    <row r="121" spans="1:26" hidden="1">
      <c r="A121">
        <v>13</v>
      </c>
      <c r="B121">
        <v>2</v>
      </c>
      <c r="C121" s="12">
        <v>10</v>
      </c>
      <c r="D121">
        <f t="shared" si="22"/>
        <v>180</v>
      </c>
      <c r="E121">
        <f t="shared" si="23"/>
        <v>120</v>
      </c>
      <c r="F121">
        <f t="shared" si="24"/>
        <v>18.2</v>
      </c>
      <c r="G121">
        <f t="shared" si="25"/>
        <v>1.43</v>
      </c>
      <c r="H121">
        <f t="shared" si="26"/>
        <v>65.52</v>
      </c>
      <c r="I121">
        <f t="shared" si="27"/>
        <v>546</v>
      </c>
      <c r="J121">
        <f t="shared" si="28"/>
        <v>364</v>
      </c>
      <c r="K121">
        <f t="shared" si="29"/>
        <v>43.68</v>
      </c>
      <c r="L121">
        <f t="shared" si="30"/>
        <v>5.2961999999999998</v>
      </c>
      <c r="M121">
        <f t="shared" si="31"/>
        <v>4.9991760000000003</v>
      </c>
      <c r="N121">
        <f t="shared" si="32"/>
        <v>2.3477999999999999</v>
      </c>
      <c r="O121">
        <f t="shared" si="43"/>
        <v>4.1169684705882359</v>
      </c>
      <c r="P121">
        <f t="shared" si="33"/>
        <v>1.9654427645788335</v>
      </c>
      <c r="Q121">
        <f t="shared" si="34"/>
        <v>54.6</v>
      </c>
      <c r="R121">
        <f t="shared" si="35"/>
        <v>260</v>
      </c>
      <c r="S121">
        <f t="shared" si="36"/>
        <v>192.4</v>
      </c>
      <c r="T121">
        <f t="shared" si="37"/>
        <v>171.6</v>
      </c>
      <c r="U121">
        <f>I121*E121/'[1]Inverter Analysis'!$L$2</f>
        <v>157.00581500555626</v>
      </c>
      <c r="V121">
        <f t="shared" si="38"/>
        <v>219.78021978021977</v>
      </c>
      <c r="W121">
        <f t="shared" si="39"/>
        <v>415.80041580041581</v>
      </c>
      <c r="X121">
        <f t="shared" si="40"/>
        <v>146.52014652014651</v>
      </c>
      <c r="Y121">
        <f t="shared" si="41"/>
        <v>3.8035796871555707</v>
      </c>
      <c r="Z121">
        <f t="shared" si="42"/>
        <v>0.23924830681818182</v>
      </c>
    </row>
    <row r="122" spans="1:26" hidden="1">
      <c r="A122">
        <v>16</v>
      </c>
      <c r="B122">
        <v>2</v>
      </c>
      <c r="C122" s="12">
        <v>8</v>
      </c>
      <c r="D122">
        <f t="shared" si="22"/>
        <v>180</v>
      </c>
      <c r="E122">
        <f t="shared" si="23"/>
        <v>120</v>
      </c>
      <c r="F122">
        <f t="shared" si="24"/>
        <v>17.920000000000002</v>
      </c>
      <c r="G122">
        <f t="shared" si="25"/>
        <v>1.4079999999999999</v>
      </c>
      <c r="H122">
        <f t="shared" si="26"/>
        <v>64.512</v>
      </c>
      <c r="I122">
        <f t="shared" si="27"/>
        <v>537.6</v>
      </c>
      <c r="J122">
        <f t="shared" si="28"/>
        <v>358.4</v>
      </c>
      <c r="K122">
        <f t="shared" si="29"/>
        <v>43.008000000000003</v>
      </c>
      <c r="L122">
        <f t="shared" si="30"/>
        <v>5.2147200000000007</v>
      </c>
      <c r="M122">
        <f t="shared" si="31"/>
        <v>4.9222656000000002</v>
      </c>
      <c r="N122">
        <f t="shared" si="32"/>
        <v>2.31168</v>
      </c>
      <c r="O122">
        <f t="shared" si="43"/>
        <v>4.0536304941176473</v>
      </c>
      <c r="P122">
        <f t="shared" si="33"/>
        <v>2.4190064794816415</v>
      </c>
      <c r="Q122">
        <f t="shared" si="34"/>
        <v>67.2</v>
      </c>
      <c r="R122">
        <f t="shared" si="35"/>
        <v>256</v>
      </c>
      <c r="S122">
        <f t="shared" si="36"/>
        <v>189.44</v>
      </c>
      <c r="T122">
        <f t="shared" si="37"/>
        <v>168.95999999999998</v>
      </c>
      <c r="U122">
        <f>I122*E122/'[1]Inverter Analysis'!$L$2</f>
        <v>154.5903409285477</v>
      </c>
      <c r="V122">
        <f t="shared" si="38"/>
        <v>223.21428571428572</v>
      </c>
      <c r="W122">
        <f t="shared" si="39"/>
        <v>422.29729729729729</v>
      </c>
      <c r="X122">
        <f t="shared" si="40"/>
        <v>148.8095238095238</v>
      </c>
      <c r="Y122">
        <f t="shared" si="41"/>
        <v>3.9233701607012414</v>
      </c>
      <c r="Z122">
        <f t="shared" si="42"/>
        <v>0.22837508654545458</v>
      </c>
    </row>
    <row r="123" spans="1:26" hidden="1">
      <c r="A123">
        <v>14</v>
      </c>
      <c r="B123">
        <v>2</v>
      </c>
      <c r="C123" s="12">
        <v>9</v>
      </c>
      <c r="D123">
        <f t="shared" si="22"/>
        <v>180</v>
      </c>
      <c r="E123">
        <f t="shared" si="23"/>
        <v>120</v>
      </c>
      <c r="F123">
        <f t="shared" si="24"/>
        <v>17.64</v>
      </c>
      <c r="G123">
        <f t="shared" si="25"/>
        <v>1.3859999999999999</v>
      </c>
      <c r="H123">
        <f t="shared" si="26"/>
        <v>63.504000000000005</v>
      </c>
      <c r="I123">
        <f t="shared" si="27"/>
        <v>529.20000000000005</v>
      </c>
      <c r="J123">
        <f t="shared" si="28"/>
        <v>352.79999999999995</v>
      </c>
      <c r="K123">
        <f t="shared" si="29"/>
        <v>42.335999999999991</v>
      </c>
      <c r="L123">
        <f t="shared" si="30"/>
        <v>5.1332399999999998</v>
      </c>
      <c r="M123">
        <f t="shared" si="31"/>
        <v>4.8453552000000011</v>
      </c>
      <c r="N123">
        <f t="shared" si="32"/>
        <v>2.27556</v>
      </c>
      <c r="O123">
        <f t="shared" si="43"/>
        <v>3.9902925176470601</v>
      </c>
      <c r="P123">
        <f t="shared" si="33"/>
        <v>2.1166306695464363</v>
      </c>
      <c r="Q123">
        <f t="shared" si="34"/>
        <v>58.800000000000004</v>
      </c>
      <c r="R123">
        <f t="shared" si="35"/>
        <v>252</v>
      </c>
      <c r="S123">
        <f t="shared" si="36"/>
        <v>186.47999999999996</v>
      </c>
      <c r="T123">
        <f t="shared" si="37"/>
        <v>166.32</v>
      </c>
      <c r="U123">
        <f>I123*E123/'[1]Inverter Analysis'!$L$2</f>
        <v>152.17486685153915</v>
      </c>
      <c r="V123">
        <f t="shared" si="38"/>
        <v>226.7573696145125</v>
      </c>
      <c r="W123">
        <f t="shared" si="39"/>
        <v>429.00042900042911</v>
      </c>
      <c r="X123">
        <f t="shared" si="40"/>
        <v>151.17157974300829</v>
      </c>
      <c r="Y123">
        <f t="shared" si="41"/>
        <v>4.0489100978161483</v>
      </c>
      <c r="Z123">
        <f t="shared" si="42"/>
        <v>0.21783640009090902</v>
      </c>
    </row>
    <row r="124" spans="1:26" hidden="1">
      <c r="A124">
        <v>11</v>
      </c>
      <c r="B124">
        <v>2</v>
      </c>
      <c r="C124" s="12">
        <v>11</v>
      </c>
      <c r="D124">
        <f t="shared" si="22"/>
        <v>180</v>
      </c>
      <c r="E124">
        <f t="shared" si="23"/>
        <v>120</v>
      </c>
      <c r="F124">
        <f t="shared" si="24"/>
        <v>16.940000000000001</v>
      </c>
      <c r="G124">
        <f t="shared" si="25"/>
        <v>1.331</v>
      </c>
      <c r="H124">
        <f t="shared" si="26"/>
        <v>60.984000000000009</v>
      </c>
      <c r="I124">
        <f t="shared" si="27"/>
        <v>508.20000000000005</v>
      </c>
      <c r="J124">
        <f t="shared" si="28"/>
        <v>338.79999999999995</v>
      </c>
      <c r="K124">
        <f t="shared" si="29"/>
        <v>40.655999999999992</v>
      </c>
      <c r="L124">
        <f t="shared" si="30"/>
        <v>4.9295400000000003</v>
      </c>
      <c r="M124">
        <f t="shared" si="31"/>
        <v>4.6530792000000014</v>
      </c>
      <c r="N124">
        <f t="shared" si="32"/>
        <v>2.1852600000000004</v>
      </c>
      <c r="O124">
        <f t="shared" si="43"/>
        <v>3.8319475764705899</v>
      </c>
      <c r="P124">
        <f t="shared" si="33"/>
        <v>1.6630669546436285</v>
      </c>
      <c r="Q124">
        <f t="shared" si="34"/>
        <v>46.2</v>
      </c>
      <c r="R124">
        <f t="shared" si="35"/>
        <v>242</v>
      </c>
      <c r="S124">
        <f t="shared" si="36"/>
        <v>179.07999999999996</v>
      </c>
      <c r="T124">
        <f t="shared" si="37"/>
        <v>159.72</v>
      </c>
      <c r="U124">
        <f>I124*E124/'[1]Inverter Analysis'!$L$2</f>
        <v>146.13618165901775</v>
      </c>
      <c r="V124">
        <f t="shared" si="38"/>
        <v>236.12750885478161</v>
      </c>
      <c r="W124">
        <f t="shared" si="39"/>
        <v>446.72771945499227</v>
      </c>
      <c r="X124">
        <f t="shared" si="40"/>
        <v>157.41833923652104</v>
      </c>
      <c r="Y124">
        <f t="shared" si="41"/>
        <v>4.3904444172480819</v>
      </c>
      <c r="Z124">
        <f t="shared" si="42"/>
        <v>0.19291896662499997</v>
      </c>
    </row>
    <row r="125" spans="1:26" hidden="1">
      <c r="A125">
        <v>10</v>
      </c>
      <c r="B125">
        <v>2</v>
      </c>
      <c r="C125">
        <v>12</v>
      </c>
      <c r="D125">
        <f t="shared" si="22"/>
        <v>180</v>
      </c>
      <c r="E125">
        <f t="shared" si="23"/>
        <v>120</v>
      </c>
      <c r="F125">
        <f t="shared" si="24"/>
        <v>16.8</v>
      </c>
      <c r="G125">
        <f t="shared" si="25"/>
        <v>1.3199999999999998</v>
      </c>
      <c r="H125">
        <f t="shared" si="26"/>
        <v>60.48</v>
      </c>
      <c r="I125">
        <f t="shared" si="27"/>
        <v>504</v>
      </c>
      <c r="J125">
        <f t="shared" si="28"/>
        <v>336</v>
      </c>
      <c r="K125">
        <f t="shared" si="29"/>
        <v>40.32</v>
      </c>
      <c r="L125">
        <f t="shared" si="30"/>
        <v>4.8887999999999989</v>
      </c>
      <c r="M125">
        <f t="shared" si="31"/>
        <v>4.6146240000000009</v>
      </c>
      <c r="N125">
        <f t="shared" si="32"/>
        <v>2.1671999999999998</v>
      </c>
      <c r="O125">
        <f t="shared" si="43"/>
        <v>3.8002785882352952</v>
      </c>
      <c r="P125">
        <f t="shared" si="33"/>
        <v>1.5118790496760257</v>
      </c>
      <c r="Q125">
        <f t="shared" si="34"/>
        <v>42</v>
      </c>
      <c r="R125">
        <f t="shared" si="35"/>
        <v>240</v>
      </c>
      <c r="S125">
        <f t="shared" si="36"/>
        <v>177.60000000000002</v>
      </c>
      <c r="T125">
        <f t="shared" si="37"/>
        <v>158.39999999999998</v>
      </c>
      <c r="U125">
        <f>I125*E125/'[1]Inverter Analysis'!$L$2</f>
        <v>144.92844462051346</v>
      </c>
      <c r="V125">
        <f t="shared" si="38"/>
        <v>238.0952380952381</v>
      </c>
      <c r="W125">
        <f t="shared" si="39"/>
        <v>450.45045045045038</v>
      </c>
      <c r="X125">
        <f t="shared" si="40"/>
        <v>158.73015873015873</v>
      </c>
      <c r="Y125">
        <f t="shared" si="41"/>
        <v>4.4639233828422995</v>
      </c>
      <c r="Z125">
        <f t="shared" si="42"/>
        <v>0.18817527272727283</v>
      </c>
    </row>
    <row r="126" spans="1:26" hidden="1">
      <c r="A126">
        <v>12</v>
      </c>
      <c r="B126">
        <v>2</v>
      </c>
      <c r="C126" s="12">
        <v>10</v>
      </c>
      <c r="D126">
        <f t="shared" si="22"/>
        <v>180</v>
      </c>
      <c r="E126">
        <f t="shared" si="23"/>
        <v>120</v>
      </c>
      <c r="F126">
        <f t="shared" si="24"/>
        <v>16.8</v>
      </c>
      <c r="G126">
        <f t="shared" si="25"/>
        <v>1.32</v>
      </c>
      <c r="H126">
        <f t="shared" si="26"/>
        <v>60.48</v>
      </c>
      <c r="I126">
        <f t="shared" si="27"/>
        <v>504</v>
      </c>
      <c r="J126">
        <f t="shared" si="28"/>
        <v>336</v>
      </c>
      <c r="K126">
        <f t="shared" si="29"/>
        <v>40.32</v>
      </c>
      <c r="L126">
        <f t="shared" si="30"/>
        <v>4.8887999999999989</v>
      </c>
      <c r="M126">
        <f t="shared" si="31"/>
        <v>4.6146240000000009</v>
      </c>
      <c r="N126">
        <f t="shared" si="32"/>
        <v>2.1671999999999998</v>
      </c>
      <c r="O126">
        <f t="shared" si="43"/>
        <v>3.8002785882352952</v>
      </c>
      <c r="P126">
        <f t="shared" si="33"/>
        <v>1.8142548596112309</v>
      </c>
      <c r="Q126">
        <f t="shared" si="34"/>
        <v>50.4</v>
      </c>
      <c r="R126">
        <f t="shared" si="35"/>
        <v>240</v>
      </c>
      <c r="S126">
        <f t="shared" si="36"/>
        <v>177.6</v>
      </c>
      <c r="T126">
        <f t="shared" si="37"/>
        <v>158.4</v>
      </c>
      <c r="U126">
        <f>I126*E126/'[1]Inverter Analysis'!$L$2</f>
        <v>144.92844462051346</v>
      </c>
      <c r="V126">
        <f t="shared" si="38"/>
        <v>238.0952380952381</v>
      </c>
      <c r="W126">
        <f t="shared" si="39"/>
        <v>450.45045045045049</v>
      </c>
      <c r="X126">
        <f t="shared" si="40"/>
        <v>158.73015873015873</v>
      </c>
      <c r="Y126">
        <f t="shared" si="41"/>
        <v>4.4639233828423022</v>
      </c>
      <c r="Z126">
        <f t="shared" si="42"/>
        <v>0.18817527272727272</v>
      </c>
    </row>
    <row r="127" spans="1:26" hidden="1">
      <c r="A127">
        <v>15</v>
      </c>
      <c r="B127">
        <v>2</v>
      </c>
      <c r="C127" s="12">
        <v>8</v>
      </c>
      <c r="D127">
        <f t="shared" si="22"/>
        <v>180</v>
      </c>
      <c r="E127">
        <f t="shared" si="23"/>
        <v>120</v>
      </c>
      <c r="F127">
        <f t="shared" si="24"/>
        <v>16.8</v>
      </c>
      <c r="G127">
        <f t="shared" si="25"/>
        <v>1.3199999999999998</v>
      </c>
      <c r="H127">
        <f t="shared" si="26"/>
        <v>60.48</v>
      </c>
      <c r="I127">
        <f t="shared" si="27"/>
        <v>504</v>
      </c>
      <c r="J127">
        <f t="shared" si="28"/>
        <v>336</v>
      </c>
      <c r="K127">
        <f t="shared" si="29"/>
        <v>40.32</v>
      </c>
      <c r="L127">
        <f t="shared" si="30"/>
        <v>4.8887999999999989</v>
      </c>
      <c r="M127">
        <f t="shared" si="31"/>
        <v>4.6146240000000009</v>
      </c>
      <c r="N127">
        <f t="shared" si="32"/>
        <v>2.1671999999999998</v>
      </c>
      <c r="O127">
        <f t="shared" si="43"/>
        <v>3.8002785882352952</v>
      </c>
      <c r="P127">
        <f t="shared" si="33"/>
        <v>2.2678185745140387</v>
      </c>
      <c r="Q127">
        <f t="shared" si="34"/>
        <v>63</v>
      </c>
      <c r="R127">
        <f t="shared" si="35"/>
        <v>240</v>
      </c>
      <c r="S127">
        <f t="shared" si="36"/>
        <v>177.60000000000002</v>
      </c>
      <c r="T127">
        <f t="shared" si="37"/>
        <v>158.39999999999998</v>
      </c>
      <c r="U127">
        <f>I127*E127/'[1]Inverter Analysis'!$L$2</f>
        <v>144.92844462051346</v>
      </c>
      <c r="V127">
        <f t="shared" si="38"/>
        <v>238.0952380952381</v>
      </c>
      <c r="W127">
        <f t="shared" si="39"/>
        <v>450.45045045045038</v>
      </c>
      <c r="X127">
        <f t="shared" si="40"/>
        <v>158.73015873015873</v>
      </c>
      <c r="Y127">
        <f t="shared" si="41"/>
        <v>4.4639233828422995</v>
      </c>
      <c r="Z127">
        <f t="shared" si="42"/>
        <v>0.18817527272727283</v>
      </c>
    </row>
    <row r="128" spans="1:26" hidden="1">
      <c r="A128">
        <v>13</v>
      </c>
      <c r="B128">
        <v>2</v>
      </c>
      <c r="C128" s="12">
        <v>9</v>
      </c>
      <c r="D128">
        <f t="shared" si="22"/>
        <v>180</v>
      </c>
      <c r="E128">
        <f t="shared" si="23"/>
        <v>120</v>
      </c>
      <c r="F128">
        <f t="shared" si="24"/>
        <v>16.38</v>
      </c>
      <c r="G128">
        <f t="shared" si="25"/>
        <v>1.2869999999999999</v>
      </c>
      <c r="H128">
        <f t="shared" si="26"/>
        <v>58.968000000000011</v>
      </c>
      <c r="I128">
        <f t="shared" si="27"/>
        <v>491.40000000000003</v>
      </c>
      <c r="J128">
        <f t="shared" si="28"/>
        <v>327.59999999999997</v>
      </c>
      <c r="K128">
        <f t="shared" si="29"/>
        <v>39.311999999999991</v>
      </c>
      <c r="L128">
        <f t="shared" si="30"/>
        <v>4.7665800000000003</v>
      </c>
      <c r="M128">
        <f t="shared" si="31"/>
        <v>4.4992584000000004</v>
      </c>
      <c r="N128">
        <f t="shared" si="32"/>
        <v>2.1130200000000001</v>
      </c>
      <c r="O128">
        <f t="shared" si="43"/>
        <v>3.7052716235294123</v>
      </c>
      <c r="P128">
        <f t="shared" si="33"/>
        <v>1.9654427645788337</v>
      </c>
      <c r="Q128">
        <f t="shared" si="34"/>
        <v>54.6</v>
      </c>
      <c r="R128">
        <f t="shared" si="35"/>
        <v>234</v>
      </c>
      <c r="S128">
        <f t="shared" si="36"/>
        <v>173.15999999999997</v>
      </c>
      <c r="T128">
        <f t="shared" si="37"/>
        <v>154.44</v>
      </c>
      <c r="U128">
        <f>I128*E128/'[1]Inverter Analysis'!$L$2</f>
        <v>141.30523350500064</v>
      </c>
      <c r="V128">
        <f t="shared" si="38"/>
        <v>244.20024420024421</v>
      </c>
      <c r="W128">
        <f t="shared" si="39"/>
        <v>462.00046200046211</v>
      </c>
      <c r="X128">
        <f t="shared" si="40"/>
        <v>162.80016280016278</v>
      </c>
      <c r="Y128">
        <f t="shared" si="41"/>
        <v>4.6957773915500889</v>
      </c>
      <c r="Z128">
        <f t="shared" si="42"/>
        <v>0.17441201567045445</v>
      </c>
    </row>
    <row r="129" spans="1:26" hidden="1">
      <c r="A129">
        <v>14</v>
      </c>
      <c r="B129">
        <v>2</v>
      </c>
      <c r="C129" s="12">
        <v>8</v>
      </c>
      <c r="D129">
        <f t="shared" si="22"/>
        <v>180</v>
      </c>
      <c r="E129">
        <f t="shared" si="23"/>
        <v>120</v>
      </c>
      <c r="F129">
        <f t="shared" si="24"/>
        <v>15.68</v>
      </c>
      <c r="G129">
        <f t="shared" si="25"/>
        <v>1.232</v>
      </c>
      <c r="H129">
        <f t="shared" si="26"/>
        <v>56.448000000000008</v>
      </c>
      <c r="I129">
        <f t="shared" si="27"/>
        <v>470.40000000000003</v>
      </c>
      <c r="J129">
        <f t="shared" si="28"/>
        <v>313.59999999999997</v>
      </c>
      <c r="K129">
        <f t="shared" si="29"/>
        <v>37.631999999999991</v>
      </c>
      <c r="L129">
        <f t="shared" si="30"/>
        <v>4.5628799999999998</v>
      </c>
      <c r="M129">
        <f t="shared" si="31"/>
        <v>4.3069824000000008</v>
      </c>
      <c r="N129">
        <f t="shared" si="32"/>
        <v>2.0227200000000001</v>
      </c>
      <c r="O129">
        <f t="shared" si="43"/>
        <v>3.5469266823529422</v>
      </c>
      <c r="P129">
        <f t="shared" si="33"/>
        <v>2.1166306695464363</v>
      </c>
      <c r="Q129">
        <f t="shared" si="34"/>
        <v>58.800000000000004</v>
      </c>
      <c r="R129">
        <f t="shared" si="35"/>
        <v>224</v>
      </c>
      <c r="S129">
        <f t="shared" si="36"/>
        <v>165.75999999999996</v>
      </c>
      <c r="T129">
        <f t="shared" si="37"/>
        <v>147.84</v>
      </c>
      <c r="U129">
        <f>I129*E129/'[1]Inverter Analysis'!$L$2</f>
        <v>135.26654831247924</v>
      </c>
      <c r="V129">
        <f t="shared" si="38"/>
        <v>255.10204081632656</v>
      </c>
      <c r="W129">
        <f t="shared" si="39"/>
        <v>482.62548262548273</v>
      </c>
      <c r="X129">
        <f t="shared" si="40"/>
        <v>170.06802721088434</v>
      </c>
      <c r="Y129">
        <f t="shared" si="41"/>
        <v>5.1244018425485631</v>
      </c>
      <c r="Z129">
        <f t="shared" si="42"/>
        <v>0.15299346618181814</v>
      </c>
    </row>
    <row r="130" spans="1:26" hidden="1">
      <c r="A130">
        <v>16</v>
      </c>
      <c r="B130">
        <v>2</v>
      </c>
      <c r="C130" s="12">
        <v>7</v>
      </c>
      <c r="D130">
        <f t="shared" si="22"/>
        <v>180</v>
      </c>
      <c r="E130">
        <f t="shared" si="23"/>
        <v>120</v>
      </c>
      <c r="F130">
        <f t="shared" si="24"/>
        <v>15.68</v>
      </c>
      <c r="G130">
        <f t="shared" si="25"/>
        <v>1.232</v>
      </c>
      <c r="H130">
        <f t="shared" si="26"/>
        <v>56.448000000000008</v>
      </c>
      <c r="I130">
        <f t="shared" si="27"/>
        <v>470.40000000000003</v>
      </c>
      <c r="J130">
        <f t="shared" si="28"/>
        <v>313.59999999999997</v>
      </c>
      <c r="K130">
        <f t="shared" si="29"/>
        <v>37.631999999999991</v>
      </c>
      <c r="L130">
        <f t="shared" si="30"/>
        <v>4.5628799999999998</v>
      </c>
      <c r="M130">
        <f t="shared" si="31"/>
        <v>4.3069824000000008</v>
      </c>
      <c r="N130">
        <f t="shared" si="32"/>
        <v>2.0227200000000001</v>
      </c>
      <c r="O130">
        <f t="shared" si="43"/>
        <v>3.5469266823529422</v>
      </c>
      <c r="P130">
        <f t="shared" si="33"/>
        <v>2.4190064794816415</v>
      </c>
      <c r="Q130">
        <f t="shared" si="34"/>
        <v>67.2</v>
      </c>
      <c r="R130">
        <f t="shared" si="35"/>
        <v>224</v>
      </c>
      <c r="S130">
        <f t="shared" si="36"/>
        <v>165.75999999999996</v>
      </c>
      <c r="T130">
        <f t="shared" si="37"/>
        <v>147.84</v>
      </c>
      <c r="U130">
        <f>I130*E130/'[1]Inverter Analysis'!$L$2</f>
        <v>135.26654831247924</v>
      </c>
      <c r="V130">
        <f t="shared" si="38"/>
        <v>255.10204081632656</v>
      </c>
      <c r="W130">
        <f t="shared" si="39"/>
        <v>482.62548262548273</v>
      </c>
      <c r="X130">
        <f t="shared" si="40"/>
        <v>170.06802721088434</v>
      </c>
      <c r="Y130">
        <f t="shared" si="41"/>
        <v>5.1244018425485631</v>
      </c>
      <c r="Z130">
        <f t="shared" si="42"/>
        <v>0.15299346618181814</v>
      </c>
    </row>
    <row r="131" spans="1:26" hidden="1">
      <c r="A131">
        <v>10</v>
      </c>
      <c r="B131">
        <v>2</v>
      </c>
      <c r="C131" s="12">
        <v>11</v>
      </c>
      <c r="D131">
        <f t="shared" si="22"/>
        <v>180</v>
      </c>
      <c r="E131">
        <f t="shared" si="23"/>
        <v>120</v>
      </c>
      <c r="F131">
        <f t="shared" si="24"/>
        <v>15.4</v>
      </c>
      <c r="G131">
        <f t="shared" si="25"/>
        <v>1.21</v>
      </c>
      <c r="H131">
        <f t="shared" si="26"/>
        <v>55.44</v>
      </c>
      <c r="I131">
        <f t="shared" si="27"/>
        <v>462</v>
      </c>
      <c r="J131">
        <f t="shared" si="28"/>
        <v>308</v>
      </c>
      <c r="K131">
        <f t="shared" si="29"/>
        <v>36.96</v>
      </c>
      <c r="L131">
        <f t="shared" si="30"/>
        <v>4.4813999999999998</v>
      </c>
      <c r="M131">
        <f t="shared" si="31"/>
        <v>4.2300719999999998</v>
      </c>
      <c r="N131">
        <f t="shared" si="32"/>
        <v>1.9865999999999999</v>
      </c>
      <c r="O131">
        <f t="shared" si="43"/>
        <v>3.4835887058823531</v>
      </c>
      <c r="P131">
        <f t="shared" si="33"/>
        <v>1.5118790496760257</v>
      </c>
      <c r="Q131">
        <f t="shared" si="34"/>
        <v>42</v>
      </c>
      <c r="R131">
        <f t="shared" si="35"/>
        <v>220</v>
      </c>
      <c r="S131">
        <f t="shared" si="36"/>
        <v>162.80000000000001</v>
      </c>
      <c r="T131">
        <f t="shared" si="37"/>
        <v>145.19999999999999</v>
      </c>
      <c r="U131">
        <f>I131*E131/'[1]Inverter Analysis'!$L$2</f>
        <v>132.85107423547069</v>
      </c>
      <c r="V131">
        <f t="shared" si="38"/>
        <v>259.74025974025972</v>
      </c>
      <c r="W131">
        <f t="shared" si="39"/>
        <v>491.40049140049138</v>
      </c>
      <c r="X131">
        <f t="shared" si="40"/>
        <v>173.16017316017317</v>
      </c>
      <c r="Y131">
        <f t="shared" si="41"/>
        <v>5.3124377448701763</v>
      </c>
      <c r="Z131">
        <f t="shared" si="42"/>
        <v>0.14494287500000003</v>
      </c>
    </row>
    <row r="132" spans="1:26" hidden="1">
      <c r="A132">
        <v>11</v>
      </c>
      <c r="B132">
        <v>2</v>
      </c>
      <c r="C132" s="12">
        <v>10</v>
      </c>
      <c r="D132">
        <f t="shared" si="22"/>
        <v>180</v>
      </c>
      <c r="E132">
        <f t="shared" si="23"/>
        <v>120</v>
      </c>
      <c r="F132">
        <f t="shared" si="24"/>
        <v>15.4</v>
      </c>
      <c r="G132">
        <f t="shared" si="25"/>
        <v>1.21</v>
      </c>
      <c r="H132">
        <f t="shared" si="26"/>
        <v>55.44</v>
      </c>
      <c r="I132">
        <f t="shared" si="27"/>
        <v>462</v>
      </c>
      <c r="J132">
        <f t="shared" si="28"/>
        <v>308</v>
      </c>
      <c r="K132">
        <f t="shared" si="29"/>
        <v>36.96</v>
      </c>
      <c r="L132">
        <f t="shared" si="30"/>
        <v>4.4813999999999998</v>
      </c>
      <c r="M132">
        <f t="shared" si="31"/>
        <v>4.2300719999999998</v>
      </c>
      <c r="N132">
        <f t="shared" si="32"/>
        <v>1.9865999999999999</v>
      </c>
      <c r="O132">
        <f t="shared" si="43"/>
        <v>3.4835887058823531</v>
      </c>
      <c r="P132">
        <f t="shared" si="33"/>
        <v>1.6630669546436283</v>
      </c>
      <c r="Q132">
        <f t="shared" si="34"/>
        <v>46.2</v>
      </c>
      <c r="R132">
        <f t="shared" si="35"/>
        <v>220</v>
      </c>
      <c r="S132">
        <f t="shared" si="36"/>
        <v>162.80000000000001</v>
      </c>
      <c r="T132">
        <f t="shared" si="37"/>
        <v>145.19999999999999</v>
      </c>
      <c r="U132">
        <f>I132*E132/'[1]Inverter Analysis'!$L$2</f>
        <v>132.85107423547069</v>
      </c>
      <c r="V132">
        <f t="shared" si="38"/>
        <v>259.74025974025972</v>
      </c>
      <c r="W132">
        <f t="shared" si="39"/>
        <v>491.40049140049138</v>
      </c>
      <c r="X132">
        <f t="shared" si="40"/>
        <v>173.16017316017317</v>
      </c>
      <c r="Y132">
        <f t="shared" si="41"/>
        <v>5.3124377448701763</v>
      </c>
      <c r="Z132">
        <f t="shared" si="42"/>
        <v>0.14494287500000003</v>
      </c>
    </row>
    <row r="133" spans="1:26" hidden="1">
      <c r="A133">
        <v>12</v>
      </c>
      <c r="B133">
        <v>2</v>
      </c>
      <c r="C133" s="12">
        <v>9</v>
      </c>
      <c r="D133">
        <f t="shared" si="22"/>
        <v>180</v>
      </c>
      <c r="E133">
        <f t="shared" si="23"/>
        <v>120</v>
      </c>
      <c r="F133">
        <f t="shared" si="24"/>
        <v>15.12</v>
      </c>
      <c r="G133">
        <f t="shared" si="25"/>
        <v>1.1880000000000002</v>
      </c>
      <c r="H133">
        <f t="shared" si="26"/>
        <v>54.432000000000002</v>
      </c>
      <c r="I133">
        <f t="shared" si="27"/>
        <v>453.6</v>
      </c>
      <c r="J133">
        <f t="shared" si="28"/>
        <v>302.39999999999998</v>
      </c>
      <c r="K133">
        <f t="shared" si="29"/>
        <v>36.287999999999997</v>
      </c>
      <c r="L133">
        <f t="shared" si="30"/>
        <v>4.3999199999999998</v>
      </c>
      <c r="M133">
        <f t="shared" si="31"/>
        <v>4.1531616000000007</v>
      </c>
      <c r="N133">
        <f t="shared" si="32"/>
        <v>1.95048</v>
      </c>
      <c r="O133">
        <f t="shared" si="43"/>
        <v>3.4202507294117654</v>
      </c>
      <c r="P133">
        <f t="shared" si="33"/>
        <v>1.8142548596112311</v>
      </c>
      <c r="Q133">
        <f t="shared" si="34"/>
        <v>50.400000000000006</v>
      </c>
      <c r="R133">
        <f t="shared" si="35"/>
        <v>216</v>
      </c>
      <c r="S133">
        <f t="shared" si="36"/>
        <v>159.83999999999995</v>
      </c>
      <c r="T133">
        <f t="shared" si="37"/>
        <v>142.56000000000003</v>
      </c>
      <c r="U133">
        <f>I133*E133/'[1]Inverter Analysis'!$L$2</f>
        <v>130.43560015846211</v>
      </c>
      <c r="V133">
        <f t="shared" si="38"/>
        <v>264.55026455026456</v>
      </c>
      <c r="W133">
        <f t="shared" si="39"/>
        <v>500.50050050050066</v>
      </c>
      <c r="X133">
        <f t="shared" si="40"/>
        <v>176.3668430335097</v>
      </c>
      <c r="Y133">
        <f t="shared" si="41"/>
        <v>5.5110165220275356</v>
      </c>
      <c r="Z133">
        <f t="shared" si="42"/>
        <v>0.13717977381818175</v>
      </c>
    </row>
    <row r="134" spans="1:26" hidden="1">
      <c r="A134">
        <v>15</v>
      </c>
      <c r="B134">
        <v>2</v>
      </c>
      <c r="C134" s="12">
        <v>7</v>
      </c>
      <c r="D134">
        <f t="shared" ref="D134:D197" si="44">B134*$J$3</f>
        <v>180</v>
      </c>
      <c r="E134">
        <f t="shared" ref="E134:E197" si="45">B134*$I$3</f>
        <v>120</v>
      </c>
      <c r="F134">
        <f t="shared" ref="F134:F197" si="46">A134*B134*C134*$Q$3/1000</f>
        <v>14.7</v>
      </c>
      <c r="G134">
        <f t="shared" ref="G134:G197" si="47">((B134*$R$3^(-1))^(-1))*A134*C134</f>
        <v>1.1549999999999998</v>
      </c>
      <c r="H134">
        <f t="shared" ref="H134:H197" si="48">E134*I134/1000</f>
        <v>52.92</v>
      </c>
      <c r="I134">
        <f t="shared" ref="I134:I197" si="49">A134*C134*4.2</f>
        <v>441</v>
      </c>
      <c r="J134">
        <f t="shared" ref="J134:J197" si="50">C134*A134*$K$3</f>
        <v>294</v>
      </c>
      <c r="K134">
        <f t="shared" ref="K134:K197" si="51">E134*J134/1000</f>
        <v>35.28</v>
      </c>
      <c r="L134">
        <f t="shared" ref="L134:L197" si="52">$N$3/1000*I134*B134/1000</f>
        <v>4.2776999999999994</v>
      </c>
      <c r="M134">
        <f t="shared" ref="M134:M197" si="53">$O$3/1000*I134*B134/1000</f>
        <v>4.0377960000000002</v>
      </c>
      <c r="N134">
        <f t="shared" ref="N134:N197" si="54">$P$3/1000*I134*B134/1000</f>
        <v>1.8962999999999999</v>
      </c>
      <c r="O134">
        <f t="shared" si="43"/>
        <v>3.3252437647058826</v>
      </c>
      <c r="P134">
        <f t="shared" ref="P134:P197" si="55">$H$3/1000*B134*I134/277.8/C134</f>
        <v>2.2678185745140387</v>
      </c>
      <c r="Q134">
        <f t="shared" ref="Q134:Q197" si="56">I134/C134</f>
        <v>63</v>
      </c>
      <c r="R134">
        <f t="shared" ref="R134:R197" si="57">(A134*B134*C134)</f>
        <v>210</v>
      </c>
      <c r="S134">
        <f t="shared" ref="S134:S197" si="58">J134-(G134*E134)</f>
        <v>155.40000000000003</v>
      </c>
      <c r="T134">
        <f t="shared" ref="T134:T197" si="59">G134*E134</f>
        <v>138.59999999999997</v>
      </c>
      <c r="U134">
        <f>I134*E134/'[1]Inverter Analysis'!$L$2</f>
        <v>126.81238904294929</v>
      </c>
      <c r="V134">
        <f t="shared" ref="V134:V197" si="60">80000/J134</f>
        <v>272.10884353741494</v>
      </c>
      <c r="W134">
        <f t="shared" ref="W134:W197" si="61">80000/S134</f>
        <v>514.80051480051463</v>
      </c>
      <c r="X134">
        <f t="shared" ref="X134:X197" si="62">80000/I134</f>
        <v>181.40589569160997</v>
      </c>
      <c r="Y134">
        <f t="shared" ref="Y134:Y197" si="63">(MAX(V134:X134)^2)*$R$3/1000</f>
        <v>5.8304305408552466</v>
      </c>
      <c r="Z134">
        <f t="shared" ref="Z134:Z197" si="64">($S$3*F134/(Y134*1000))*10</f>
        <v>0.126062731534091</v>
      </c>
    </row>
    <row r="135" spans="1:26" hidden="1">
      <c r="A135">
        <v>13</v>
      </c>
      <c r="B135">
        <v>2</v>
      </c>
      <c r="C135" s="12">
        <v>8</v>
      </c>
      <c r="D135">
        <f t="shared" si="44"/>
        <v>180</v>
      </c>
      <c r="E135">
        <f t="shared" si="45"/>
        <v>120</v>
      </c>
      <c r="F135">
        <f t="shared" si="46"/>
        <v>14.56</v>
      </c>
      <c r="G135">
        <f t="shared" si="47"/>
        <v>1.1439999999999999</v>
      </c>
      <c r="H135">
        <f t="shared" si="48"/>
        <v>52.415999999999997</v>
      </c>
      <c r="I135">
        <f t="shared" si="49"/>
        <v>436.8</v>
      </c>
      <c r="J135">
        <f t="shared" si="50"/>
        <v>291.2</v>
      </c>
      <c r="K135">
        <f t="shared" si="51"/>
        <v>34.944000000000003</v>
      </c>
      <c r="L135">
        <f t="shared" si="52"/>
        <v>4.2369599999999998</v>
      </c>
      <c r="M135">
        <f t="shared" si="53"/>
        <v>3.9993408000000006</v>
      </c>
      <c r="N135">
        <f t="shared" si="54"/>
        <v>1.8782399999999999</v>
      </c>
      <c r="O135">
        <f t="shared" ref="O135:O198" si="65">M135*(($L$3-$K$3)/($L$3-$M$3))</f>
        <v>3.2935747764705892</v>
      </c>
      <c r="P135">
        <f t="shared" si="55"/>
        <v>1.9654427645788337</v>
      </c>
      <c r="Q135">
        <f t="shared" si="56"/>
        <v>54.6</v>
      </c>
      <c r="R135">
        <f t="shared" si="57"/>
        <v>208</v>
      </c>
      <c r="S135">
        <f t="shared" si="58"/>
        <v>153.91999999999999</v>
      </c>
      <c r="T135">
        <f t="shared" si="59"/>
        <v>137.28</v>
      </c>
      <c r="U135">
        <f>I135*E135/'[1]Inverter Analysis'!$L$2</f>
        <v>125.604652004445</v>
      </c>
      <c r="V135">
        <f t="shared" si="60"/>
        <v>274.72527472527474</v>
      </c>
      <c r="W135">
        <f t="shared" si="61"/>
        <v>519.75051975051974</v>
      </c>
      <c r="X135">
        <f t="shared" si="62"/>
        <v>183.15018315018315</v>
      </c>
      <c r="Y135">
        <f t="shared" si="63"/>
        <v>5.9430932611805787</v>
      </c>
      <c r="Z135">
        <f t="shared" si="64"/>
        <v>0.12249513309090911</v>
      </c>
    </row>
    <row r="136" spans="1:26" hidden="1">
      <c r="A136">
        <v>10</v>
      </c>
      <c r="B136">
        <v>2</v>
      </c>
      <c r="C136" s="12">
        <v>10</v>
      </c>
      <c r="D136">
        <f t="shared" si="44"/>
        <v>180</v>
      </c>
      <c r="E136">
        <f t="shared" si="45"/>
        <v>120</v>
      </c>
      <c r="F136">
        <f t="shared" si="46"/>
        <v>14</v>
      </c>
      <c r="G136">
        <f t="shared" si="47"/>
        <v>1.0999999999999999</v>
      </c>
      <c r="H136">
        <f t="shared" si="48"/>
        <v>50.4</v>
      </c>
      <c r="I136">
        <f t="shared" si="49"/>
        <v>420</v>
      </c>
      <c r="J136">
        <f t="shared" si="50"/>
        <v>280</v>
      </c>
      <c r="K136">
        <f t="shared" si="51"/>
        <v>33.6</v>
      </c>
      <c r="L136">
        <f t="shared" si="52"/>
        <v>4.0739999999999998</v>
      </c>
      <c r="M136">
        <f t="shared" si="53"/>
        <v>3.8455200000000005</v>
      </c>
      <c r="N136">
        <f t="shared" si="54"/>
        <v>1.806</v>
      </c>
      <c r="O136">
        <f t="shared" si="65"/>
        <v>3.1668988235294124</v>
      </c>
      <c r="P136">
        <f t="shared" si="55"/>
        <v>1.5118790496760259</v>
      </c>
      <c r="Q136">
        <f t="shared" si="56"/>
        <v>42</v>
      </c>
      <c r="R136">
        <f t="shared" si="57"/>
        <v>200</v>
      </c>
      <c r="S136">
        <f t="shared" si="58"/>
        <v>148.00000000000003</v>
      </c>
      <c r="T136">
        <f t="shared" si="59"/>
        <v>131.99999999999997</v>
      </c>
      <c r="U136">
        <f>I136*E136/'[1]Inverter Analysis'!$L$2</f>
        <v>120.77370385042789</v>
      </c>
      <c r="V136">
        <f t="shared" si="60"/>
        <v>285.71428571428572</v>
      </c>
      <c r="W136">
        <f t="shared" si="61"/>
        <v>540.54054054054041</v>
      </c>
      <c r="X136">
        <f t="shared" si="62"/>
        <v>190.47619047619048</v>
      </c>
      <c r="Y136">
        <f t="shared" si="63"/>
        <v>6.4280496712929107</v>
      </c>
      <c r="Z136">
        <f t="shared" si="64"/>
        <v>0.10889772727272734</v>
      </c>
    </row>
    <row r="137" spans="1:26" hidden="1">
      <c r="A137">
        <v>11</v>
      </c>
      <c r="B137">
        <v>2</v>
      </c>
      <c r="C137" s="12">
        <v>9</v>
      </c>
      <c r="D137">
        <f t="shared" si="44"/>
        <v>180</v>
      </c>
      <c r="E137">
        <f t="shared" si="45"/>
        <v>120</v>
      </c>
      <c r="F137">
        <f t="shared" si="46"/>
        <v>13.86</v>
      </c>
      <c r="G137">
        <f t="shared" si="47"/>
        <v>1.089</v>
      </c>
      <c r="H137">
        <f t="shared" si="48"/>
        <v>49.896000000000001</v>
      </c>
      <c r="I137">
        <f t="shared" si="49"/>
        <v>415.8</v>
      </c>
      <c r="J137">
        <f t="shared" si="50"/>
        <v>277.2</v>
      </c>
      <c r="K137">
        <f t="shared" si="51"/>
        <v>33.264000000000003</v>
      </c>
      <c r="L137">
        <f t="shared" si="52"/>
        <v>4.0332599999999994</v>
      </c>
      <c r="M137">
        <f t="shared" si="53"/>
        <v>3.8070648000000005</v>
      </c>
      <c r="N137">
        <f t="shared" si="54"/>
        <v>1.7879400000000001</v>
      </c>
      <c r="O137">
        <f t="shared" si="65"/>
        <v>3.1352298352941181</v>
      </c>
      <c r="P137">
        <f t="shared" si="55"/>
        <v>1.6630669546436283</v>
      </c>
      <c r="Q137">
        <f t="shared" si="56"/>
        <v>46.2</v>
      </c>
      <c r="R137">
        <f t="shared" si="57"/>
        <v>198</v>
      </c>
      <c r="S137">
        <f t="shared" si="58"/>
        <v>146.51999999999998</v>
      </c>
      <c r="T137">
        <f t="shared" si="59"/>
        <v>130.68</v>
      </c>
      <c r="U137">
        <f>I137*E137/'[1]Inverter Analysis'!$L$2</f>
        <v>119.56596681192362</v>
      </c>
      <c r="V137">
        <f t="shared" si="60"/>
        <v>288.60028860028859</v>
      </c>
      <c r="W137">
        <f t="shared" si="61"/>
        <v>546.00054600054602</v>
      </c>
      <c r="X137">
        <f t="shared" si="62"/>
        <v>192.4001924001924</v>
      </c>
      <c r="Y137">
        <f t="shared" si="63"/>
        <v>6.5585651171236767</v>
      </c>
      <c r="Z137">
        <f t="shared" si="64"/>
        <v>0.10566335587499998</v>
      </c>
    </row>
    <row r="138" spans="1:26" hidden="1">
      <c r="A138">
        <v>14</v>
      </c>
      <c r="B138">
        <v>2</v>
      </c>
      <c r="C138" s="12">
        <v>7</v>
      </c>
      <c r="D138">
        <f t="shared" si="44"/>
        <v>180</v>
      </c>
      <c r="E138">
        <f t="shared" si="45"/>
        <v>120</v>
      </c>
      <c r="F138">
        <f t="shared" si="46"/>
        <v>13.72</v>
      </c>
      <c r="G138">
        <f t="shared" si="47"/>
        <v>1.0780000000000001</v>
      </c>
      <c r="H138">
        <f t="shared" si="48"/>
        <v>49.392000000000003</v>
      </c>
      <c r="I138">
        <f t="shared" si="49"/>
        <v>411.6</v>
      </c>
      <c r="J138">
        <f t="shared" si="50"/>
        <v>274.39999999999998</v>
      </c>
      <c r="K138">
        <f t="shared" si="51"/>
        <v>32.927999999999997</v>
      </c>
      <c r="L138">
        <f t="shared" si="52"/>
        <v>3.9925199999999998</v>
      </c>
      <c r="M138">
        <f t="shared" si="53"/>
        <v>3.7686096000000004</v>
      </c>
      <c r="N138">
        <f t="shared" si="54"/>
        <v>1.7698800000000001</v>
      </c>
      <c r="O138">
        <f t="shared" si="65"/>
        <v>3.1035608470588243</v>
      </c>
      <c r="P138">
        <f t="shared" si="55"/>
        <v>2.1166306695464363</v>
      </c>
      <c r="Q138">
        <f t="shared" si="56"/>
        <v>58.800000000000004</v>
      </c>
      <c r="R138">
        <f t="shared" si="57"/>
        <v>196</v>
      </c>
      <c r="S138">
        <f t="shared" si="58"/>
        <v>145.03999999999996</v>
      </c>
      <c r="T138">
        <f t="shared" si="59"/>
        <v>129.36000000000001</v>
      </c>
      <c r="U138">
        <f>I138*E138/'[1]Inverter Analysis'!$L$2</f>
        <v>118.35822977341934</v>
      </c>
      <c r="V138">
        <f t="shared" si="60"/>
        <v>291.54518950437318</v>
      </c>
      <c r="W138">
        <f t="shared" si="61"/>
        <v>551.57198014340884</v>
      </c>
      <c r="X138">
        <f t="shared" si="62"/>
        <v>194.36345966958211</v>
      </c>
      <c r="Y138">
        <f t="shared" si="63"/>
        <v>6.6930962841450619</v>
      </c>
      <c r="Z138">
        <f t="shared" si="64"/>
        <v>0.1024936697272727</v>
      </c>
    </row>
    <row r="139" spans="1:26" hidden="1">
      <c r="A139">
        <v>12</v>
      </c>
      <c r="B139">
        <v>2</v>
      </c>
      <c r="C139" s="12">
        <v>8</v>
      </c>
      <c r="D139">
        <f t="shared" si="44"/>
        <v>180</v>
      </c>
      <c r="E139">
        <f t="shared" si="45"/>
        <v>120</v>
      </c>
      <c r="F139">
        <f t="shared" si="46"/>
        <v>13.44</v>
      </c>
      <c r="G139">
        <f t="shared" si="47"/>
        <v>1.056</v>
      </c>
      <c r="H139">
        <f t="shared" si="48"/>
        <v>48.384000000000007</v>
      </c>
      <c r="I139">
        <f t="shared" si="49"/>
        <v>403.20000000000005</v>
      </c>
      <c r="J139">
        <f t="shared" si="50"/>
        <v>268.79999999999995</v>
      </c>
      <c r="K139">
        <f t="shared" si="51"/>
        <v>32.255999999999993</v>
      </c>
      <c r="L139">
        <f t="shared" si="52"/>
        <v>3.9110399999999998</v>
      </c>
      <c r="M139">
        <f t="shared" si="53"/>
        <v>3.6916992000000004</v>
      </c>
      <c r="N139">
        <f t="shared" si="54"/>
        <v>1.7337600000000002</v>
      </c>
      <c r="O139">
        <f t="shared" si="65"/>
        <v>3.0402228705882357</v>
      </c>
      <c r="P139">
        <f t="shared" si="55"/>
        <v>1.8142548596112313</v>
      </c>
      <c r="Q139">
        <f t="shared" si="56"/>
        <v>50.400000000000006</v>
      </c>
      <c r="R139">
        <f t="shared" si="57"/>
        <v>192</v>
      </c>
      <c r="S139">
        <f t="shared" si="58"/>
        <v>142.07999999999996</v>
      </c>
      <c r="T139">
        <f t="shared" si="59"/>
        <v>126.72</v>
      </c>
      <c r="U139">
        <f>I139*E139/'[1]Inverter Analysis'!$L$2</f>
        <v>115.9427556964108</v>
      </c>
      <c r="V139">
        <f t="shared" si="60"/>
        <v>297.61904761904765</v>
      </c>
      <c r="W139">
        <f t="shared" si="61"/>
        <v>563.06306306306328</v>
      </c>
      <c r="X139">
        <f t="shared" si="62"/>
        <v>198.4126984126984</v>
      </c>
      <c r="Y139">
        <f t="shared" si="63"/>
        <v>6.9748802856911016</v>
      </c>
      <c r="Z139">
        <f t="shared" si="64"/>
        <v>9.6345739636363573E-2</v>
      </c>
    </row>
    <row r="140" spans="1:26" hidden="1">
      <c r="A140">
        <v>16</v>
      </c>
      <c r="B140">
        <v>2</v>
      </c>
      <c r="C140">
        <v>6</v>
      </c>
      <c r="D140">
        <f t="shared" si="44"/>
        <v>180</v>
      </c>
      <c r="E140">
        <f t="shared" si="45"/>
        <v>120</v>
      </c>
      <c r="F140">
        <f t="shared" si="46"/>
        <v>13.44</v>
      </c>
      <c r="G140">
        <f t="shared" si="47"/>
        <v>1.056</v>
      </c>
      <c r="H140">
        <f t="shared" si="48"/>
        <v>48.384000000000007</v>
      </c>
      <c r="I140">
        <f t="shared" si="49"/>
        <v>403.20000000000005</v>
      </c>
      <c r="J140">
        <f t="shared" si="50"/>
        <v>268.79999999999995</v>
      </c>
      <c r="K140">
        <f t="shared" si="51"/>
        <v>32.255999999999993</v>
      </c>
      <c r="L140">
        <f t="shared" si="52"/>
        <v>3.9110399999999998</v>
      </c>
      <c r="M140">
        <f t="shared" si="53"/>
        <v>3.6916992000000004</v>
      </c>
      <c r="N140">
        <f t="shared" si="54"/>
        <v>1.7337600000000002</v>
      </c>
      <c r="O140">
        <f t="shared" si="65"/>
        <v>3.0402228705882357</v>
      </c>
      <c r="P140">
        <f t="shared" si="55"/>
        <v>2.4190064794816419</v>
      </c>
      <c r="Q140">
        <f t="shared" si="56"/>
        <v>67.2</v>
      </c>
      <c r="R140">
        <f t="shared" si="57"/>
        <v>192</v>
      </c>
      <c r="S140">
        <f t="shared" si="58"/>
        <v>142.07999999999996</v>
      </c>
      <c r="T140">
        <f t="shared" si="59"/>
        <v>126.72</v>
      </c>
      <c r="U140">
        <f>I140*E140/'[1]Inverter Analysis'!$L$2</f>
        <v>115.9427556964108</v>
      </c>
      <c r="V140">
        <f t="shared" si="60"/>
        <v>297.61904761904765</v>
      </c>
      <c r="W140">
        <f t="shared" si="61"/>
        <v>563.06306306306328</v>
      </c>
      <c r="X140">
        <f t="shared" si="62"/>
        <v>198.4126984126984</v>
      </c>
      <c r="Y140">
        <f t="shared" si="63"/>
        <v>6.9748802856911016</v>
      </c>
      <c r="Z140">
        <f t="shared" si="64"/>
        <v>9.6345739636363573E-2</v>
      </c>
    </row>
    <row r="141" spans="1:26" hidden="1">
      <c r="A141" s="8">
        <v>16</v>
      </c>
      <c r="B141" s="12">
        <v>6</v>
      </c>
      <c r="C141" s="12">
        <v>12</v>
      </c>
      <c r="D141">
        <f t="shared" si="44"/>
        <v>540</v>
      </c>
      <c r="E141">
        <f t="shared" si="45"/>
        <v>360</v>
      </c>
      <c r="F141">
        <f t="shared" si="46"/>
        <v>80.64</v>
      </c>
      <c r="G141">
        <f t="shared" si="47"/>
        <v>0.70399999999999996</v>
      </c>
      <c r="H141">
        <f t="shared" si="48"/>
        <v>290.30400000000003</v>
      </c>
      <c r="I141">
        <f t="shared" si="49"/>
        <v>806.40000000000009</v>
      </c>
      <c r="J141">
        <f t="shared" si="50"/>
        <v>537.59999999999991</v>
      </c>
      <c r="K141">
        <f t="shared" si="51"/>
        <v>193.53599999999997</v>
      </c>
      <c r="L141">
        <f t="shared" si="52"/>
        <v>23.466239999999999</v>
      </c>
      <c r="M141">
        <f t="shared" si="53"/>
        <v>22.150195200000002</v>
      </c>
      <c r="N141">
        <f t="shared" si="54"/>
        <v>10.402560000000001</v>
      </c>
      <c r="O141">
        <f t="shared" si="65"/>
        <v>18.241337223529417</v>
      </c>
      <c r="P141">
        <f t="shared" si="55"/>
        <v>7.2570194384449254</v>
      </c>
      <c r="Q141">
        <f t="shared" si="56"/>
        <v>67.2</v>
      </c>
      <c r="R141">
        <f t="shared" si="57"/>
        <v>1152</v>
      </c>
      <c r="S141">
        <f t="shared" si="58"/>
        <v>284.15999999999991</v>
      </c>
      <c r="T141">
        <f t="shared" si="59"/>
        <v>253.44</v>
      </c>
      <c r="U141">
        <f>I141*E141/'[1]Inverter Analysis'!$L$2</f>
        <v>695.65653417846477</v>
      </c>
      <c r="V141">
        <f t="shared" si="60"/>
        <v>148.80952380952382</v>
      </c>
      <c r="W141">
        <f t="shared" si="61"/>
        <v>281.53153153153164</v>
      </c>
      <c r="X141">
        <f t="shared" si="62"/>
        <v>99.206349206349202</v>
      </c>
      <c r="Y141">
        <f t="shared" si="63"/>
        <v>1.7437200714227754</v>
      </c>
      <c r="Z141">
        <f t="shared" si="64"/>
        <v>2.3122977512727254</v>
      </c>
    </row>
    <row r="142" spans="1:26" hidden="1">
      <c r="A142" s="8">
        <v>15</v>
      </c>
      <c r="B142" s="12">
        <v>6</v>
      </c>
      <c r="C142" s="12">
        <v>12</v>
      </c>
      <c r="D142">
        <f t="shared" si="44"/>
        <v>540</v>
      </c>
      <c r="E142">
        <f t="shared" si="45"/>
        <v>360</v>
      </c>
      <c r="F142">
        <f t="shared" si="46"/>
        <v>75.599999999999994</v>
      </c>
      <c r="G142">
        <f t="shared" si="47"/>
        <v>0.66</v>
      </c>
      <c r="H142">
        <f t="shared" si="48"/>
        <v>272.16000000000003</v>
      </c>
      <c r="I142">
        <f t="shared" si="49"/>
        <v>756</v>
      </c>
      <c r="J142">
        <f t="shared" si="50"/>
        <v>503.99999999999994</v>
      </c>
      <c r="K142">
        <f t="shared" si="51"/>
        <v>181.43999999999997</v>
      </c>
      <c r="L142">
        <f t="shared" si="52"/>
        <v>21.999599999999997</v>
      </c>
      <c r="M142">
        <f t="shared" si="53"/>
        <v>20.765808</v>
      </c>
      <c r="N142">
        <f t="shared" si="54"/>
        <v>9.7523999999999997</v>
      </c>
      <c r="O142">
        <f t="shared" si="65"/>
        <v>17.101253647058826</v>
      </c>
      <c r="P142">
        <f t="shared" si="55"/>
        <v>6.8034557235421156</v>
      </c>
      <c r="Q142">
        <f t="shared" si="56"/>
        <v>63</v>
      </c>
      <c r="R142">
        <f t="shared" si="57"/>
        <v>1080</v>
      </c>
      <c r="S142">
        <f t="shared" si="58"/>
        <v>266.39999999999992</v>
      </c>
      <c r="T142">
        <f t="shared" si="59"/>
        <v>237.60000000000002</v>
      </c>
      <c r="U142">
        <f>I142*E142/'[1]Inverter Analysis'!$L$2</f>
        <v>652.17800079231063</v>
      </c>
      <c r="V142">
        <f t="shared" si="60"/>
        <v>158.73015873015873</v>
      </c>
      <c r="W142">
        <f t="shared" si="61"/>
        <v>300.30030030030036</v>
      </c>
      <c r="X142">
        <f t="shared" si="62"/>
        <v>105.82010582010582</v>
      </c>
      <c r="Y142">
        <f t="shared" si="63"/>
        <v>1.9839659479299125</v>
      </c>
      <c r="Z142">
        <f t="shared" si="64"/>
        <v>1.9052746363636359</v>
      </c>
    </row>
    <row r="143" spans="1:26" hidden="1">
      <c r="A143" s="8">
        <v>16</v>
      </c>
      <c r="B143" s="12">
        <v>6</v>
      </c>
      <c r="C143" s="12">
        <v>11</v>
      </c>
      <c r="D143">
        <f t="shared" si="44"/>
        <v>540</v>
      </c>
      <c r="E143">
        <f t="shared" si="45"/>
        <v>360</v>
      </c>
      <c r="F143">
        <f t="shared" si="46"/>
        <v>73.92</v>
      </c>
      <c r="G143">
        <f t="shared" si="47"/>
        <v>0.64533333333333331</v>
      </c>
      <c r="H143">
        <f t="shared" si="48"/>
        <v>266.11200000000002</v>
      </c>
      <c r="I143">
        <f t="shared" si="49"/>
        <v>739.2</v>
      </c>
      <c r="J143">
        <f t="shared" si="50"/>
        <v>492.79999999999995</v>
      </c>
      <c r="K143">
        <f t="shared" si="51"/>
        <v>177.40799999999996</v>
      </c>
      <c r="L143">
        <f t="shared" si="52"/>
        <v>21.510720000000003</v>
      </c>
      <c r="M143">
        <f t="shared" si="53"/>
        <v>20.304345600000005</v>
      </c>
      <c r="N143">
        <f t="shared" si="54"/>
        <v>9.535680000000001</v>
      </c>
      <c r="O143">
        <f t="shared" si="65"/>
        <v>16.721225788235298</v>
      </c>
      <c r="P143">
        <f t="shared" si="55"/>
        <v>7.2570194384449245</v>
      </c>
      <c r="Q143">
        <f t="shared" si="56"/>
        <v>67.2</v>
      </c>
      <c r="R143">
        <f t="shared" si="57"/>
        <v>1056</v>
      </c>
      <c r="S143">
        <f t="shared" si="58"/>
        <v>260.47999999999996</v>
      </c>
      <c r="T143">
        <f t="shared" si="59"/>
        <v>232.32</v>
      </c>
      <c r="U143">
        <f>I143*E143/'[1]Inverter Analysis'!$L$2</f>
        <v>637.68515633025925</v>
      </c>
      <c r="V143">
        <f t="shared" si="60"/>
        <v>162.33766233766235</v>
      </c>
      <c r="W143">
        <f t="shared" si="61"/>
        <v>307.12530712530719</v>
      </c>
      <c r="X143">
        <f t="shared" si="62"/>
        <v>108.22510822510822</v>
      </c>
      <c r="Y143">
        <f t="shared" si="63"/>
        <v>2.0751709940899135</v>
      </c>
      <c r="Z143">
        <f t="shared" si="64"/>
        <v>1.7810580479999996</v>
      </c>
    </row>
    <row r="144" spans="1:26" hidden="1">
      <c r="A144">
        <v>14</v>
      </c>
      <c r="B144" s="12">
        <v>6</v>
      </c>
      <c r="C144" s="12">
        <v>12</v>
      </c>
      <c r="D144">
        <f t="shared" si="44"/>
        <v>540</v>
      </c>
      <c r="E144">
        <f t="shared" si="45"/>
        <v>360</v>
      </c>
      <c r="F144">
        <f t="shared" si="46"/>
        <v>70.56</v>
      </c>
      <c r="G144">
        <f t="shared" si="47"/>
        <v>0.61599999999999999</v>
      </c>
      <c r="H144">
        <f t="shared" si="48"/>
        <v>254.01599999999999</v>
      </c>
      <c r="I144">
        <f t="shared" si="49"/>
        <v>705.6</v>
      </c>
      <c r="J144">
        <f t="shared" si="50"/>
        <v>470.4</v>
      </c>
      <c r="K144">
        <f t="shared" si="51"/>
        <v>169.34399999999999</v>
      </c>
      <c r="L144">
        <f t="shared" si="52"/>
        <v>20.532959999999999</v>
      </c>
      <c r="M144">
        <f t="shared" si="53"/>
        <v>19.381420800000001</v>
      </c>
      <c r="N144">
        <f t="shared" si="54"/>
        <v>9.1022400000000001</v>
      </c>
      <c r="O144">
        <f t="shared" si="65"/>
        <v>15.961170070588237</v>
      </c>
      <c r="P144">
        <f t="shared" si="55"/>
        <v>6.3498920086393085</v>
      </c>
      <c r="Q144">
        <f t="shared" si="56"/>
        <v>58.800000000000004</v>
      </c>
      <c r="R144">
        <f t="shared" si="57"/>
        <v>1008</v>
      </c>
      <c r="S144">
        <f t="shared" si="58"/>
        <v>248.64</v>
      </c>
      <c r="T144">
        <f t="shared" si="59"/>
        <v>221.76</v>
      </c>
      <c r="U144">
        <f>I144*E144/'[1]Inverter Analysis'!$L$2</f>
        <v>608.6994674061566</v>
      </c>
      <c r="V144">
        <f t="shared" si="60"/>
        <v>170.06802721088437</v>
      </c>
      <c r="W144">
        <f t="shared" si="61"/>
        <v>321.75032175032175</v>
      </c>
      <c r="X144">
        <f t="shared" si="62"/>
        <v>113.37868480725623</v>
      </c>
      <c r="Y144">
        <f t="shared" si="63"/>
        <v>2.2775119300215825</v>
      </c>
      <c r="Z144">
        <f t="shared" si="64"/>
        <v>1.5490588450909093</v>
      </c>
    </row>
    <row r="145" spans="1:26" hidden="1">
      <c r="A145" s="8">
        <v>15</v>
      </c>
      <c r="B145" s="12">
        <v>6</v>
      </c>
      <c r="C145" s="12">
        <v>11</v>
      </c>
      <c r="D145">
        <f t="shared" si="44"/>
        <v>540</v>
      </c>
      <c r="E145">
        <f t="shared" si="45"/>
        <v>360</v>
      </c>
      <c r="F145">
        <f t="shared" si="46"/>
        <v>69.3</v>
      </c>
      <c r="G145">
        <f t="shared" si="47"/>
        <v>0.60499999999999998</v>
      </c>
      <c r="H145">
        <f t="shared" si="48"/>
        <v>249.48</v>
      </c>
      <c r="I145">
        <f t="shared" si="49"/>
        <v>693</v>
      </c>
      <c r="J145">
        <f t="shared" si="50"/>
        <v>461.99999999999994</v>
      </c>
      <c r="K145">
        <f t="shared" si="51"/>
        <v>166.31999999999996</v>
      </c>
      <c r="L145">
        <f t="shared" si="52"/>
        <v>20.1663</v>
      </c>
      <c r="M145">
        <f t="shared" si="53"/>
        <v>19.035323999999999</v>
      </c>
      <c r="N145">
        <f t="shared" si="54"/>
        <v>8.9397000000000002</v>
      </c>
      <c r="O145">
        <f t="shared" si="65"/>
        <v>15.67614917647059</v>
      </c>
      <c r="P145">
        <f t="shared" si="55"/>
        <v>6.8034557235421156</v>
      </c>
      <c r="Q145">
        <f t="shared" si="56"/>
        <v>63</v>
      </c>
      <c r="R145">
        <f t="shared" si="57"/>
        <v>990</v>
      </c>
      <c r="S145">
        <f t="shared" si="58"/>
        <v>244.19999999999996</v>
      </c>
      <c r="T145">
        <f t="shared" si="59"/>
        <v>217.79999999999998</v>
      </c>
      <c r="U145">
        <f>I145*E145/'[1]Inverter Analysis'!$L$2</f>
        <v>597.82983405961807</v>
      </c>
      <c r="V145">
        <f t="shared" si="60"/>
        <v>173.16017316017317</v>
      </c>
      <c r="W145">
        <f t="shared" si="61"/>
        <v>327.60032760032766</v>
      </c>
      <c r="X145">
        <f t="shared" si="62"/>
        <v>115.44011544011543</v>
      </c>
      <c r="Y145">
        <f t="shared" si="63"/>
        <v>2.3610834421645239</v>
      </c>
      <c r="Z145">
        <f t="shared" si="64"/>
        <v>1.4675466093749994</v>
      </c>
    </row>
    <row r="146" spans="1:26" hidden="1">
      <c r="A146" s="8">
        <v>16</v>
      </c>
      <c r="B146" s="9">
        <v>5</v>
      </c>
      <c r="C146" s="9">
        <v>12</v>
      </c>
      <c r="D146">
        <f t="shared" si="44"/>
        <v>450</v>
      </c>
      <c r="E146">
        <f t="shared" si="45"/>
        <v>300</v>
      </c>
      <c r="F146">
        <f t="shared" si="46"/>
        <v>67.2</v>
      </c>
      <c r="G146">
        <f t="shared" si="47"/>
        <v>0.84479999999999988</v>
      </c>
      <c r="H146">
        <f t="shared" si="48"/>
        <v>241.92000000000002</v>
      </c>
      <c r="I146">
        <f t="shared" si="49"/>
        <v>806.40000000000009</v>
      </c>
      <c r="J146">
        <f t="shared" si="50"/>
        <v>537.59999999999991</v>
      </c>
      <c r="K146">
        <f t="shared" si="51"/>
        <v>161.27999999999997</v>
      </c>
      <c r="L146">
        <f t="shared" si="52"/>
        <v>19.555199999999999</v>
      </c>
      <c r="M146">
        <f t="shared" si="53"/>
        <v>18.458496000000004</v>
      </c>
      <c r="N146">
        <f t="shared" si="54"/>
        <v>8.6688000000000009</v>
      </c>
      <c r="O146">
        <f t="shared" si="65"/>
        <v>15.201114352941181</v>
      </c>
      <c r="P146">
        <f t="shared" si="55"/>
        <v>6.0475161987041046</v>
      </c>
      <c r="Q146">
        <f t="shared" si="56"/>
        <v>67.2</v>
      </c>
      <c r="R146">
        <f t="shared" si="57"/>
        <v>960</v>
      </c>
      <c r="S146">
        <f t="shared" si="58"/>
        <v>284.15999999999997</v>
      </c>
      <c r="T146">
        <f t="shared" si="59"/>
        <v>253.43999999999997</v>
      </c>
      <c r="U146">
        <f>I146*E146/'[1]Inverter Analysis'!$L$2</f>
        <v>579.71377848205395</v>
      </c>
      <c r="V146">
        <f t="shared" si="60"/>
        <v>148.80952380952382</v>
      </c>
      <c r="W146">
        <f t="shared" si="61"/>
        <v>281.53153153153158</v>
      </c>
      <c r="X146">
        <f t="shared" si="62"/>
        <v>99.206349206349202</v>
      </c>
      <c r="Y146">
        <f t="shared" si="63"/>
        <v>1.7437200714227747</v>
      </c>
      <c r="Z146">
        <f t="shared" si="64"/>
        <v>1.9269147927272721</v>
      </c>
    </row>
    <row r="147" spans="1:26" hidden="1">
      <c r="A147" s="8">
        <v>16</v>
      </c>
      <c r="B147" s="12">
        <v>6</v>
      </c>
      <c r="C147" s="12">
        <v>10</v>
      </c>
      <c r="D147">
        <f t="shared" si="44"/>
        <v>540</v>
      </c>
      <c r="E147">
        <f t="shared" si="45"/>
        <v>360</v>
      </c>
      <c r="F147">
        <f t="shared" si="46"/>
        <v>67.2</v>
      </c>
      <c r="G147">
        <f t="shared" si="47"/>
        <v>0.58666666666666667</v>
      </c>
      <c r="H147">
        <f t="shared" si="48"/>
        <v>241.92</v>
      </c>
      <c r="I147">
        <f t="shared" si="49"/>
        <v>672</v>
      </c>
      <c r="J147">
        <f t="shared" si="50"/>
        <v>448</v>
      </c>
      <c r="K147">
        <f t="shared" si="51"/>
        <v>161.28</v>
      </c>
      <c r="L147">
        <f t="shared" si="52"/>
        <v>19.555199999999996</v>
      </c>
      <c r="M147">
        <f t="shared" si="53"/>
        <v>18.458496</v>
      </c>
      <c r="N147">
        <f t="shared" si="54"/>
        <v>8.6687999999999992</v>
      </c>
      <c r="O147">
        <f t="shared" si="65"/>
        <v>15.201114352941177</v>
      </c>
      <c r="P147">
        <f t="shared" si="55"/>
        <v>7.2570194384449236</v>
      </c>
      <c r="Q147">
        <f t="shared" si="56"/>
        <v>67.2</v>
      </c>
      <c r="R147">
        <f t="shared" si="57"/>
        <v>960</v>
      </c>
      <c r="S147">
        <f t="shared" si="58"/>
        <v>236.8</v>
      </c>
      <c r="T147">
        <f t="shared" si="59"/>
        <v>211.2</v>
      </c>
      <c r="U147">
        <f>I147*E147/'[1]Inverter Analysis'!$L$2</f>
        <v>579.71377848205384</v>
      </c>
      <c r="V147">
        <f t="shared" si="60"/>
        <v>178.57142857142858</v>
      </c>
      <c r="W147">
        <f t="shared" si="61"/>
        <v>337.83783783783781</v>
      </c>
      <c r="X147">
        <f t="shared" si="62"/>
        <v>119.04761904761905</v>
      </c>
      <c r="Y147">
        <f t="shared" si="63"/>
        <v>2.5109569028487941</v>
      </c>
      <c r="Z147">
        <f t="shared" si="64"/>
        <v>1.3381352727272731</v>
      </c>
    </row>
    <row r="148" spans="1:26" hidden="1">
      <c r="A148">
        <v>13</v>
      </c>
      <c r="B148" s="12">
        <v>6</v>
      </c>
      <c r="C148" s="12">
        <v>12</v>
      </c>
      <c r="D148">
        <f t="shared" si="44"/>
        <v>540</v>
      </c>
      <c r="E148">
        <f t="shared" si="45"/>
        <v>360</v>
      </c>
      <c r="F148">
        <f t="shared" si="46"/>
        <v>65.52</v>
      </c>
      <c r="G148">
        <f t="shared" si="47"/>
        <v>0.57199999999999995</v>
      </c>
      <c r="H148">
        <f t="shared" si="48"/>
        <v>235.87200000000004</v>
      </c>
      <c r="I148">
        <f t="shared" si="49"/>
        <v>655.20000000000005</v>
      </c>
      <c r="J148">
        <f t="shared" si="50"/>
        <v>436.79999999999995</v>
      </c>
      <c r="K148">
        <f t="shared" si="51"/>
        <v>157.24799999999996</v>
      </c>
      <c r="L148">
        <f t="shared" si="52"/>
        <v>19.066320000000001</v>
      </c>
      <c r="M148">
        <f t="shared" si="53"/>
        <v>17.997033600000002</v>
      </c>
      <c r="N148">
        <f t="shared" si="54"/>
        <v>8.4520800000000005</v>
      </c>
      <c r="O148">
        <f t="shared" si="65"/>
        <v>14.821086494117649</v>
      </c>
      <c r="P148">
        <f t="shared" si="55"/>
        <v>5.8963282937365014</v>
      </c>
      <c r="Q148">
        <f t="shared" si="56"/>
        <v>54.6</v>
      </c>
      <c r="R148">
        <f t="shared" si="57"/>
        <v>936</v>
      </c>
      <c r="S148">
        <f t="shared" si="58"/>
        <v>230.87999999999997</v>
      </c>
      <c r="T148">
        <f t="shared" si="59"/>
        <v>205.92</v>
      </c>
      <c r="U148">
        <f>I148*E148/'[1]Inverter Analysis'!$L$2</f>
        <v>565.22093402000257</v>
      </c>
      <c r="V148">
        <f t="shared" si="60"/>
        <v>183.15018315018318</v>
      </c>
      <c r="W148">
        <f t="shared" si="61"/>
        <v>346.50034650034655</v>
      </c>
      <c r="X148">
        <f t="shared" si="62"/>
        <v>122.10012210012209</v>
      </c>
      <c r="Y148">
        <f t="shared" si="63"/>
        <v>2.6413747827469245</v>
      </c>
      <c r="Z148">
        <f t="shared" si="64"/>
        <v>1.2402632225454542</v>
      </c>
    </row>
    <row r="149" spans="1:26" hidden="1">
      <c r="A149">
        <v>14</v>
      </c>
      <c r="B149" s="12">
        <v>6</v>
      </c>
      <c r="C149" s="12">
        <v>11</v>
      </c>
      <c r="D149">
        <f t="shared" si="44"/>
        <v>540</v>
      </c>
      <c r="E149">
        <f t="shared" si="45"/>
        <v>360</v>
      </c>
      <c r="F149">
        <f t="shared" si="46"/>
        <v>64.680000000000007</v>
      </c>
      <c r="G149">
        <f t="shared" si="47"/>
        <v>0.56466666666666665</v>
      </c>
      <c r="H149">
        <f t="shared" si="48"/>
        <v>232.84800000000004</v>
      </c>
      <c r="I149">
        <f t="shared" si="49"/>
        <v>646.80000000000007</v>
      </c>
      <c r="J149">
        <f t="shared" si="50"/>
        <v>431.2</v>
      </c>
      <c r="K149">
        <f t="shared" si="51"/>
        <v>155.232</v>
      </c>
      <c r="L149">
        <f t="shared" si="52"/>
        <v>18.82188</v>
      </c>
      <c r="M149">
        <f t="shared" si="53"/>
        <v>17.766302400000004</v>
      </c>
      <c r="N149">
        <f t="shared" si="54"/>
        <v>8.3437200000000011</v>
      </c>
      <c r="O149">
        <f t="shared" si="65"/>
        <v>14.631072564705887</v>
      </c>
      <c r="P149">
        <f t="shared" si="55"/>
        <v>6.3498920086393102</v>
      </c>
      <c r="Q149">
        <f t="shared" si="56"/>
        <v>58.800000000000004</v>
      </c>
      <c r="R149">
        <f t="shared" si="57"/>
        <v>924</v>
      </c>
      <c r="S149">
        <f t="shared" si="58"/>
        <v>227.92</v>
      </c>
      <c r="T149">
        <f t="shared" si="59"/>
        <v>203.28</v>
      </c>
      <c r="U149">
        <f>I149*E149/'[1]Inverter Analysis'!$L$2</f>
        <v>557.97451178897688</v>
      </c>
      <c r="V149">
        <f t="shared" si="60"/>
        <v>185.5287569573284</v>
      </c>
      <c r="W149">
        <f t="shared" si="61"/>
        <v>351.00035100035103</v>
      </c>
      <c r="X149">
        <f t="shared" si="62"/>
        <v>123.68583797155225</v>
      </c>
      <c r="Y149">
        <f t="shared" si="63"/>
        <v>2.7104274208521315</v>
      </c>
      <c r="Z149">
        <f t="shared" si="64"/>
        <v>1.193169747</v>
      </c>
    </row>
    <row r="150" spans="1:26" hidden="1">
      <c r="A150" s="8">
        <v>15</v>
      </c>
      <c r="B150" s="9">
        <v>5</v>
      </c>
      <c r="C150" s="9">
        <v>12</v>
      </c>
      <c r="D150">
        <f t="shared" si="44"/>
        <v>450</v>
      </c>
      <c r="E150">
        <f t="shared" si="45"/>
        <v>300</v>
      </c>
      <c r="F150">
        <f t="shared" si="46"/>
        <v>63</v>
      </c>
      <c r="G150">
        <f t="shared" si="47"/>
        <v>0.79199999999999982</v>
      </c>
      <c r="H150">
        <f t="shared" si="48"/>
        <v>226.8</v>
      </c>
      <c r="I150">
        <f t="shared" si="49"/>
        <v>756</v>
      </c>
      <c r="J150">
        <f t="shared" si="50"/>
        <v>503.99999999999994</v>
      </c>
      <c r="K150">
        <f t="shared" si="51"/>
        <v>151.19999999999996</v>
      </c>
      <c r="L150">
        <f t="shared" si="52"/>
        <v>18.332999999999998</v>
      </c>
      <c r="M150">
        <f t="shared" si="53"/>
        <v>17.304839999999999</v>
      </c>
      <c r="N150">
        <f t="shared" si="54"/>
        <v>8.1269999999999989</v>
      </c>
      <c r="O150">
        <f t="shared" si="65"/>
        <v>14.251044705882354</v>
      </c>
      <c r="P150">
        <f t="shared" si="55"/>
        <v>5.6695464362850965</v>
      </c>
      <c r="Q150">
        <f t="shared" si="56"/>
        <v>63</v>
      </c>
      <c r="R150">
        <f t="shared" si="57"/>
        <v>900</v>
      </c>
      <c r="S150">
        <f t="shared" si="58"/>
        <v>266.39999999999998</v>
      </c>
      <c r="T150">
        <f t="shared" si="59"/>
        <v>237.59999999999994</v>
      </c>
      <c r="U150">
        <f>I150*E150/'[1]Inverter Analysis'!$L$2</f>
        <v>543.4816673269255</v>
      </c>
      <c r="V150">
        <f t="shared" si="60"/>
        <v>158.73015873015873</v>
      </c>
      <c r="W150">
        <f t="shared" si="61"/>
        <v>300.30030030030031</v>
      </c>
      <c r="X150">
        <f t="shared" si="62"/>
        <v>105.82010582010582</v>
      </c>
      <c r="Y150">
        <f t="shared" si="63"/>
        <v>1.9839659479299121</v>
      </c>
      <c r="Z150">
        <f t="shared" si="64"/>
        <v>1.5877288636363636</v>
      </c>
    </row>
    <row r="151" spans="1:26" hidden="1">
      <c r="A151" s="8">
        <v>15</v>
      </c>
      <c r="B151" s="12">
        <v>6</v>
      </c>
      <c r="C151" s="12">
        <v>10</v>
      </c>
      <c r="D151">
        <f t="shared" si="44"/>
        <v>540</v>
      </c>
      <c r="E151">
        <f t="shared" si="45"/>
        <v>360</v>
      </c>
      <c r="F151">
        <f t="shared" si="46"/>
        <v>63</v>
      </c>
      <c r="G151">
        <f t="shared" si="47"/>
        <v>0.55000000000000004</v>
      </c>
      <c r="H151">
        <f t="shared" si="48"/>
        <v>226.8</v>
      </c>
      <c r="I151">
        <f t="shared" si="49"/>
        <v>630</v>
      </c>
      <c r="J151">
        <f t="shared" si="50"/>
        <v>420</v>
      </c>
      <c r="K151">
        <f t="shared" si="51"/>
        <v>151.19999999999999</v>
      </c>
      <c r="L151">
        <f t="shared" si="52"/>
        <v>18.332999999999998</v>
      </c>
      <c r="M151">
        <f t="shared" si="53"/>
        <v>17.304840000000002</v>
      </c>
      <c r="N151">
        <f t="shared" si="54"/>
        <v>8.1270000000000007</v>
      </c>
      <c r="O151">
        <f t="shared" si="65"/>
        <v>14.251044705882356</v>
      </c>
      <c r="P151">
        <f t="shared" si="55"/>
        <v>6.8034557235421165</v>
      </c>
      <c r="Q151">
        <f t="shared" si="56"/>
        <v>63</v>
      </c>
      <c r="R151">
        <f t="shared" si="57"/>
        <v>900</v>
      </c>
      <c r="S151">
        <f t="shared" si="58"/>
        <v>221.99999999999997</v>
      </c>
      <c r="T151">
        <f t="shared" si="59"/>
        <v>198.00000000000003</v>
      </c>
      <c r="U151">
        <f>I151*E151/'[1]Inverter Analysis'!$L$2</f>
        <v>543.4816673269255</v>
      </c>
      <c r="V151">
        <f t="shared" si="60"/>
        <v>190.47619047619048</v>
      </c>
      <c r="W151">
        <f t="shared" si="61"/>
        <v>360.3603603603604</v>
      </c>
      <c r="X151">
        <f t="shared" si="62"/>
        <v>126.98412698412699</v>
      </c>
      <c r="Y151">
        <f t="shared" si="63"/>
        <v>2.8569109650190736</v>
      </c>
      <c r="Z151">
        <f t="shared" si="64"/>
        <v>1.1025894886363634</v>
      </c>
    </row>
    <row r="152" spans="1:26" hidden="1">
      <c r="A152" s="8">
        <v>16</v>
      </c>
      <c r="B152" s="9">
        <v>5</v>
      </c>
      <c r="C152" s="12">
        <v>11</v>
      </c>
      <c r="D152">
        <f t="shared" si="44"/>
        <v>450</v>
      </c>
      <c r="E152">
        <f t="shared" si="45"/>
        <v>300</v>
      </c>
      <c r="F152">
        <f t="shared" si="46"/>
        <v>61.6</v>
      </c>
      <c r="G152">
        <f t="shared" si="47"/>
        <v>0.77439999999999987</v>
      </c>
      <c r="H152">
        <f t="shared" si="48"/>
        <v>221.76</v>
      </c>
      <c r="I152">
        <f t="shared" si="49"/>
        <v>739.2</v>
      </c>
      <c r="J152">
        <f t="shared" si="50"/>
        <v>492.79999999999995</v>
      </c>
      <c r="K152">
        <f t="shared" si="51"/>
        <v>147.84</v>
      </c>
      <c r="L152">
        <f t="shared" si="52"/>
        <v>17.925599999999999</v>
      </c>
      <c r="M152">
        <f t="shared" si="53"/>
        <v>16.920288000000003</v>
      </c>
      <c r="N152">
        <f t="shared" si="54"/>
        <v>7.9463999999999997</v>
      </c>
      <c r="O152">
        <f t="shared" si="65"/>
        <v>13.934354823529416</v>
      </c>
      <c r="P152">
        <f t="shared" si="55"/>
        <v>6.0475161987041028</v>
      </c>
      <c r="Q152">
        <f t="shared" si="56"/>
        <v>67.2</v>
      </c>
      <c r="R152">
        <f t="shared" si="57"/>
        <v>880</v>
      </c>
      <c r="S152">
        <f t="shared" si="58"/>
        <v>260.48</v>
      </c>
      <c r="T152">
        <f t="shared" si="59"/>
        <v>232.31999999999996</v>
      </c>
      <c r="U152">
        <f>I152*E152/'[1]Inverter Analysis'!$L$2</f>
        <v>531.40429694188276</v>
      </c>
      <c r="V152">
        <f t="shared" si="60"/>
        <v>162.33766233766235</v>
      </c>
      <c r="W152">
        <f t="shared" si="61"/>
        <v>307.12530712530713</v>
      </c>
      <c r="X152">
        <f t="shared" si="62"/>
        <v>108.22510822510822</v>
      </c>
      <c r="Y152">
        <f t="shared" si="63"/>
        <v>2.0751709940899126</v>
      </c>
      <c r="Z152">
        <f t="shared" si="64"/>
        <v>1.48421504</v>
      </c>
    </row>
    <row r="153" spans="1:26" hidden="1">
      <c r="A153">
        <v>14</v>
      </c>
      <c r="B153" s="9">
        <v>5</v>
      </c>
      <c r="C153">
        <v>12</v>
      </c>
      <c r="D153">
        <f t="shared" si="44"/>
        <v>450</v>
      </c>
      <c r="E153">
        <f t="shared" si="45"/>
        <v>300</v>
      </c>
      <c r="F153">
        <f t="shared" si="46"/>
        <v>58.8</v>
      </c>
      <c r="G153">
        <f t="shared" si="47"/>
        <v>0.73919999999999986</v>
      </c>
      <c r="H153">
        <f t="shared" si="48"/>
        <v>211.68</v>
      </c>
      <c r="I153">
        <f t="shared" si="49"/>
        <v>705.6</v>
      </c>
      <c r="J153">
        <f t="shared" si="50"/>
        <v>470.4</v>
      </c>
      <c r="K153">
        <f t="shared" si="51"/>
        <v>141.12</v>
      </c>
      <c r="L153">
        <f t="shared" si="52"/>
        <v>17.110799999999998</v>
      </c>
      <c r="M153">
        <f t="shared" si="53"/>
        <v>16.151184000000001</v>
      </c>
      <c r="N153">
        <f t="shared" si="54"/>
        <v>7.5851999999999995</v>
      </c>
      <c r="O153">
        <f t="shared" si="65"/>
        <v>13.30097505882353</v>
      </c>
      <c r="P153">
        <f t="shared" si="55"/>
        <v>5.2915766738660901</v>
      </c>
      <c r="Q153">
        <f t="shared" si="56"/>
        <v>58.800000000000004</v>
      </c>
      <c r="R153">
        <f t="shared" si="57"/>
        <v>840</v>
      </c>
      <c r="S153">
        <f t="shared" si="58"/>
        <v>248.64000000000001</v>
      </c>
      <c r="T153">
        <f t="shared" si="59"/>
        <v>221.75999999999996</v>
      </c>
      <c r="U153">
        <f>I153*E153/'[1]Inverter Analysis'!$L$2</f>
        <v>507.24955617179717</v>
      </c>
      <c r="V153">
        <f t="shared" si="60"/>
        <v>170.06802721088437</v>
      </c>
      <c r="W153">
        <f t="shared" si="61"/>
        <v>321.75032175032175</v>
      </c>
      <c r="X153">
        <f t="shared" si="62"/>
        <v>113.37868480725623</v>
      </c>
      <c r="Y153">
        <f t="shared" si="63"/>
        <v>2.2775119300215825</v>
      </c>
      <c r="Z153">
        <f t="shared" si="64"/>
        <v>1.2908823709090911</v>
      </c>
    </row>
    <row r="154" spans="1:26" hidden="1">
      <c r="A154" s="8">
        <v>15</v>
      </c>
      <c r="B154" s="9">
        <v>5</v>
      </c>
      <c r="C154" s="12">
        <v>11</v>
      </c>
      <c r="D154">
        <f t="shared" si="44"/>
        <v>450</v>
      </c>
      <c r="E154">
        <f t="shared" si="45"/>
        <v>300</v>
      </c>
      <c r="F154">
        <f t="shared" si="46"/>
        <v>57.75</v>
      </c>
      <c r="G154">
        <f t="shared" si="47"/>
        <v>0.72599999999999987</v>
      </c>
      <c r="H154">
        <f t="shared" si="48"/>
        <v>207.9</v>
      </c>
      <c r="I154">
        <f t="shared" si="49"/>
        <v>693</v>
      </c>
      <c r="J154">
        <f t="shared" si="50"/>
        <v>461.99999999999994</v>
      </c>
      <c r="K154">
        <f t="shared" si="51"/>
        <v>138.59999999999997</v>
      </c>
      <c r="L154">
        <f t="shared" si="52"/>
        <v>16.805250000000001</v>
      </c>
      <c r="M154">
        <f t="shared" si="53"/>
        <v>15.862770000000001</v>
      </c>
      <c r="N154">
        <f t="shared" si="54"/>
        <v>7.4497499999999999</v>
      </c>
      <c r="O154">
        <f t="shared" si="65"/>
        <v>13.063457647058826</v>
      </c>
      <c r="P154">
        <f t="shared" si="55"/>
        <v>5.6695464362850965</v>
      </c>
      <c r="Q154">
        <f t="shared" si="56"/>
        <v>63</v>
      </c>
      <c r="R154">
        <f t="shared" si="57"/>
        <v>825</v>
      </c>
      <c r="S154">
        <f t="shared" si="58"/>
        <v>244.2</v>
      </c>
      <c r="T154">
        <f t="shared" si="59"/>
        <v>217.79999999999995</v>
      </c>
      <c r="U154">
        <f>I154*E154/'[1]Inverter Analysis'!$L$2</f>
        <v>498.19152838301505</v>
      </c>
      <c r="V154">
        <f t="shared" si="60"/>
        <v>173.16017316017317</v>
      </c>
      <c r="W154">
        <f t="shared" si="61"/>
        <v>327.6003276003276</v>
      </c>
      <c r="X154">
        <f t="shared" si="62"/>
        <v>115.44011544011543</v>
      </c>
      <c r="Y154">
        <f t="shared" si="63"/>
        <v>2.361083442164523</v>
      </c>
      <c r="Z154">
        <f t="shared" si="64"/>
        <v>1.2229555078125001</v>
      </c>
    </row>
    <row r="155" spans="1:26" hidden="1">
      <c r="A155" s="8">
        <v>16</v>
      </c>
      <c r="B155" s="9">
        <v>5</v>
      </c>
      <c r="C155" s="12">
        <v>10</v>
      </c>
      <c r="D155">
        <f t="shared" si="44"/>
        <v>450</v>
      </c>
      <c r="E155">
        <f t="shared" si="45"/>
        <v>300</v>
      </c>
      <c r="F155">
        <f t="shared" si="46"/>
        <v>56</v>
      </c>
      <c r="G155">
        <f t="shared" si="47"/>
        <v>0.70399999999999996</v>
      </c>
      <c r="H155">
        <f t="shared" si="48"/>
        <v>201.6</v>
      </c>
      <c r="I155">
        <f t="shared" si="49"/>
        <v>672</v>
      </c>
      <c r="J155">
        <f t="shared" si="50"/>
        <v>448</v>
      </c>
      <c r="K155">
        <f t="shared" si="51"/>
        <v>134.4</v>
      </c>
      <c r="L155">
        <f t="shared" si="52"/>
        <v>16.295999999999999</v>
      </c>
      <c r="M155">
        <f t="shared" si="53"/>
        <v>15.382080000000002</v>
      </c>
      <c r="N155">
        <f t="shared" si="54"/>
        <v>7.2240000000000002</v>
      </c>
      <c r="O155">
        <f t="shared" si="65"/>
        <v>12.66759529411765</v>
      </c>
      <c r="P155">
        <f t="shared" si="55"/>
        <v>6.0475161987041037</v>
      </c>
      <c r="Q155">
        <f t="shared" si="56"/>
        <v>67.2</v>
      </c>
      <c r="R155">
        <f t="shared" si="57"/>
        <v>800</v>
      </c>
      <c r="S155">
        <f t="shared" si="58"/>
        <v>236.8</v>
      </c>
      <c r="T155">
        <f t="shared" si="59"/>
        <v>211.2</v>
      </c>
      <c r="U155">
        <f>I155*E155/'[1]Inverter Analysis'!$L$2</f>
        <v>483.09481540171157</v>
      </c>
      <c r="V155">
        <f t="shared" si="60"/>
        <v>178.57142857142858</v>
      </c>
      <c r="W155">
        <f t="shared" si="61"/>
        <v>337.83783783783781</v>
      </c>
      <c r="X155">
        <f t="shared" si="62"/>
        <v>119.04761904761905</v>
      </c>
      <c r="Y155">
        <f t="shared" si="63"/>
        <v>2.5109569028487941</v>
      </c>
      <c r="Z155">
        <f t="shared" si="64"/>
        <v>1.1151127272727277</v>
      </c>
    </row>
    <row r="156" spans="1:26" hidden="1">
      <c r="A156">
        <v>13</v>
      </c>
      <c r="B156" s="9">
        <v>5</v>
      </c>
      <c r="C156">
        <v>12</v>
      </c>
      <c r="D156">
        <f t="shared" si="44"/>
        <v>450</v>
      </c>
      <c r="E156">
        <f t="shared" si="45"/>
        <v>300</v>
      </c>
      <c r="F156">
        <f t="shared" si="46"/>
        <v>54.6</v>
      </c>
      <c r="G156">
        <f t="shared" si="47"/>
        <v>0.6863999999999999</v>
      </c>
      <c r="H156">
        <f t="shared" si="48"/>
        <v>196.56</v>
      </c>
      <c r="I156">
        <f t="shared" si="49"/>
        <v>655.20000000000005</v>
      </c>
      <c r="J156">
        <f t="shared" si="50"/>
        <v>436.79999999999995</v>
      </c>
      <c r="K156">
        <f t="shared" si="51"/>
        <v>131.04</v>
      </c>
      <c r="L156">
        <f t="shared" si="52"/>
        <v>15.888599999999999</v>
      </c>
      <c r="M156">
        <f t="shared" si="53"/>
        <v>14.997528000000003</v>
      </c>
      <c r="N156">
        <f t="shared" si="54"/>
        <v>7.0434000000000001</v>
      </c>
      <c r="O156">
        <f t="shared" si="65"/>
        <v>12.350905411764709</v>
      </c>
      <c r="P156">
        <f t="shared" si="55"/>
        <v>4.9136069114470846</v>
      </c>
      <c r="Q156">
        <f t="shared" si="56"/>
        <v>54.6</v>
      </c>
      <c r="R156">
        <f t="shared" si="57"/>
        <v>780</v>
      </c>
      <c r="S156">
        <f t="shared" si="58"/>
        <v>230.88</v>
      </c>
      <c r="T156">
        <f t="shared" si="59"/>
        <v>205.91999999999996</v>
      </c>
      <c r="U156">
        <f>I156*E156/'[1]Inverter Analysis'!$L$2</f>
        <v>471.01744501666877</v>
      </c>
      <c r="V156">
        <f t="shared" si="60"/>
        <v>183.15018315018318</v>
      </c>
      <c r="W156">
        <f t="shared" si="61"/>
        <v>346.5003465003465</v>
      </c>
      <c r="X156">
        <f t="shared" si="62"/>
        <v>122.10012210012209</v>
      </c>
      <c r="Y156">
        <f t="shared" si="63"/>
        <v>2.6413747827469236</v>
      </c>
      <c r="Z156">
        <f t="shared" si="64"/>
        <v>1.0335526854545456</v>
      </c>
    </row>
    <row r="157" spans="1:26" hidden="1">
      <c r="A157">
        <v>14</v>
      </c>
      <c r="B157" s="9">
        <v>5</v>
      </c>
      <c r="C157" s="12">
        <v>11</v>
      </c>
      <c r="D157">
        <f t="shared" si="44"/>
        <v>450</v>
      </c>
      <c r="E157">
        <f t="shared" si="45"/>
        <v>300</v>
      </c>
      <c r="F157">
        <f t="shared" si="46"/>
        <v>53.9</v>
      </c>
      <c r="G157">
        <f t="shared" si="47"/>
        <v>0.67759999999999987</v>
      </c>
      <c r="H157">
        <f t="shared" si="48"/>
        <v>194.04000000000002</v>
      </c>
      <c r="I157">
        <f t="shared" si="49"/>
        <v>646.80000000000007</v>
      </c>
      <c r="J157">
        <f t="shared" si="50"/>
        <v>431.2</v>
      </c>
      <c r="K157">
        <f t="shared" si="51"/>
        <v>129.36000000000001</v>
      </c>
      <c r="L157">
        <f t="shared" si="52"/>
        <v>15.684899999999999</v>
      </c>
      <c r="M157">
        <f t="shared" si="53"/>
        <v>14.805252000000003</v>
      </c>
      <c r="N157">
        <f t="shared" si="54"/>
        <v>6.9531000000000001</v>
      </c>
      <c r="O157">
        <f t="shared" si="65"/>
        <v>12.192560470588239</v>
      </c>
      <c r="P157">
        <f t="shared" si="55"/>
        <v>5.291576673866091</v>
      </c>
      <c r="Q157">
        <f t="shared" si="56"/>
        <v>58.800000000000004</v>
      </c>
      <c r="R157">
        <f t="shared" si="57"/>
        <v>770</v>
      </c>
      <c r="S157">
        <f t="shared" si="58"/>
        <v>227.92000000000002</v>
      </c>
      <c r="T157">
        <f t="shared" si="59"/>
        <v>203.27999999999997</v>
      </c>
      <c r="U157">
        <f>I157*E157/'[1]Inverter Analysis'!$L$2</f>
        <v>464.97875982414746</v>
      </c>
      <c r="V157">
        <f t="shared" si="60"/>
        <v>185.5287569573284</v>
      </c>
      <c r="W157">
        <f t="shared" si="61"/>
        <v>351.00035100035097</v>
      </c>
      <c r="X157">
        <f t="shared" si="62"/>
        <v>123.68583797155225</v>
      </c>
      <c r="Y157">
        <f t="shared" si="63"/>
        <v>2.7104274208521306</v>
      </c>
      <c r="Z157">
        <f t="shared" si="64"/>
        <v>0.99430812250000034</v>
      </c>
    </row>
    <row r="158" spans="1:26" hidden="1">
      <c r="A158">
        <v>16</v>
      </c>
      <c r="B158">
        <v>4</v>
      </c>
      <c r="C158">
        <v>12</v>
      </c>
      <c r="D158">
        <f t="shared" si="44"/>
        <v>360</v>
      </c>
      <c r="E158">
        <f t="shared" si="45"/>
        <v>240</v>
      </c>
      <c r="F158">
        <f t="shared" si="46"/>
        <v>53.76</v>
      </c>
      <c r="G158">
        <f t="shared" si="47"/>
        <v>1.056</v>
      </c>
      <c r="H158">
        <f t="shared" si="48"/>
        <v>193.53600000000003</v>
      </c>
      <c r="I158">
        <f t="shared" si="49"/>
        <v>806.40000000000009</v>
      </c>
      <c r="J158">
        <f t="shared" si="50"/>
        <v>537.59999999999991</v>
      </c>
      <c r="K158">
        <f t="shared" si="51"/>
        <v>129.02399999999997</v>
      </c>
      <c r="L158">
        <f t="shared" si="52"/>
        <v>15.644159999999999</v>
      </c>
      <c r="M158">
        <f t="shared" si="53"/>
        <v>14.766796800000002</v>
      </c>
      <c r="N158">
        <f t="shared" si="54"/>
        <v>6.9350400000000008</v>
      </c>
      <c r="O158">
        <f t="shared" si="65"/>
        <v>12.160891482352943</v>
      </c>
      <c r="P158">
        <f t="shared" si="55"/>
        <v>4.8380129589632839</v>
      </c>
      <c r="Q158">
        <f t="shared" si="56"/>
        <v>67.2</v>
      </c>
      <c r="R158">
        <f t="shared" si="57"/>
        <v>768</v>
      </c>
      <c r="S158">
        <f t="shared" si="58"/>
        <v>284.15999999999991</v>
      </c>
      <c r="T158">
        <f t="shared" si="59"/>
        <v>253.44</v>
      </c>
      <c r="U158">
        <f>I158*E158/'[1]Inverter Analysis'!$L$2</f>
        <v>463.7710227856432</v>
      </c>
      <c r="V158">
        <f t="shared" si="60"/>
        <v>148.80952380952382</v>
      </c>
      <c r="W158">
        <f t="shared" si="61"/>
        <v>281.53153153153164</v>
      </c>
      <c r="X158">
        <f t="shared" si="62"/>
        <v>99.206349206349202</v>
      </c>
      <c r="Y158">
        <f t="shared" si="63"/>
        <v>1.7437200714227754</v>
      </c>
      <c r="Z158">
        <f t="shared" si="64"/>
        <v>1.5415318341818172</v>
      </c>
    </row>
    <row r="159" spans="1:26" hidden="1">
      <c r="A159" s="8">
        <v>15</v>
      </c>
      <c r="B159" s="9">
        <v>5</v>
      </c>
      <c r="C159" s="12">
        <v>10</v>
      </c>
      <c r="D159">
        <f t="shared" si="44"/>
        <v>450</v>
      </c>
      <c r="E159">
        <f t="shared" si="45"/>
        <v>300</v>
      </c>
      <c r="F159">
        <f t="shared" si="46"/>
        <v>52.5</v>
      </c>
      <c r="G159">
        <f t="shared" si="47"/>
        <v>0.65999999999999992</v>
      </c>
      <c r="H159">
        <f t="shared" si="48"/>
        <v>189</v>
      </c>
      <c r="I159">
        <f t="shared" si="49"/>
        <v>630</v>
      </c>
      <c r="J159">
        <f t="shared" si="50"/>
        <v>420</v>
      </c>
      <c r="K159">
        <f t="shared" si="51"/>
        <v>126</v>
      </c>
      <c r="L159">
        <f t="shared" si="52"/>
        <v>15.2775</v>
      </c>
      <c r="M159">
        <f t="shared" si="53"/>
        <v>14.4207</v>
      </c>
      <c r="N159">
        <f t="shared" si="54"/>
        <v>6.7725</v>
      </c>
      <c r="O159">
        <f t="shared" si="65"/>
        <v>11.875870588235296</v>
      </c>
      <c r="P159">
        <f t="shared" si="55"/>
        <v>5.6695464362850974</v>
      </c>
      <c r="Q159">
        <f t="shared" si="56"/>
        <v>63</v>
      </c>
      <c r="R159">
        <f t="shared" si="57"/>
        <v>750</v>
      </c>
      <c r="S159">
        <f t="shared" si="58"/>
        <v>222.00000000000003</v>
      </c>
      <c r="T159">
        <f t="shared" si="59"/>
        <v>197.99999999999997</v>
      </c>
      <c r="U159">
        <f>I159*E159/'[1]Inverter Analysis'!$L$2</f>
        <v>452.90138943910461</v>
      </c>
      <c r="V159">
        <f t="shared" si="60"/>
        <v>190.47619047619048</v>
      </c>
      <c r="W159">
        <f t="shared" si="61"/>
        <v>360.36036036036029</v>
      </c>
      <c r="X159">
        <f t="shared" si="62"/>
        <v>126.98412698412699</v>
      </c>
      <c r="Y159">
        <f t="shared" si="63"/>
        <v>2.8569109650190718</v>
      </c>
      <c r="Z159">
        <f t="shared" si="64"/>
        <v>0.91882457386363681</v>
      </c>
    </row>
    <row r="160" spans="1:26" hidden="1">
      <c r="A160">
        <v>15</v>
      </c>
      <c r="B160">
        <v>4</v>
      </c>
      <c r="C160">
        <v>12</v>
      </c>
      <c r="D160">
        <f t="shared" si="44"/>
        <v>360</v>
      </c>
      <c r="E160">
        <f t="shared" si="45"/>
        <v>240</v>
      </c>
      <c r="F160">
        <f t="shared" si="46"/>
        <v>50.4</v>
      </c>
      <c r="G160">
        <f t="shared" si="47"/>
        <v>0.98999999999999988</v>
      </c>
      <c r="H160">
        <f t="shared" si="48"/>
        <v>181.44</v>
      </c>
      <c r="I160">
        <f t="shared" si="49"/>
        <v>756</v>
      </c>
      <c r="J160">
        <f t="shared" si="50"/>
        <v>503.99999999999994</v>
      </c>
      <c r="K160">
        <f t="shared" si="51"/>
        <v>120.95999999999998</v>
      </c>
      <c r="L160">
        <f t="shared" si="52"/>
        <v>14.666399999999999</v>
      </c>
      <c r="M160">
        <f t="shared" si="53"/>
        <v>13.843872000000001</v>
      </c>
      <c r="N160">
        <f t="shared" si="54"/>
        <v>6.5015999999999998</v>
      </c>
      <c r="O160">
        <f t="shared" si="65"/>
        <v>11.400835764705885</v>
      </c>
      <c r="P160">
        <f t="shared" si="55"/>
        <v>4.5356371490280774</v>
      </c>
      <c r="Q160">
        <f t="shared" si="56"/>
        <v>63</v>
      </c>
      <c r="R160">
        <f t="shared" si="57"/>
        <v>720</v>
      </c>
      <c r="S160">
        <f t="shared" si="58"/>
        <v>266.39999999999998</v>
      </c>
      <c r="T160">
        <f t="shared" si="59"/>
        <v>237.59999999999997</v>
      </c>
      <c r="U160">
        <f>I160*E160/'[1]Inverter Analysis'!$L$2</f>
        <v>434.78533386154038</v>
      </c>
      <c r="V160">
        <f t="shared" si="60"/>
        <v>158.73015873015873</v>
      </c>
      <c r="W160">
        <f t="shared" si="61"/>
        <v>300.30030030030031</v>
      </c>
      <c r="X160">
        <f t="shared" si="62"/>
        <v>105.82010582010582</v>
      </c>
      <c r="Y160">
        <f t="shared" si="63"/>
        <v>1.9839659479299121</v>
      </c>
      <c r="Z160">
        <f t="shared" si="64"/>
        <v>1.2701830909090908</v>
      </c>
    </row>
    <row r="161" spans="1:26" hidden="1">
      <c r="A161">
        <v>16</v>
      </c>
      <c r="B161">
        <v>4</v>
      </c>
      <c r="C161" s="12">
        <v>11</v>
      </c>
      <c r="D161">
        <f t="shared" si="44"/>
        <v>360</v>
      </c>
      <c r="E161">
        <f t="shared" si="45"/>
        <v>240</v>
      </c>
      <c r="F161">
        <f t="shared" si="46"/>
        <v>49.28</v>
      </c>
      <c r="G161">
        <f t="shared" si="47"/>
        <v>0.96799999999999997</v>
      </c>
      <c r="H161">
        <f t="shared" si="48"/>
        <v>177.40799999999999</v>
      </c>
      <c r="I161">
        <f t="shared" si="49"/>
        <v>739.2</v>
      </c>
      <c r="J161">
        <f t="shared" si="50"/>
        <v>492.79999999999995</v>
      </c>
      <c r="K161">
        <f t="shared" si="51"/>
        <v>118.27199999999999</v>
      </c>
      <c r="L161">
        <f t="shared" si="52"/>
        <v>14.340479999999999</v>
      </c>
      <c r="M161">
        <f t="shared" si="53"/>
        <v>13.536230400000003</v>
      </c>
      <c r="N161">
        <f t="shared" si="54"/>
        <v>6.3571200000000001</v>
      </c>
      <c r="O161">
        <f t="shared" si="65"/>
        <v>11.147483858823533</v>
      </c>
      <c r="P161">
        <f t="shared" si="55"/>
        <v>4.838012958963283</v>
      </c>
      <c r="Q161">
        <f t="shared" si="56"/>
        <v>67.2</v>
      </c>
      <c r="R161">
        <f t="shared" si="57"/>
        <v>704</v>
      </c>
      <c r="S161">
        <f t="shared" si="58"/>
        <v>260.47999999999996</v>
      </c>
      <c r="T161">
        <f t="shared" si="59"/>
        <v>232.32</v>
      </c>
      <c r="U161">
        <f>I161*E161/'[1]Inverter Analysis'!$L$2</f>
        <v>425.12343755350616</v>
      </c>
      <c r="V161">
        <f t="shared" si="60"/>
        <v>162.33766233766235</v>
      </c>
      <c r="W161">
        <f t="shared" si="61"/>
        <v>307.12530712530719</v>
      </c>
      <c r="X161">
        <f t="shared" si="62"/>
        <v>108.22510822510822</v>
      </c>
      <c r="Y161">
        <f t="shared" si="63"/>
        <v>2.0751709940899135</v>
      </c>
      <c r="Z161">
        <f t="shared" si="64"/>
        <v>1.1873720319999999</v>
      </c>
    </row>
    <row r="162" spans="1:26" hidden="1">
      <c r="A162">
        <v>14</v>
      </c>
      <c r="B162">
        <v>4</v>
      </c>
      <c r="C162">
        <v>12</v>
      </c>
      <c r="D162">
        <f t="shared" si="44"/>
        <v>360</v>
      </c>
      <c r="E162">
        <f t="shared" si="45"/>
        <v>240</v>
      </c>
      <c r="F162">
        <f t="shared" si="46"/>
        <v>47.04</v>
      </c>
      <c r="G162">
        <f t="shared" si="47"/>
        <v>0.92399999999999993</v>
      </c>
      <c r="H162">
        <f t="shared" si="48"/>
        <v>169.34399999999999</v>
      </c>
      <c r="I162">
        <f t="shared" si="49"/>
        <v>705.6</v>
      </c>
      <c r="J162">
        <f t="shared" si="50"/>
        <v>470.4</v>
      </c>
      <c r="K162">
        <f t="shared" si="51"/>
        <v>112.896</v>
      </c>
      <c r="L162">
        <f t="shared" si="52"/>
        <v>13.688639999999999</v>
      </c>
      <c r="M162">
        <f t="shared" si="53"/>
        <v>12.920947200000001</v>
      </c>
      <c r="N162">
        <f t="shared" si="54"/>
        <v>6.0681599999999998</v>
      </c>
      <c r="O162">
        <f t="shared" si="65"/>
        <v>10.640780047058826</v>
      </c>
      <c r="P162">
        <f t="shared" si="55"/>
        <v>4.2332613390928726</v>
      </c>
      <c r="Q162">
        <f t="shared" si="56"/>
        <v>58.800000000000004</v>
      </c>
      <c r="R162">
        <f t="shared" si="57"/>
        <v>672</v>
      </c>
      <c r="S162">
        <f t="shared" si="58"/>
        <v>248.64</v>
      </c>
      <c r="T162">
        <f t="shared" si="59"/>
        <v>221.76</v>
      </c>
      <c r="U162">
        <f>I162*E162/'[1]Inverter Analysis'!$L$2</f>
        <v>405.79964493743773</v>
      </c>
      <c r="V162">
        <f t="shared" si="60"/>
        <v>170.06802721088437</v>
      </c>
      <c r="W162">
        <f t="shared" si="61"/>
        <v>321.75032175032175</v>
      </c>
      <c r="X162">
        <f t="shared" si="62"/>
        <v>113.37868480725623</v>
      </c>
      <c r="Y162">
        <f t="shared" si="63"/>
        <v>2.2775119300215825</v>
      </c>
      <c r="Z162">
        <f t="shared" si="64"/>
        <v>1.0327058967272726</v>
      </c>
    </row>
    <row r="163" spans="1:26" hidden="1">
      <c r="A163">
        <v>15</v>
      </c>
      <c r="B163">
        <v>4</v>
      </c>
      <c r="C163" s="12">
        <v>11</v>
      </c>
      <c r="D163">
        <f t="shared" si="44"/>
        <v>360</v>
      </c>
      <c r="E163">
        <f t="shared" si="45"/>
        <v>240</v>
      </c>
      <c r="F163">
        <f t="shared" si="46"/>
        <v>46.2</v>
      </c>
      <c r="G163">
        <f t="shared" si="47"/>
        <v>0.90749999999999986</v>
      </c>
      <c r="H163">
        <f t="shared" si="48"/>
        <v>166.32</v>
      </c>
      <c r="I163">
        <f t="shared" si="49"/>
        <v>693</v>
      </c>
      <c r="J163">
        <f t="shared" si="50"/>
        <v>461.99999999999994</v>
      </c>
      <c r="K163">
        <f t="shared" si="51"/>
        <v>110.87999999999998</v>
      </c>
      <c r="L163">
        <f t="shared" si="52"/>
        <v>13.444199999999999</v>
      </c>
      <c r="M163">
        <f t="shared" si="53"/>
        <v>12.690215999999999</v>
      </c>
      <c r="N163">
        <f t="shared" si="54"/>
        <v>5.9598000000000004</v>
      </c>
      <c r="O163">
        <f t="shared" si="65"/>
        <v>10.45076611764706</v>
      </c>
      <c r="P163">
        <f t="shared" si="55"/>
        <v>4.5356371490280774</v>
      </c>
      <c r="Q163">
        <f t="shared" si="56"/>
        <v>63</v>
      </c>
      <c r="R163">
        <f t="shared" si="57"/>
        <v>660</v>
      </c>
      <c r="S163">
        <f t="shared" si="58"/>
        <v>244.2</v>
      </c>
      <c r="T163">
        <f t="shared" si="59"/>
        <v>217.79999999999995</v>
      </c>
      <c r="U163">
        <f>I163*E163/'[1]Inverter Analysis'!$L$2</f>
        <v>398.55322270641204</v>
      </c>
      <c r="V163">
        <f t="shared" si="60"/>
        <v>173.16017316017317</v>
      </c>
      <c r="W163">
        <f t="shared" si="61"/>
        <v>327.6003276003276</v>
      </c>
      <c r="X163">
        <f t="shared" si="62"/>
        <v>115.44011544011543</v>
      </c>
      <c r="Y163">
        <f t="shared" si="63"/>
        <v>2.361083442164523</v>
      </c>
      <c r="Z163">
        <f t="shared" si="64"/>
        <v>0.9783644062500001</v>
      </c>
    </row>
    <row r="164" spans="1:26" hidden="1">
      <c r="A164">
        <v>16</v>
      </c>
      <c r="B164">
        <v>4</v>
      </c>
      <c r="C164" s="12">
        <v>10</v>
      </c>
      <c r="D164">
        <f t="shared" si="44"/>
        <v>360</v>
      </c>
      <c r="E164">
        <f t="shared" si="45"/>
        <v>240</v>
      </c>
      <c r="F164">
        <f t="shared" si="46"/>
        <v>44.8</v>
      </c>
      <c r="G164">
        <f t="shared" si="47"/>
        <v>0.87999999999999989</v>
      </c>
      <c r="H164">
        <f t="shared" si="48"/>
        <v>161.28</v>
      </c>
      <c r="I164">
        <f t="shared" si="49"/>
        <v>672</v>
      </c>
      <c r="J164">
        <f t="shared" si="50"/>
        <v>448</v>
      </c>
      <c r="K164">
        <f t="shared" si="51"/>
        <v>107.52</v>
      </c>
      <c r="L164">
        <f t="shared" si="52"/>
        <v>13.036799999999999</v>
      </c>
      <c r="M164">
        <f t="shared" si="53"/>
        <v>12.305664</v>
      </c>
      <c r="N164">
        <f t="shared" si="54"/>
        <v>5.7791999999999994</v>
      </c>
      <c r="O164">
        <f t="shared" si="65"/>
        <v>10.134076235294119</v>
      </c>
      <c r="P164">
        <f t="shared" si="55"/>
        <v>4.838012958963283</v>
      </c>
      <c r="Q164">
        <f t="shared" si="56"/>
        <v>67.2</v>
      </c>
      <c r="R164">
        <f t="shared" si="57"/>
        <v>640</v>
      </c>
      <c r="S164">
        <f t="shared" si="58"/>
        <v>236.8</v>
      </c>
      <c r="T164">
        <f t="shared" si="59"/>
        <v>211.2</v>
      </c>
      <c r="U164">
        <f>I164*E164/'[1]Inverter Analysis'!$L$2</f>
        <v>386.47585232136925</v>
      </c>
      <c r="V164">
        <f t="shared" si="60"/>
        <v>178.57142857142858</v>
      </c>
      <c r="W164">
        <f t="shared" si="61"/>
        <v>337.83783783783781</v>
      </c>
      <c r="X164">
        <f t="shared" si="62"/>
        <v>119.04761904761905</v>
      </c>
      <c r="Y164">
        <f t="shared" si="63"/>
        <v>2.5109569028487941</v>
      </c>
      <c r="Z164">
        <f t="shared" si="64"/>
        <v>0.89209018181818212</v>
      </c>
    </row>
    <row r="165" spans="1:26" hidden="1">
      <c r="A165">
        <v>13</v>
      </c>
      <c r="B165">
        <v>4</v>
      </c>
      <c r="C165">
        <v>12</v>
      </c>
      <c r="D165">
        <f t="shared" si="44"/>
        <v>360</v>
      </c>
      <c r="E165">
        <f t="shared" si="45"/>
        <v>240</v>
      </c>
      <c r="F165">
        <f t="shared" si="46"/>
        <v>43.68</v>
      </c>
      <c r="G165">
        <f t="shared" si="47"/>
        <v>0.85799999999999987</v>
      </c>
      <c r="H165">
        <f t="shared" si="48"/>
        <v>157.24799999999999</v>
      </c>
      <c r="I165">
        <f t="shared" si="49"/>
        <v>655.20000000000005</v>
      </c>
      <c r="J165">
        <f t="shared" si="50"/>
        <v>436.79999999999995</v>
      </c>
      <c r="K165">
        <f t="shared" si="51"/>
        <v>104.83199999999998</v>
      </c>
      <c r="L165">
        <f t="shared" si="52"/>
        <v>12.71088</v>
      </c>
      <c r="M165">
        <f t="shared" si="53"/>
        <v>11.998022400000002</v>
      </c>
      <c r="N165">
        <f t="shared" si="54"/>
        <v>5.6347200000000006</v>
      </c>
      <c r="O165">
        <f t="shared" si="65"/>
        <v>9.8807243294117661</v>
      </c>
      <c r="P165">
        <f t="shared" si="55"/>
        <v>3.930885529157667</v>
      </c>
      <c r="Q165">
        <f t="shared" si="56"/>
        <v>54.6</v>
      </c>
      <c r="R165">
        <f t="shared" si="57"/>
        <v>624</v>
      </c>
      <c r="S165">
        <f t="shared" si="58"/>
        <v>230.88</v>
      </c>
      <c r="T165">
        <f t="shared" si="59"/>
        <v>205.91999999999996</v>
      </c>
      <c r="U165">
        <f>I165*E165/'[1]Inverter Analysis'!$L$2</f>
        <v>376.81395601333503</v>
      </c>
      <c r="V165">
        <f t="shared" si="60"/>
        <v>183.15018315018318</v>
      </c>
      <c r="W165">
        <f t="shared" si="61"/>
        <v>346.5003465003465</v>
      </c>
      <c r="X165">
        <f t="shared" si="62"/>
        <v>122.10012210012209</v>
      </c>
      <c r="Y165">
        <f t="shared" si="63"/>
        <v>2.6413747827469236</v>
      </c>
      <c r="Z165">
        <f t="shared" si="64"/>
        <v>0.82684214836363656</v>
      </c>
    </row>
    <row r="166" spans="1:26" hidden="1">
      <c r="A166">
        <v>14</v>
      </c>
      <c r="B166">
        <v>4</v>
      </c>
      <c r="C166" s="12">
        <v>11</v>
      </c>
      <c r="D166">
        <f t="shared" si="44"/>
        <v>360</v>
      </c>
      <c r="E166">
        <f t="shared" si="45"/>
        <v>240</v>
      </c>
      <c r="F166">
        <f t="shared" si="46"/>
        <v>43.12</v>
      </c>
      <c r="G166">
        <f t="shared" si="47"/>
        <v>0.84699999999999998</v>
      </c>
      <c r="H166">
        <f t="shared" si="48"/>
        <v>155.23200000000003</v>
      </c>
      <c r="I166">
        <f t="shared" si="49"/>
        <v>646.80000000000007</v>
      </c>
      <c r="J166">
        <f t="shared" si="50"/>
        <v>431.2</v>
      </c>
      <c r="K166">
        <f t="shared" si="51"/>
        <v>103.488</v>
      </c>
      <c r="L166">
        <f t="shared" si="52"/>
        <v>12.54792</v>
      </c>
      <c r="M166">
        <f t="shared" si="53"/>
        <v>11.844201600000002</v>
      </c>
      <c r="N166">
        <f t="shared" si="54"/>
        <v>5.5624800000000008</v>
      </c>
      <c r="O166">
        <f t="shared" si="65"/>
        <v>9.7540483764705908</v>
      </c>
      <c r="P166">
        <f t="shared" si="55"/>
        <v>4.2332613390928735</v>
      </c>
      <c r="Q166">
        <f t="shared" si="56"/>
        <v>58.800000000000004</v>
      </c>
      <c r="R166">
        <f t="shared" si="57"/>
        <v>616</v>
      </c>
      <c r="S166">
        <f t="shared" si="58"/>
        <v>227.92</v>
      </c>
      <c r="T166">
        <f t="shared" si="59"/>
        <v>203.28</v>
      </c>
      <c r="U166">
        <f>I166*E166/'[1]Inverter Analysis'!$L$2</f>
        <v>371.98300785931798</v>
      </c>
      <c r="V166">
        <f t="shared" si="60"/>
        <v>185.5287569573284</v>
      </c>
      <c r="W166">
        <f t="shared" si="61"/>
        <v>351.00035100035103</v>
      </c>
      <c r="X166">
        <f t="shared" si="62"/>
        <v>123.68583797155225</v>
      </c>
      <c r="Y166">
        <f t="shared" si="63"/>
        <v>2.7104274208521315</v>
      </c>
      <c r="Z166">
        <f t="shared" si="64"/>
        <v>0.79544649799999989</v>
      </c>
    </row>
    <row r="167" spans="1:26" hidden="1">
      <c r="A167">
        <v>15</v>
      </c>
      <c r="B167">
        <v>4</v>
      </c>
      <c r="C167" s="12">
        <v>10</v>
      </c>
      <c r="D167">
        <f t="shared" si="44"/>
        <v>360</v>
      </c>
      <c r="E167">
        <f t="shared" si="45"/>
        <v>240</v>
      </c>
      <c r="F167">
        <f t="shared" si="46"/>
        <v>42</v>
      </c>
      <c r="G167">
        <f t="shared" si="47"/>
        <v>0.82499999999999996</v>
      </c>
      <c r="H167">
        <f t="shared" si="48"/>
        <v>151.19999999999999</v>
      </c>
      <c r="I167">
        <f t="shared" si="49"/>
        <v>630</v>
      </c>
      <c r="J167">
        <f t="shared" si="50"/>
        <v>420</v>
      </c>
      <c r="K167">
        <f t="shared" si="51"/>
        <v>100.8</v>
      </c>
      <c r="L167">
        <f t="shared" si="52"/>
        <v>12.222</v>
      </c>
      <c r="M167">
        <f t="shared" si="53"/>
        <v>11.536560000000001</v>
      </c>
      <c r="N167">
        <f t="shared" si="54"/>
        <v>5.4180000000000001</v>
      </c>
      <c r="O167">
        <f t="shared" si="65"/>
        <v>9.5006964705882382</v>
      </c>
      <c r="P167">
        <f t="shared" si="55"/>
        <v>4.5356371490280782</v>
      </c>
      <c r="Q167">
        <f t="shared" si="56"/>
        <v>63</v>
      </c>
      <c r="R167">
        <f t="shared" si="57"/>
        <v>600</v>
      </c>
      <c r="S167">
        <f t="shared" si="58"/>
        <v>222</v>
      </c>
      <c r="T167">
        <f t="shared" si="59"/>
        <v>198</v>
      </c>
      <c r="U167">
        <f>I167*E167/'[1]Inverter Analysis'!$L$2</f>
        <v>362.32111155128365</v>
      </c>
      <c r="V167">
        <f t="shared" si="60"/>
        <v>190.47619047619048</v>
      </c>
      <c r="W167">
        <f t="shared" si="61"/>
        <v>360.36036036036035</v>
      </c>
      <c r="X167">
        <f t="shared" si="62"/>
        <v>126.98412698412699</v>
      </c>
      <c r="Y167">
        <f t="shared" si="63"/>
        <v>2.8569109650190727</v>
      </c>
      <c r="Z167">
        <f t="shared" si="64"/>
        <v>0.7350596590909092</v>
      </c>
    </row>
    <row r="168" spans="1:26" hidden="1">
      <c r="A168">
        <v>16</v>
      </c>
      <c r="B168">
        <v>3</v>
      </c>
      <c r="C168">
        <v>12</v>
      </c>
      <c r="D168">
        <f t="shared" si="44"/>
        <v>270</v>
      </c>
      <c r="E168">
        <f t="shared" si="45"/>
        <v>180</v>
      </c>
      <c r="F168">
        <f t="shared" si="46"/>
        <v>40.32</v>
      </c>
      <c r="G168">
        <f t="shared" si="47"/>
        <v>1.4079999999999999</v>
      </c>
      <c r="H168">
        <f t="shared" si="48"/>
        <v>145.15200000000002</v>
      </c>
      <c r="I168">
        <f t="shared" si="49"/>
        <v>806.40000000000009</v>
      </c>
      <c r="J168">
        <f t="shared" si="50"/>
        <v>537.59999999999991</v>
      </c>
      <c r="K168">
        <f t="shared" si="51"/>
        <v>96.767999999999986</v>
      </c>
      <c r="L168">
        <f t="shared" si="52"/>
        <v>11.73312</v>
      </c>
      <c r="M168">
        <f t="shared" si="53"/>
        <v>11.075097600000001</v>
      </c>
      <c r="N168">
        <f t="shared" si="54"/>
        <v>5.2012800000000006</v>
      </c>
      <c r="O168">
        <f t="shared" si="65"/>
        <v>9.1206686117647084</v>
      </c>
      <c r="P168">
        <f t="shared" si="55"/>
        <v>3.6285097192224627</v>
      </c>
      <c r="Q168">
        <f t="shared" si="56"/>
        <v>67.2</v>
      </c>
      <c r="R168">
        <f t="shared" si="57"/>
        <v>576</v>
      </c>
      <c r="S168">
        <f t="shared" si="58"/>
        <v>284.15999999999991</v>
      </c>
      <c r="T168">
        <f t="shared" si="59"/>
        <v>253.44</v>
      </c>
      <c r="U168">
        <f>I168*E168/'[1]Inverter Analysis'!$L$2</f>
        <v>347.82826708923238</v>
      </c>
      <c r="V168">
        <f t="shared" si="60"/>
        <v>148.80952380952382</v>
      </c>
      <c r="W168">
        <f t="shared" si="61"/>
        <v>281.53153153153164</v>
      </c>
      <c r="X168">
        <f t="shared" si="62"/>
        <v>99.206349206349202</v>
      </c>
      <c r="Y168">
        <f t="shared" si="63"/>
        <v>1.7437200714227754</v>
      </c>
      <c r="Z168">
        <f t="shared" si="64"/>
        <v>1.1561488756363627</v>
      </c>
    </row>
    <row r="169" spans="1:26">
      <c r="A169">
        <v>13</v>
      </c>
      <c r="B169" s="12">
        <v>6</v>
      </c>
      <c r="C169" s="12">
        <v>7</v>
      </c>
      <c r="D169">
        <f t="shared" si="44"/>
        <v>540</v>
      </c>
      <c r="E169">
        <f t="shared" si="45"/>
        <v>360</v>
      </c>
      <c r="F169">
        <f t="shared" si="46"/>
        <v>38.22</v>
      </c>
      <c r="G169">
        <f t="shared" si="47"/>
        <v>0.33366666666666667</v>
      </c>
      <c r="H169">
        <f t="shared" si="48"/>
        <v>137.59200000000001</v>
      </c>
      <c r="I169">
        <f t="shared" si="49"/>
        <v>382.2</v>
      </c>
      <c r="J169">
        <f t="shared" si="50"/>
        <v>254.79999999999998</v>
      </c>
      <c r="K169">
        <f t="shared" si="51"/>
        <v>91.727999999999994</v>
      </c>
      <c r="L169">
        <f t="shared" si="52"/>
        <v>11.122019999999999</v>
      </c>
      <c r="M169">
        <f t="shared" si="53"/>
        <v>10.4982696</v>
      </c>
      <c r="N169">
        <f t="shared" si="54"/>
        <v>4.9303799999999995</v>
      </c>
      <c r="O169">
        <f t="shared" si="65"/>
        <v>8.6456337882352958</v>
      </c>
      <c r="P169">
        <f t="shared" si="55"/>
        <v>5.8963282937365014</v>
      </c>
      <c r="Q169">
        <f t="shared" si="56"/>
        <v>54.6</v>
      </c>
      <c r="R169">
        <f t="shared" si="57"/>
        <v>546</v>
      </c>
      <c r="S169">
        <f t="shared" si="58"/>
        <v>134.67999999999998</v>
      </c>
      <c r="T169">
        <f t="shared" si="59"/>
        <v>120.12</v>
      </c>
      <c r="U169">
        <f>I169*E169/'[1]Inverter Analysis'!$L$2</f>
        <v>329.71221151166816</v>
      </c>
      <c r="V169">
        <f t="shared" si="60"/>
        <v>313.97174254317116</v>
      </c>
      <c r="W169">
        <f t="shared" si="61"/>
        <v>594.00059400059411</v>
      </c>
      <c r="X169">
        <f t="shared" si="62"/>
        <v>209.31449502878075</v>
      </c>
      <c r="Y169">
        <f t="shared" si="63"/>
        <v>7.7624075248072897</v>
      </c>
      <c r="Z169">
        <f t="shared" si="64"/>
        <v>0.246186507715909</v>
      </c>
    </row>
    <row r="170" spans="1:26" hidden="1">
      <c r="A170">
        <v>15</v>
      </c>
      <c r="B170">
        <v>3</v>
      </c>
      <c r="C170">
        <v>12</v>
      </c>
      <c r="D170">
        <f t="shared" si="44"/>
        <v>270</v>
      </c>
      <c r="E170">
        <f t="shared" si="45"/>
        <v>180</v>
      </c>
      <c r="F170">
        <f t="shared" si="46"/>
        <v>37.799999999999997</v>
      </c>
      <c r="G170">
        <f t="shared" si="47"/>
        <v>1.32</v>
      </c>
      <c r="H170">
        <f t="shared" si="48"/>
        <v>136.08000000000001</v>
      </c>
      <c r="I170">
        <f t="shared" si="49"/>
        <v>756</v>
      </c>
      <c r="J170">
        <f t="shared" si="50"/>
        <v>503.99999999999994</v>
      </c>
      <c r="K170">
        <f t="shared" si="51"/>
        <v>90.719999999999985</v>
      </c>
      <c r="L170">
        <f t="shared" si="52"/>
        <v>10.999799999999999</v>
      </c>
      <c r="M170">
        <f t="shared" si="53"/>
        <v>10.382904</v>
      </c>
      <c r="N170">
        <f t="shared" si="54"/>
        <v>4.8761999999999999</v>
      </c>
      <c r="O170">
        <f t="shared" si="65"/>
        <v>8.5506268235294129</v>
      </c>
      <c r="P170">
        <f t="shared" si="55"/>
        <v>3.4017278617710578</v>
      </c>
      <c r="Q170">
        <f t="shared" si="56"/>
        <v>63</v>
      </c>
      <c r="R170">
        <f t="shared" si="57"/>
        <v>540</v>
      </c>
      <c r="S170">
        <f t="shared" si="58"/>
        <v>266.39999999999992</v>
      </c>
      <c r="T170">
        <f t="shared" si="59"/>
        <v>237.60000000000002</v>
      </c>
      <c r="U170">
        <f>I170*E170/'[1]Inverter Analysis'!$L$2</f>
        <v>326.08900039615531</v>
      </c>
      <c r="V170">
        <f t="shared" si="60"/>
        <v>158.73015873015873</v>
      </c>
      <c r="W170">
        <f t="shared" si="61"/>
        <v>300.30030030030036</v>
      </c>
      <c r="X170">
        <f t="shared" si="62"/>
        <v>105.82010582010582</v>
      </c>
      <c r="Y170">
        <f t="shared" si="63"/>
        <v>1.9839659479299125</v>
      </c>
      <c r="Z170">
        <f t="shared" si="64"/>
        <v>0.95263731818181796</v>
      </c>
    </row>
    <row r="171" spans="1:26">
      <c r="A171">
        <v>10</v>
      </c>
      <c r="B171" s="12">
        <v>6</v>
      </c>
      <c r="C171" s="12">
        <v>9</v>
      </c>
      <c r="D171">
        <f t="shared" si="44"/>
        <v>540</v>
      </c>
      <c r="E171">
        <f t="shared" si="45"/>
        <v>360</v>
      </c>
      <c r="F171">
        <f t="shared" si="46"/>
        <v>37.799999999999997</v>
      </c>
      <c r="G171">
        <f t="shared" si="47"/>
        <v>0.33</v>
      </c>
      <c r="H171">
        <f t="shared" si="48"/>
        <v>136.08000000000001</v>
      </c>
      <c r="I171">
        <f t="shared" si="49"/>
        <v>378</v>
      </c>
      <c r="J171">
        <f t="shared" si="50"/>
        <v>251.99999999999997</v>
      </c>
      <c r="K171">
        <f t="shared" si="51"/>
        <v>90.719999999999985</v>
      </c>
      <c r="L171">
        <f t="shared" si="52"/>
        <v>10.999799999999999</v>
      </c>
      <c r="M171">
        <f t="shared" si="53"/>
        <v>10.382904</v>
      </c>
      <c r="N171">
        <f t="shared" si="54"/>
        <v>4.8761999999999999</v>
      </c>
      <c r="O171">
        <f t="shared" si="65"/>
        <v>8.5506268235294129</v>
      </c>
      <c r="P171">
        <f t="shared" si="55"/>
        <v>4.5356371490280774</v>
      </c>
      <c r="Q171">
        <f t="shared" si="56"/>
        <v>42</v>
      </c>
      <c r="R171">
        <f t="shared" si="57"/>
        <v>540</v>
      </c>
      <c r="S171">
        <f t="shared" si="58"/>
        <v>133.19999999999996</v>
      </c>
      <c r="T171">
        <f t="shared" si="59"/>
        <v>118.80000000000001</v>
      </c>
      <c r="U171">
        <f>I171*E171/'[1]Inverter Analysis'!$L$2</f>
        <v>326.08900039615531</v>
      </c>
      <c r="V171">
        <f t="shared" si="60"/>
        <v>317.46031746031747</v>
      </c>
      <c r="W171">
        <f t="shared" si="61"/>
        <v>600.60060060060073</v>
      </c>
      <c r="X171">
        <f t="shared" si="62"/>
        <v>211.64021164021165</v>
      </c>
      <c r="Y171">
        <f t="shared" si="63"/>
        <v>7.9358637917196502</v>
      </c>
      <c r="Z171">
        <f t="shared" si="64"/>
        <v>0.23815932954545449</v>
      </c>
    </row>
    <row r="172" spans="1:26">
      <c r="A172" s="8">
        <v>15</v>
      </c>
      <c r="B172" s="12">
        <v>6</v>
      </c>
      <c r="C172">
        <v>6</v>
      </c>
      <c r="D172">
        <f t="shared" si="44"/>
        <v>540</v>
      </c>
      <c r="E172">
        <f t="shared" si="45"/>
        <v>360</v>
      </c>
      <c r="F172">
        <f t="shared" si="46"/>
        <v>37.799999999999997</v>
      </c>
      <c r="G172">
        <f t="shared" si="47"/>
        <v>0.33</v>
      </c>
      <c r="H172">
        <f t="shared" si="48"/>
        <v>136.08000000000001</v>
      </c>
      <c r="I172">
        <f t="shared" si="49"/>
        <v>378</v>
      </c>
      <c r="J172">
        <f t="shared" si="50"/>
        <v>251.99999999999997</v>
      </c>
      <c r="K172">
        <f t="shared" si="51"/>
        <v>90.719999999999985</v>
      </c>
      <c r="L172">
        <f t="shared" si="52"/>
        <v>10.999799999999999</v>
      </c>
      <c r="M172">
        <f t="shared" si="53"/>
        <v>10.382904</v>
      </c>
      <c r="N172">
        <f t="shared" si="54"/>
        <v>4.8761999999999999</v>
      </c>
      <c r="O172">
        <f t="shared" si="65"/>
        <v>8.5506268235294129</v>
      </c>
      <c r="P172">
        <f t="shared" si="55"/>
        <v>6.8034557235421156</v>
      </c>
      <c r="Q172">
        <f t="shared" si="56"/>
        <v>63</v>
      </c>
      <c r="R172">
        <f t="shared" si="57"/>
        <v>540</v>
      </c>
      <c r="S172">
        <f t="shared" si="58"/>
        <v>133.19999999999996</v>
      </c>
      <c r="T172">
        <f t="shared" si="59"/>
        <v>118.80000000000001</v>
      </c>
      <c r="U172">
        <f>I172*E172/'[1]Inverter Analysis'!$L$2</f>
        <v>326.08900039615531</v>
      </c>
      <c r="V172">
        <f t="shared" si="60"/>
        <v>317.46031746031747</v>
      </c>
      <c r="W172">
        <f t="shared" si="61"/>
        <v>600.60060060060073</v>
      </c>
      <c r="X172">
        <f t="shared" si="62"/>
        <v>211.64021164021165</v>
      </c>
      <c r="Y172">
        <f t="shared" si="63"/>
        <v>7.9358637917196502</v>
      </c>
      <c r="Z172">
        <f t="shared" si="64"/>
        <v>0.23815932954545449</v>
      </c>
    </row>
    <row r="173" spans="1:26" hidden="1">
      <c r="A173">
        <v>16</v>
      </c>
      <c r="B173">
        <v>3</v>
      </c>
      <c r="C173" s="12">
        <v>11</v>
      </c>
      <c r="D173">
        <f t="shared" si="44"/>
        <v>270</v>
      </c>
      <c r="E173">
        <f t="shared" si="45"/>
        <v>180</v>
      </c>
      <c r="F173">
        <f t="shared" si="46"/>
        <v>36.96</v>
      </c>
      <c r="G173">
        <f t="shared" si="47"/>
        <v>1.2906666666666666</v>
      </c>
      <c r="H173">
        <f t="shared" si="48"/>
        <v>133.05600000000001</v>
      </c>
      <c r="I173">
        <f t="shared" si="49"/>
        <v>739.2</v>
      </c>
      <c r="J173">
        <f t="shared" si="50"/>
        <v>492.79999999999995</v>
      </c>
      <c r="K173">
        <f t="shared" si="51"/>
        <v>88.703999999999979</v>
      </c>
      <c r="L173">
        <f t="shared" si="52"/>
        <v>10.755360000000001</v>
      </c>
      <c r="M173">
        <f t="shared" si="53"/>
        <v>10.152172800000002</v>
      </c>
      <c r="N173">
        <f t="shared" si="54"/>
        <v>4.7678400000000005</v>
      </c>
      <c r="O173">
        <f t="shared" si="65"/>
        <v>8.360612894117649</v>
      </c>
      <c r="P173">
        <f t="shared" si="55"/>
        <v>3.6285097192224622</v>
      </c>
      <c r="Q173">
        <f t="shared" si="56"/>
        <v>67.2</v>
      </c>
      <c r="R173">
        <f t="shared" si="57"/>
        <v>528</v>
      </c>
      <c r="S173">
        <f t="shared" si="58"/>
        <v>260.47999999999996</v>
      </c>
      <c r="T173">
        <f t="shared" si="59"/>
        <v>232.32</v>
      </c>
      <c r="U173">
        <f>I173*E173/'[1]Inverter Analysis'!$L$2</f>
        <v>318.84257816512962</v>
      </c>
      <c r="V173">
        <f t="shared" si="60"/>
        <v>162.33766233766235</v>
      </c>
      <c r="W173">
        <f t="shared" si="61"/>
        <v>307.12530712530719</v>
      </c>
      <c r="X173">
        <f t="shared" si="62"/>
        <v>108.22510822510822</v>
      </c>
      <c r="Y173">
        <f t="shared" si="63"/>
        <v>2.0751709940899135</v>
      </c>
      <c r="Z173">
        <f t="shared" si="64"/>
        <v>0.89052902399999978</v>
      </c>
    </row>
    <row r="174" spans="1:26">
      <c r="A174">
        <v>11</v>
      </c>
      <c r="B174" s="12">
        <v>6</v>
      </c>
      <c r="C174" s="12">
        <v>8</v>
      </c>
      <c r="D174">
        <f t="shared" si="44"/>
        <v>540</v>
      </c>
      <c r="E174">
        <f t="shared" si="45"/>
        <v>360</v>
      </c>
      <c r="F174">
        <f t="shared" si="46"/>
        <v>36.96</v>
      </c>
      <c r="G174">
        <f t="shared" si="47"/>
        <v>0.32266666666666666</v>
      </c>
      <c r="H174">
        <f t="shared" si="48"/>
        <v>133.05600000000001</v>
      </c>
      <c r="I174">
        <f t="shared" si="49"/>
        <v>369.6</v>
      </c>
      <c r="J174">
        <f t="shared" si="50"/>
        <v>246.39999999999998</v>
      </c>
      <c r="K174">
        <f t="shared" si="51"/>
        <v>88.703999999999979</v>
      </c>
      <c r="L174">
        <f t="shared" si="52"/>
        <v>10.755360000000001</v>
      </c>
      <c r="M174">
        <f t="shared" si="53"/>
        <v>10.152172800000002</v>
      </c>
      <c r="N174">
        <f t="shared" si="54"/>
        <v>4.7678400000000005</v>
      </c>
      <c r="O174">
        <f t="shared" si="65"/>
        <v>8.360612894117649</v>
      </c>
      <c r="P174">
        <f t="shared" si="55"/>
        <v>4.9892008639308854</v>
      </c>
      <c r="Q174">
        <f t="shared" si="56"/>
        <v>46.2</v>
      </c>
      <c r="R174">
        <f t="shared" si="57"/>
        <v>528</v>
      </c>
      <c r="S174">
        <f t="shared" si="58"/>
        <v>130.23999999999998</v>
      </c>
      <c r="T174">
        <f t="shared" si="59"/>
        <v>116.16</v>
      </c>
      <c r="U174">
        <f>I174*E174/'[1]Inverter Analysis'!$L$2</f>
        <v>318.84257816512962</v>
      </c>
      <c r="V174">
        <f t="shared" si="60"/>
        <v>324.6753246753247</v>
      </c>
      <c r="W174">
        <f t="shared" si="61"/>
        <v>614.25061425061438</v>
      </c>
      <c r="X174">
        <f t="shared" si="62"/>
        <v>216.45021645021643</v>
      </c>
      <c r="Y174">
        <f t="shared" si="63"/>
        <v>8.3006839763596538</v>
      </c>
      <c r="Z174">
        <f t="shared" si="64"/>
        <v>0.22263225599999995</v>
      </c>
    </row>
    <row r="175" spans="1:26" hidden="1">
      <c r="A175">
        <v>14</v>
      </c>
      <c r="B175">
        <v>3</v>
      </c>
      <c r="C175">
        <v>12</v>
      </c>
      <c r="D175">
        <f t="shared" si="44"/>
        <v>270</v>
      </c>
      <c r="E175">
        <f t="shared" si="45"/>
        <v>180</v>
      </c>
      <c r="F175">
        <f t="shared" si="46"/>
        <v>35.28</v>
      </c>
      <c r="G175">
        <f t="shared" si="47"/>
        <v>1.232</v>
      </c>
      <c r="H175">
        <f t="shared" si="48"/>
        <v>127.008</v>
      </c>
      <c r="I175">
        <f t="shared" si="49"/>
        <v>705.6</v>
      </c>
      <c r="J175">
        <f t="shared" si="50"/>
        <v>470.4</v>
      </c>
      <c r="K175">
        <f t="shared" si="51"/>
        <v>84.671999999999997</v>
      </c>
      <c r="L175">
        <f t="shared" si="52"/>
        <v>10.26648</v>
      </c>
      <c r="M175">
        <f t="shared" si="53"/>
        <v>9.6907104000000004</v>
      </c>
      <c r="N175">
        <f t="shared" si="54"/>
        <v>4.5511200000000001</v>
      </c>
      <c r="O175">
        <f t="shared" si="65"/>
        <v>7.9805850352941183</v>
      </c>
      <c r="P175">
        <f t="shared" si="55"/>
        <v>3.1749460043196542</v>
      </c>
      <c r="Q175">
        <f t="shared" si="56"/>
        <v>58.800000000000004</v>
      </c>
      <c r="R175">
        <f t="shared" si="57"/>
        <v>504</v>
      </c>
      <c r="S175">
        <f t="shared" si="58"/>
        <v>248.64</v>
      </c>
      <c r="T175">
        <f t="shared" si="59"/>
        <v>221.76</v>
      </c>
      <c r="U175">
        <f>I175*E175/'[1]Inverter Analysis'!$L$2</f>
        <v>304.3497337030783</v>
      </c>
      <c r="V175">
        <f t="shared" si="60"/>
        <v>170.06802721088437</v>
      </c>
      <c r="W175">
        <f t="shared" si="61"/>
        <v>321.75032175032175</v>
      </c>
      <c r="X175">
        <f t="shared" si="62"/>
        <v>113.37868480725623</v>
      </c>
      <c r="Y175">
        <f t="shared" si="63"/>
        <v>2.2775119300215825</v>
      </c>
      <c r="Z175">
        <f t="shared" si="64"/>
        <v>0.77452942254545465</v>
      </c>
    </row>
    <row r="176" spans="1:26">
      <c r="A176">
        <v>12</v>
      </c>
      <c r="B176" s="12">
        <v>6</v>
      </c>
      <c r="C176" s="12">
        <v>7</v>
      </c>
      <c r="D176">
        <f t="shared" si="44"/>
        <v>540</v>
      </c>
      <c r="E176">
        <f t="shared" si="45"/>
        <v>360</v>
      </c>
      <c r="F176">
        <f t="shared" si="46"/>
        <v>35.28</v>
      </c>
      <c r="G176">
        <f t="shared" si="47"/>
        <v>0.308</v>
      </c>
      <c r="H176">
        <f t="shared" si="48"/>
        <v>127.008</v>
      </c>
      <c r="I176">
        <f t="shared" si="49"/>
        <v>352.8</v>
      </c>
      <c r="J176">
        <f t="shared" si="50"/>
        <v>235.2</v>
      </c>
      <c r="K176">
        <f t="shared" si="51"/>
        <v>84.671999999999997</v>
      </c>
      <c r="L176">
        <f t="shared" si="52"/>
        <v>10.26648</v>
      </c>
      <c r="M176">
        <f t="shared" si="53"/>
        <v>9.6907104000000004</v>
      </c>
      <c r="N176">
        <f t="shared" si="54"/>
        <v>4.5511200000000001</v>
      </c>
      <c r="O176">
        <f t="shared" si="65"/>
        <v>7.9805850352941183</v>
      </c>
      <c r="P176">
        <f t="shared" si="55"/>
        <v>5.4427645788336934</v>
      </c>
      <c r="Q176">
        <f t="shared" si="56"/>
        <v>50.4</v>
      </c>
      <c r="R176">
        <f t="shared" si="57"/>
        <v>504</v>
      </c>
      <c r="S176">
        <f t="shared" si="58"/>
        <v>124.32</v>
      </c>
      <c r="T176">
        <f t="shared" si="59"/>
        <v>110.88</v>
      </c>
      <c r="U176">
        <f>I176*E176/'[1]Inverter Analysis'!$L$2</f>
        <v>304.3497337030783</v>
      </c>
      <c r="V176">
        <f t="shared" si="60"/>
        <v>340.13605442176873</v>
      </c>
      <c r="W176">
        <f t="shared" si="61"/>
        <v>643.50064350064349</v>
      </c>
      <c r="X176">
        <f t="shared" si="62"/>
        <v>226.75736961451247</v>
      </c>
      <c r="Y176">
        <f t="shared" si="63"/>
        <v>9.1100477200863299</v>
      </c>
      <c r="Z176">
        <f t="shared" si="64"/>
        <v>0.19363235563636366</v>
      </c>
    </row>
    <row r="177" spans="1:26">
      <c r="A177">
        <v>14</v>
      </c>
      <c r="B177" s="12">
        <v>6</v>
      </c>
      <c r="C177">
        <v>6</v>
      </c>
      <c r="D177">
        <f t="shared" si="44"/>
        <v>540</v>
      </c>
      <c r="E177">
        <f t="shared" si="45"/>
        <v>360</v>
      </c>
      <c r="F177">
        <f t="shared" si="46"/>
        <v>35.28</v>
      </c>
      <c r="G177">
        <f t="shared" si="47"/>
        <v>0.308</v>
      </c>
      <c r="H177">
        <f t="shared" si="48"/>
        <v>127.008</v>
      </c>
      <c r="I177">
        <f t="shared" si="49"/>
        <v>352.8</v>
      </c>
      <c r="J177">
        <f t="shared" si="50"/>
        <v>235.2</v>
      </c>
      <c r="K177">
        <f t="shared" si="51"/>
        <v>84.671999999999997</v>
      </c>
      <c r="L177">
        <f t="shared" si="52"/>
        <v>10.26648</v>
      </c>
      <c r="M177">
        <f t="shared" si="53"/>
        <v>9.6907104000000004</v>
      </c>
      <c r="N177">
        <f t="shared" si="54"/>
        <v>4.5511200000000001</v>
      </c>
      <c r="O177">
        <f t="shared" si="65"/>
        <v>7.9805850352941183</v>
      </c>
      <c r="P177">
        <f t="shared" si="55"/>
        <v>6.3498920086393085</v>
      </c>
      <c r="Q177">
        <f t="shared" si="56"/>
        <v>58.800000000000004</v>
      </c>
      <c r="R177">
        <f t="shared" si="57"/>
        <v>504</v>
      </c>
      <c r="S177">
        <f t="shared" si="58"/>
        <v>124.32</v>
      </c>
      <c r="T177">
        <f t="shared" si="59"/>
        <v>110.88</v>
      </c>
      <c r="U177">
        <f>I177*E177/'[1]Inverter Analysis'!$L$2</f>
        <v>304.3497337030783</v>
      </c>
      <c r="V177">
        <f t="shared" si="60"/>
        <v>340.13605442176873</v>
      </c>
      <c r="W177">
        <f t="shared" si="61"/>
        <v>643.50064350064349</v>
      </c>
      <c r="X177">
        <f t="shared" si="62"/>
        <v>226.75736961451247</v>
      </c>
      <c r="Y177">
        <f t="shared" si="63"/>
        <v>9.1100477200863299</v>
      </c>
      <c r="Z177">
        <f t="shared" si="64"/>
        <v>0.19363235563636366</v>
      </c>
    </row>
    <row r="178" spans="1:26" hidden="1">
      <c r="A178">
        <v>15</v>
      </c>
      <c r="B178">
        <v>3</v>
      </c>
      <c r="C178" s="12">
        <v>11</v>
      </c>
      <c r="D178">
        <f t="shared" si="44"/>
        <v>270</v>
      </c>
      <c r="E178">
        <f t="shared" si="45"/>
        <v>180</v>
      </c>
      <c r="F178">
        <f t="shared" si="46"/>
        <v>34.65</v>
      </c>
      <c r="G178">
        <f t="shared" si="47"/>
        <v>1.21</v>
      </c>
      <c r="H178">
        <f t="shared" si="48"/>
        <v>124.74</v>
      </c>
      <c r="I178">
        <f t="shared" si="49"/>
        <v>693</v>
      </c>
      <c r="J178">
        <f t="shared" si="50"/>
        <v>461.99999999999994</v>
      </c>
      <c r="K178">
        <f t="shared" si="51"/>
        <v>83.159999999999982</v>
      </c>
      <c r="L178">
        <f t="shared" si="52"/>
        <v>10.08315</v>
      </c>
      <c r="M178">
        <f t="shared" si="53"/>
        <v>9.5176619999999996</v>
      </c>
      <c r="N178">
        <f t="shared" si="54"/>
        <v>4.4698500000000001</v>
      </c>
      <c r="O178">
        <f t="shared" si="65"/>
        <v>7.8380745882352949</v>
      </c>
      <c r="P178">
        <f t="shared" si="55"/>
        <v>3.4017278617710578</v>
      </c>
      <c r="Q178">
        <f t="shared" si="56"/>
        <v>63</v>
      </c>
      <c r="R178">
        <f t="shared" si="57"/>
        <v>495</v>
      </c>
      <c r="S178">
        <f t="shared" si="58"/>
        <v>244.19999999999996</v>
      </c>
      <c r="T178">
        <f t="shared" si="59"/>
        <v>217.79999999999998</v>
      </c>
      <c r="U178">
        <f>I178*E178/'[1]Inverter Analysis'!$L$2</f>
        <v>298.91491702980903</v>
      </c>
      <c r="V178">
        <f t="shared" si="60"/>
        <v>173.16017316017317</v>
      </c>
      <c r="W178">
        <f t="shared" si="61"/>
        <v>327.60032760032766</v>
      </c>
      <c r="X178">
        <f t="shared" si="62"/>
        <v>115.44011544011543</v>
      </c>
      <c r="Y178">
        <f t="shared" si="63"/>
        <v>2.3610834421645239</v>
      </c>
      <c r="Z178">
        <f t="shared" si="64"/>
        <v>0.73377330468749968</v>
      </c>
    </row>
    <row r="179" spans="1:26" hidden="1">
      <c r="A179">
        <v>16</v>
      </c>
      <c r="B179">
        <v>3</v>
      </c>
      <c r="C179" s="12">
        <v>10</v>
      </c>
      <c r="D179">
        <f t="shared" si="44"/>
        <v>270</v>
      </c>
      <c r="E179">
        <f t="shared" si="45"/>
        <v>180</v>
      </c>
      <c r="F179">
        <f t="shared" si="46"/>
        <v>33.6</v>
      </c>
      <c r="G179">
        <f t="shared" si="47"/>
        <v>1.1733333333333333</v>
      </c>
      <c r="H179">
        <f t="shared" si="48"/>
        <v>120.96</v>
      </c>
      <c r="I179">
        <f t="shared" si="49"/>
        <v>672</v>
      </c>
      <c r="J179">
        <f t="shared" si="50"/>
        <v>448</v>
      </c>
      <c r="K179">
        <f t="shared" si="51"/>
        <v>80.64</v>
      </c>
      <c r="L179">
        <f t="shared" si="52"/>
        <v>9.7775999999999978</v>
      </c>
      <c r="M179">
        <f t="shared" si="53"/>
        <v>9.2292480000000001</v>
      </c>
      <c r="N179">
        <f t="shared" si="54"/>
        <v>4.3343999999999996</v>
      </c>
      <c r="O179">
        <f t="shared" si="65"/>
        <v>7.6005571764705886</v>
      </c>
      <c r="P179">
        <f t="shared" si="55"/>
        <v>3.6285097192224618</v>
      </c>
      <c r="Q179">
        <f t="shared" si="56"/>
        <v>67.2</v>
      </c>
      <c r="R179">
        <f t="shared" si="57"/>
        <v>480</v>
      </c>
      <c r="S179">
        <f t="shared" si="58"/>
        <v>236.8</v>
      </c>
      <c r="T179">
        <f t="shared" si="59"/>
        <v>211.2</v>
      </c>
      <c r="U179">
        <f>I179*E179/'[1]Inverter Analysis'!$L$2</f>
        <v>289.85688924102692</v>
      </c>
      <c r="V179">
        <f t="shared" si="60"/>
        <v>178.57142857142858</v>
      </c>
      <c r="W179">
        <f t="shared" si="61"/>
        <v>337.83783783783781</v>
      </c>
      <c r="X179">
        <f t="shared" si="62"/>
        <v>119.04761904761905</v>
      </c>
      <c r="Y179">
        <f t="shared" si="63"/>
        <v>2.5109569028487941</v>
      </c>
      <c r="Z179">
        <f t="shared" si="64"/>
        <v>0.66906763636363653</v>
      </c>
    </row>
    <row r="180" spans="1:26" hidden="1">
      <c r="A180">
        <v>10</v>
      </c>
      <c r="B180" s="12">
        <v>6</v>
      </c>
      <c r="C180" s="12">
        <v>8</v>
      </c>
      <c r="D180">
        <f t="shared" si="44"/>
        <v>540</v>
      </c>
      <c r="E180">
        <f t="shared" si="45"/>
        <v>360</v>
      </c>
      <c r="F180">
        <f t="shared" si="46"/>
        <v>33.6</v>
      </c>
      <c r="G180">
        <f t="shared" si="47"/>
        <v>0.29333333333333333</v>
      </c>
      <c r="H180">
        <f t="shared" si="48"/>
        <v>120.96</v>
      </c>
      <c r="I180">
        <f t="shared" si="49"/>
        <v>336</v>
      </c>
      <c r="J180">
        <f t="shared" si="50"/>
        <v>224</v>
      </c>
      <c r="K180">
        <f t="shared" si="51"/>
        <v>80.64</v>
      </c>
      <c r="L180">
        <f t="shared" si="52"/>
        <v>9.7775999999999978</v>
      </c>
      <c r="M180">
        <f t="shared" si="53"/>
        <v>9.2292480000000001</v>
      </c>
      <c r="N180">
        <f t="shared" si="54"/>
        <v>4.3343999999999996</v>
      </c>
      <c r="O180">
        <f t="shared" si="65"/>
        <v>7.6005571764705886</v>
      </c>
      <c r="P180">
        <f t="shared" si="55"/>
        <v>4.5356371490280774</v>
      </c>
      <c r="Q180">
        <f t="shared" si="56"/>
        <v>42</v>
      </c>
      <c r="R180">
        <f t="shared" si="57"/>
        <v>480</v>
      </c>
      <c r="S180">
        <f t="shared" si="58"/>
        <v>118.4</v>
      </c>
      <c r="T180">
        <f t="shared" si="59"/>
        <v>105.6</v>
      </c>
      <c r="U180">
        <f>I180*E180/'[1]Inverter Analysis'!$L$2</f>
        <v>289.85688924102692</v>
      </c>
      <c r="V180">
        <f t="shared" si="60"/>
        <v>357.14285714285717</v>
      </c>
      <c r="W180">
        <f t="shared" si="61"/>
        <v>675.67567567567562</v>
      </c>
      <c r="X180">
        <f t="shared" si="62"/>
        <v>238.0952380952381</v>
      </c>
      <c r="Y180">
        <f t="shared" si="63"/>
        <v>10.043827611395177</v>
      </c>
      <c r="Z180">
        <f t="shared" si="64"/>
        <v>0.16726690909090913</v>
      </c>
    </row>
    <row r="181" spans="1:26" hidden="1">
      <c r="A181">
        <v>13</v>
      </c>
      <c r="B181">
        <v>3</v>
      </c>
      <c r="C181">
        <v>12</v>
      </c>
      <c r="D181">
        <f t="shared" si="44"/>
        <v>270</v>
      </c>
      <c r="E181">
        <f t="shared" si="45"/>
        <v>180</v>
      </c>
      <c r="F181">
        <f t="shared" si="46"/>
        <v>32.76</v>
      </c>
      <c r="G181">
        <f t="shared" si="47"/>
        <v>1.1439999999999999</v>
      </c>
      <c r="H181">
        <f t="shared" si="48"/>
        <v>117.93600000000002</v>
      </c>
      <c r="I181">
        <f t="shared" si="49"/>
        <v>655.20000000000005</v>
      </c>
      <c r="J181">
        <f t="shared" si="50"/>
        <v>436.79999999999995</v>
      </c>
      <c r="K181">
        <f t="shared" si="51"/>
        <v>78.623999999999981</v>
      </c>
      <c r="L181">
        <f t="shared" si="52"/>
        <v>9.5331600000000005</v>
      </c>
      <c r="M181">
        <f t="shared" si="53"/>
        <v>8.9985168000000009</v>
      </c>
      <c r="N181">
        <f t="shared" si="54"/>
        <v>4.2260400000000002</v>
      </c>
      <c r="O181">
        <f t="shared" si="65"/>
        <v>7.4105432470588246</v>
      </c>
      <c r="P181">
        <f t="shared" si="55"/>
        <v>2.9481641468682507</v>
      </c>
      <c r="Q181">
        <f t="shared" si="56"/>
        <v>54.6</v>
      </c>
      <c r="R181">
        <f t="shared" si="57"/>
        <v>468</v>
      </c>
      <c r="S181">
        <f t="shared" si="58"/>
        <v>230.87999999999997</v>
      </c>
      <c r="T181">
        <f t="shared" si="59"/>
        <v>205.92</v>
      </c>
      <c r="U181">
        <f>I181*E181/'[1]Inverter Analysis'!$L$2</f>
        <v>282.61046701000129</v>
      </c>
      <c r="V181">
        <f t="shared" si="60"/>
        <v>183.15018315018318</v>
      </c>
      <c r="W181">
        <f t="shared" si="61"/>
        <v>346.50034650034655</v>
      </c>
      <c r="X181">
        <f t="shared" si="62"/>
        <v>122.10012210012209</v>
      </c>
      <c r="Y181">
        <f t="shared" si="63"/>
        <v>2.6413747827469245</v>
      </c>
      <c r="Z181">
        <f t="shared" si="64"/>
        <v>0.62013161127272709</v>
      </c>
    </row>
    <row r="182" spans="1:26" hidden="1">
      <c r="A182">
        <v>13</v>
      </c>
      <c r="B182" s="12">
        <v>6</v>
      </c>
      <c r="C182">
        <v>6</v>
      </c>
      <c r="D182">
        <f t="shared" si="44"/>
        <v>540</v>
      </c>
      <c r="E182">
        <f t="shared" si="45"/>
        <v>360</v>
      </c>
      <c r="F182">
        <f t="shared" si="46"/>
        <v>32.76</v>
      </c>
      <c r="G182">
        <f t="shared" si="47"/>
        <v>0.28599999999999998</v>
      </c>
      <c r="H182">
        <f t="shared" si="48"/>
        <v>117.93600000000002</v>
      </c>
      <c r="I182">
        <f t="shared" si="49"/>
        <v>327.60000000000002</v>
      </c>
      <c r="J182">
        <f t="shared" si="50"/>
        <v>218.39999999999998</v>
      </c>
      <c r="K182">
        <f t="shared" si="51"/>
        <v>78.623999999999981</v>
      </c>
      <c r="L182">
        <f t="shared" si="52"/>
        <v>9.5331600000000005</v>
      </c>
      <c r="M182">
        <f t="shared" si="53"/>
        <v>8.9985168000000009</v>
      </c>
      <c r="N182">
        <f t="shared" si="54"/>
        <v>4.2260400000000002</v>
      </c>
      <c r="O182">
        <f t="shared" si="65"/>
        <v>7.4105432470588246</v>
      </c>
      <c r="P182">
        <f t="shared" si="55"/>
        <v>5.8963282937365014</v>
      </c>
      <c r="Q182">
        <f t="shared" si="56"/>
        <v>54.6</v>
      </c>
      <c r="R182">
        <f t="shared" si="57"/>
        <v>468</v>
      </c>
      <c r="S182">
        <f t="shared" si="58"/>
        <v>115.43999999999998</v>
      </c>
      <c r="T182">
        <f t="shared" si="59"/>
        <v>102.96</v>
      </c>
      <c r="U182">
        <f>I182*E182/'[1]Inverter Analysis'!$L$2</f>
        <v>282.61046701000129</v>
      </c>
      <c r="V182">
        <f t="shared" si="60"/>
        <v>366.30036630036636</v>
      </c>
      <c r="W182">
        <f t="shared" si="61"/>
        <v>693.0006930006931</v>
      </c>
      <c r="X182">
        <f t="shared" si="62"/>
        <v>244.20024420024419</v>
      </c>
      <c r="Y182">
        <f t="shared" si="63"/>
        <v>10.565499130987698</v>
      </c>
      <c r="Z182">
        <f t="shared" si="64"/>
        <v>0.15503290281818177</v>
      </c>
    </row>
    <row r="183" spans="1:26" hidden="1">
      <c r="A183">
        <v>14</v>
      </c>
      <c r="B183">
        <v>3</v>
      </c>
      <c r="C183" s="12">
        <v>11</v>
      </c>
      <c r="D183">
        <f t="shared" si="44"/>
        <v>270</v>
      </c>
      <c r="E183">
        <f t="shared" si="45"/>
        <v>180</v>
      </c>
      <c r="F183">
        <f t="shared" si="46"/>
        <v>32.340000000000003</v>
      </c>
      <c r="G183">
        <f t="shared" si="47"/>
        <v>1.1293333333333333</v>
      </c>
      <c r="H183">
        <f t="shared" si="48"/>
        <v>116.42400000000002</v>
      </c>
      <c r="I183">
        <f t="shared" si="49"/>
        <v>646.80000000000007</v>
      </c>
      <c r="J183">
        <f t="shared" si="50"/>
        <v>431.2</v>
      </c>
      <c r="K183">
        <f t="shared" si="51"/>
        <v>77.616</v>
      </c>
      <c r="L183">
        <f t="shared" si="52"/>
        <v>9.4109400000000001</v>
      </c>
      <c r="M183">
        <f t="shared" si="53"/>
        <v>8.8831512000000021</v>
      </c>
      <c r="N183">
        <f t="shared" si="54"/>
        <v>4.1718600000000006</v>
      </c>
      <c r="O183">
        <f t="shared" si="65"/>
        <v>7.3155362823529435</v>
      </c>
      <c r="P183">
        <f t="shared" si="55"/>
        <v>3.1749460043196551</v>
      </c>
      <c r="Q183">
        <f t="shared" si="56"/>
        <v>58.800000000000004</v>
      </c>
      <c r="R183">
        <f t="shared" si="57"/>
        <v>462</v>
      </c>
      <c r="S183">
        <f t="shared" si="58"/>
        <v>227.92</v>
      </c>
      <c r="T183">
        <f t="shared" si="59"/>
        <v>203.28</v>
      </c>
      <c r="U183">
        <f>I183*E183/'[1]Inverter Analysis'!$L$2</f>
        <v>278.98725589448844</v>
      </c>
      <c r="V183">
        <f t="shared" si="60"/>
        <v>185.5287569573284</v>
      </c>
      <c r="W183">
        <f t="shared" si="61"/>
        <v>351.00035100035103</v>
      </c>
      <c r="X183">
        <f t="shared" si="62"/>
        <v>123.68583797155225</v>
      </c>
      <c r="Y183">
        <f t="shared" si="63"/>
        <v>2.7104274208521315</v>
      </c>
      <c r="Z183">
        <f t="shared" si="64"/>
        <v>0.5965848735</v>
      </c>
    </row>
    <row r="184" spans="1:26" hidden="1">
      <c r="A184">
        <v>11</v>
      </c>
      <c r="B184" s="12">
        <v>6</v>
      </c>
      <c r="C184" s="12">
        <v>7</v>
      </c>
      <c r="D184">
        <f t="shared" si="44"/>
        <v>540</v>
      </c>
      <c r="E184">
        <f t="shared" si="45"/>
        <v>360</v>
      </c>
      <c r="F184">
        <f t="shared" si="46"/>
        <v>32.340000000000003</v>
      </c>
      <c r="G184">
        <f t="shared" si="47"/>
        <v>0.28233333333333333</v>
      </c>
      <c r="H184">
        <f t="shared" si="48"/>
        <v>116.42400000000002</v>
      </c>
      <c r="I184">
        <f t="shared" si="49"/>
        <v>323.40000000000003</v>
      </c>
      <c r="J184">
        <f t="shared" si="50"/>
        <v>215.6</v>
      </c>
      <c r="K184">
        <f t="shared" si="51"/>
        <v>77.616</v>
      </c>
      <c r="L184">
        <f t="shared" si="52"/>
        <v>9.4109400000000001</v>
      </c>
      <c r="M184">
        <f t="shared" si="53"/>
        <v>8.8831512000000021</v>
      </c>
      <c r="N184">
        <f t="shared" si="54"/>
        <v>4.1718600000000006</v>
      </c>
      <c r="O184">
        <f t="shared" si="65"/>
        <v>7.3155362823529435</v>
      </c>
      <c r="P184">
        <f t="shared" si="55"/>
        <v>4.9892008639308871</v>
      </c>
      <c r="Q184">
        <f t="shared" si="56"/>
        <v>46.2</v>
      </c>
      <c r="R184">
        <f t="shared" si="57"/>
        <v>462</v>
      </c>
      <c r="S184">
        <f t="shared" si="58"/>
        <v>113.96</v>
      </c>
      <c r="T184">
        <f t="shared" si="59"/>
        <v>101.64</v>
      </c>
      <c r="U184">
        <f>I184*E184/'[1]Inverter Analysis'!$L$2</f>
        <v>278.98725589448844</v>
      </c>
      <c r="V184">
        <f t="shared" si="60"/>
        <v>371.05751391465679</v>
      </c>
      <c r="W184">
        <f t="shared" si="61"/>
        <v>702.00070200070206</v>
      </c>
      <c r="X184">
        <f t="shared" si="62"/>
        <v>247.37167594310449</v>
      </c>
      <c r="Y184">
        <f t="shared" si="63"/>
        <v>10.841709683408526</v>
      </c>
      <c r="Z184">
        <f t="shared" si="64"/>
        <v>0.149146218375</v>
      </c>
    </row>
    <row r="185" spans="1:26">
      <c r="A185">
        <v>13</v>
      </c>
      <c r="B185" s="9">
        <v>5</v>
      </c>
      <c r="C185" s="12">
        <v>7</v>
      </c>
      <c r="D185">
        <f t="shared" si="44"/>
        <v>450</v>
      </c>
      <c r="E185">
        <f t="shared" si="45"/>
        <v>300</v>
      </c>
      <c r="F185">
        <f t="shared" si="46"/>
        <v>31.85</v>
      </c>
      <c r="G185">
        <f t="shared" si="47"/>
        <v>0.40039999999999998</v>
      </c>
      <c r="H185">
        <f t="shared" si="48"/>
        <v>114.66</v>
      </c>
      <c r="I185">
        <f t="shared" si="49"/>
        <v>382.2</v>
      </c>
      <c r="J185">
        <f t="shared" si="50"/>
        <v>254.79999999999998</v>
      </c>
      <c r="K185">
        <f t="shared" si="51"/>
        <v>76.44</v>
      </c>
      <c r="L185">
        <f t="shared" si="52"/>
        <v>9.2683499999999981</v>
      </c>
      <c r="M185">
        <f t="shared" si="53"/>
        <v>8.7485580000000009</v>
      </c>
      <c r="N185">
        <f t="shared" si="54"/>
        <v>4.1086499999999999</v>
      </c>
      <c r="O185">
        <f t="shared" si="65"/>
        <v>7.2046948235294135</v>
      </c>
      <c r="P185">
        <f t="shared" si="55"/>
        <v>4.9136069114470837</v>
      </c>
      <c r="Q185">
        <f t="shared" si="56"/>
        <v>54.6</v>
      </c>
      <c r="R185">
        <f t="shared" si="57"/>
        <v>455</v>
      </c>
      <c r="S185">
        <f t="shared" si="58"/>
        <v>134.68</v>
      </c>
      <c r="T185">
        <f t="shared" si="59"/>
        <v>120.11999999999999</v>
      </c>
      <c r="U185">
        <f>I185*E185/'[1]Inverter Analysis'!$L$2</f>
        <v>274.76017625972344</v>
      </c>
      <c r="V185">
        <f t="shared" si="60"/>
        <v>313.97174254317116</v>
      </c>
      <c r="W185">
        <f t="shared" si="61"/>
        <v>594.00059400059399</v>
      </c>
      <c r="X185">
        <f t="shared" si="62"/>
        <v>209.31449502878075</v>
      </c>
      <c r="Y185">
        <f t="shared" si="63"/>
        <v>7.762407524807287</v>
      </c>
      <c r="Z185">
        <f t="shared" si="64"/>
        <v>0.20515542309659091</v>
      </c>
    </row>
    <row r="186" spans="1:26" hidden="1">
      <c r="A186">
        <v>15</v>
      </c>
      <c r="B186">
        <v>3</v>
      </c>
      <c r="C186" s="12">
        <v>10</v>
      </c>
      <c r="D186">
        <f t="shared" si="44"/>
        <v>270</v>
      </c>
      <c r="E186">
        <f t="shared" si="45"/>
        <v>180</v>
      </c>
      <c r="F186">
        <f t="shared" si="46"/>
        <v>31.5</v>
      </c>
      <c r="G186">
        <f t="shared" si="47"/>
        <v>1.1000000000000001</v>
      </c>
      <c r="H186">
        <f t="shared" si="48"/>
        <v>113.4</v>
      </c>
      <c r="I186">
        <f t="shared" si="49"/>
        <v>630</v>
      </c>
      <c r="J186">
        <f t="shared" si="50"/>
        <v>420</v>
      </c>
      <c r="K186">
        <f t="shared" si="51"/>
        <v>75.599999999999994</v>
      </c>
      <c r="L186">
        <f t="shared" si="52"/>
        <v>9.1664999999999992</v>
      </c>
      <c r="M186">
        <f t="shared" si="53"/>
        <v>8.6524200000000011</v>
      </c>
      <c r="N186">
        <f t="shared" si="54"/>
        <v>4.0635000000000003</v>
      </c>
      <c r="O186">
        <f t="shared" si="65"/>
        <v>7.1255223529411778</v>
      </c>
      <c r="P186">
        <f t="shared" si="55"/>
        <v>3.4017278617710582</v>
      </c>
      <c r="Q186">
        <f t="shared" si="56"/>
        <v>63</v>
      </c>
      <c r="R186">
        <f t="shared" si="57"/>
        <v>450</v>
      </c>
      <c r="S186">
        <f t="shared" si="58"/>
        <v>221.99999999999997</v>
      </c>
      <c r="T186">
        <f t="shared" si="59"/>
        <v>198.00000000000003</v>
      </c>
      <c r="U186">
        <f>I186*E186/'[1]Inverter Analysis'!$L$2</f>
        <v>271.74083366346275</v>
      </c>
      <c r="V186">
        <f t="shared" si="60"/>
        <v>190.47619047619048</v>
      </c>
      <c r="W186">
        <f t="shared" si="61"/>
        <v>360.3603603603604</v>
      </c>
      <c r="X186">
        <f t="shared" si="62"/>
        <v>126.98412698412699</v>
      </c>
      <c r="Y186">
        <f t="shared" si="63"/>
        <v>2.8569109650190736</v>
      </c>
      <c r="Z186">
        <f t="shared" si="64"/>
        <v>0.55129474431818171</v>
      </c>
    </row>
    <row r="187" spans="1:26">
      <c r="A187">
        <v>10</v>
      </c>
      <c r="B187" s="9">
        <v>5</v>
      </c>
      <c r="C187" s="12">
        <v>9</v>
      </c>
      <c r="D187">
        <f t="shared" si="44"/>
        <v>450</v>
      </c>
      <c r="E187">
        <f t="shared" si="45"/>
        <v>300</v>
      </c>
      <c r="F187">
        <f t="shared" si="46"/>
        <v>31.5</v>
      </c>
      <c r="G187">
        <f t="shared" si="47"/>
        <v>0.39599999999999996</v>
      </c>
      <c r="H187">
        <f t="shared" si="48"/>
        <v>113.4</v>
      </c>
      <c r="I187">
        <f t="shared" si="49"/>
        <v>378</v>
      </c>
      <c r="J187">
        <f t="shared" si="50"/>
        <v>251.99999999999997</v>
      </c>
      <c r="K187">
        <f t="shared" si="51"/>
        <v>75.59999999999998</v>
      </c>
      <c r="L187">
        <f t="shared" si="52"/>
        <v>9.1664999999999992</v>
      </c>
      <c r="M187">
        <f t="shared" si="53"/>
        <v>8.6524199999999993</v>
      </c>
      <c r="N187">
        <f t="shared" si="54"/>
        <v>4.0634999999999994</v>
      </c>
      <c r="O187">
        <f t="shared" si="65"/>
        <v>7.1255223529411769</v>
      </c>
      <c r="P187">
        <f t="shared" si="55"/>
        <v>3.7796976241900646</v>
      </c>
      <c r="Q187">
        <f t="shared" si="56"/>
        <v>42</v>
      </c>
      <c r="R187">
        <f t="shared" si="57"/>
        <v>450</v>
      </c>
      <c r="S187">
        <f t="shared" si="58"/>
        <v>133.19999999999999</v>
      </c>
      <c r="T187">
        <f t="shared" si="59"/>
        <v>118.79999999999998</v>
      </c>
      <c r="U187">
        <f>I187*E187/'[1]Inverter Analysis'!$L$2</f>
        <v>271.74083366346275</v>
      </c>
      <c r="V187">
        <f t="shared" si="60"/>
        <v>317.46031746031747</v>
      </c>
      <c r="W187">
        <f t="shared" si="61"/>
        <v>600.60060060060061</v>
      </c>
      <c r="X187">
        <f t="shared" si="62"/>
        <v>211.64021164021165</v>
      </c>
      <c r="Y187">
        <f t="shared" si="63"/>
        <v>7.9358637917196484</v>
      </c>
      <c r="Z187">
        <f t="shared" si="64"/>
        <v>0.19846610795454545</v>
      </c>
    </row>
    <row r="188" spans="1:26">
      <c r="A188" s="8">
        <v>15</v>
      </c>
      <c r="B188" s="9">
        <v>5</v>
      </c>
      <c r="C188">
        <v>6</v>
      </c>
      <c r="D188">
        <f t="shared" si="44"/>
        <v>450</v>
      </c>
      <c r="E188">
        <f t="shared" si="45"/>
        <v>300</v>
      </c>
      <c r="F188">
        <f t="shared" si="46"/>
        <v>31.5</v>
      </c>
      <c r="G188">
        <f t="shared" si="47"/>
        <v>0.39599999999999991</v>
      </c>
      <c r="H188">
        <f t="shared" si="48"/>
        <v>113.4</v>
      </c>
      <c r="I188">
        <f t="shared" si="49"/>
        <v>378</v>
      </c>
      <c r="J188">
        <f t="shared" si="50"/>
        <v>251.99999999999997</v>
      </c>
      <c r="K188">
        <f t="shared" si="51"/>
        <v>75.59999999999998</v>
      </c>
      <c r="L188">
        <f t="shared" si="52"/>
        <v>9.1664999999999992</v>
      </c>
      <c r="M188">
        <f t="shared" si="53"/>
        <v>8.6524199999999993</v>
      </c>
      <c r="N188">
        <f t="shared" si="54"/>
        <v>4.0634999999999994</v>
      </c>
      <c r="O188">
        <f t="shared" si="65"/>
        <v>7.1255223529411769</v>
      </c>
      <c r="P188">
        <f t="shared" si="55"/>
        <v>5.6695464362850965</v>
      </c>
      <c r="Q188">
        <f t="shared" si="56"/>
        <v>63</v>
      </c>
      <c r="R188">
        <f t="shared" si="57"/>
        <v>450</v>
      </c>
      <c r="S188">
        <f t="shared" si="58"/>
        <v>133.19999999999999</v>
      </c>
      <c r="T188">
        <f t="shared" si="59"/>
        <v>118.79999999999997</v>
      </c>
      <c r="U188">
        <f>I188*E188/'[1]Inverter Analysis'!$L$2</f>
        <v>271.74083366346275</v>
      </c>
      <c r="V188">
        <f t="shared" si="60"/>
        <v>317.46031746031747</v>
      </c>
      <c r="W188">
        <f t="shared" si="61"/>
        <v>600.60060060060061</v>
      </c>
      <c r="X188">
        <f t="shared" si="62"/>
        <v>211.64021164021165</v>
      </c>
      <c r="Y188">
        <f t="shared" si="63"/>
        <v>7.9358637917196484</v>
      </c>
      <c r="Z188">
        <f t="shared" si="64"/>
        <v>0.19846610795454545</v>
      </c>
    </row>
    <row r="189" spans="1:26">
      <c r="A189">
        <v>11</v>
      </c>
      <c r="B189" s="9">
        <v>5</v>
      </c>
      <c r="C189" s="12">
        <v>8</v>
      </c>
      <c r="D189">
        <f t="shared" si="44"/>
        <v>450</v>
      </c>
      <c r="E189">
        <f t="shared" si="45"/>
        <v>300</v>
      </c>
      <c r="F189">
        <f t="shared" si="46"/>
        <v>30.8</v>
      </c>
      <c r="G189">
        <f t="shared" si="47"/>
        <v>0.38719999999999993</v>
      </c>
      <c r="H189">
        <f t="shared" si="48"/>
        <v>110.88</v>
      </c>
      <c r="I189">
        <f t="shared" si="49"/>
        <v>369.6</v>
      </c>
      <c r="J189">
        <f t="shared" si="50"/>
        <v>246.39999999999998</v>
      </c>
      <c r="K189">
        <f t="shared" si="51"/>
        <v>73.92</v>
      </c>
      <c r="L189">
        <f t="shared" si="52"/>
        <v>8.9627999999999997</v>
      </c>
      <c r="M189">
        <f t="shared" si="53"/>
        <v>8.4601440000000014</v>
      </c>
      <c r="N189">
        <f t="shared" si="54"/>
        <v>3.9731999999999998</v>
      </c>
      <c r="O189">
        <f t="shared" si="65"/>
        <v>6.9671774117647081</v>
      </c>
      <c r="P189">
        <f t="shared" si="55"/>
        <v>4.157667386609071</v>
      </c>
      <c r="Q189">
        <f t="shared" si="56"/>
        <v>46.2</v>
      </c>
      <c r="R189">
        <f t="shared" si="57"/>
        <v>440</v>
      </c>
      <c r="S189">
        <f t="shared" si="58"/>
        <v>130.24</v>
      </c>
      <c r="T189">
        <f t="shared" si="59"/>
        <v>116.15999999999998</v>
      </c>
      <c r="U189">
        <f>I189*E189/'[1]Inverter Analysis'!$L$2</f>
        <v>265.70214847094138</v>
      </c>
      <c r="V189">
        <f t="shared" si="60"/>
        <v>324.6753246753247</v>
      </c>
      <c r="W189">
        <f t="shared" si="61"/>
        <v>614.25061425061426</v>
      </c>
      <c r="X189">
        <f t="shared" si="62"/>
        <v>216.45021645021643</v>
      </c>
      <c r="Y189">
        <f t="shared" si="63"/>
        <v>8.3006839763596503</v>
      </c>
      <c r="Z189">
        <f t="shared" si="64"/>
        <v>0.18552688000000001</v>
      </c>
    </row>
    <row r="190" spans="1:26" hidden="1">
      <c r="A190">
        <v>12</v>
      </c>
      <c r="B190" s="12">
        <v>6</v>
      </c>
      <c r="C190">
        <v>6</v>
      </c>
      <c r="D190">
        <f t="shared" si="44"/>
        <v>540</v>
      </c>
      <c r="E190">
        <f t="shared" si="45"/>
        <v>360</v>
      </c>
      <c r="F190">
        <f t="shared" si="46"/>
        <v>30.24</v>
      </c>
      <c r="G190">
        <f t="shared" si="47"/>
        <v>0.26400000000000001</v>
      </c>
      <c r="H190">
        <f t="shared" si="48"/>
        <v>108.86400000000002</v>
      </c>
      <c r="I190">
        <f t="shared" si="49"/>
        <v>302.40000000000003</v>
      </c>
      <c r="J190">
        <f t="shared" si="50"/>
        <v>201.6</v>
      </c>
      <c r="K190">
        <f t="shared" si="51"/>
        <v>72.575999999999993</v>
      </c>
      <c r="L190">
        <f t="shared" si="52"/>
        <v>8.7998399999999997</v>
      </c>
      <c r="M190">
        <f t="shared" si="53"/>
        <v>8.3063232000000031</v>
      </c>
      <c r="N190">
        <f t="shared" si="54"/>
        <v>3.9009600000000004</v>
      </c>
      <c r="O190">
        <f t="shared" si="65"/>
        <v>6.8405014588235327</v>
      </c>
      <c r="P190">
        <f t="shared" si="55"/>
        <v>5.4427645788336934</v>
      </c>
      <c r="Q190">
        <f t="shared" si="56"/>
        <v>50.400000000000006</v>
      </c>
      <c r="R190">
        <f t="shared" si="57"/>
        <v>432</v>
      </c>
      <c r="S190">
        <f t="shared" si="58"/>
        <v>106.55999999999999</v>
      </c>
      <c r="T190">
        <f t="shared" si="59"/>
        <v>95.04</v>
      </c>
      <c r="U190">
        <f>I190*E190/'[1]Inverter Analysis'!$L$2</f>
        <v>260.87120031692427</v>
      </c>
      <c r="V190">
        <f t="shared" si="60"/>
        <v>396.82539682539681</v>
      </c>
      <c r="W190">
        <f t="shared" si="61"/>
        <v>750.75075075075085</v>
      </c>
      <c r="X190">
        <f t="shared" si="62"/>
        <v>264.5502645502645</v>
      </c>
      <c r="Y190">
        <f t="shared" si="63"/>
        <v>12.399787174561951</v>
      </c>
      <c r="Z190">
        <f t="shared" si="64"/>
        <v>0.12193757672727271</v>
      </c>
    </row>
    <row r="191" spans="1:26" hidden="1">
      <c r="A191">
        <v>10</v>
      </c>
      <c r="B191" s="12">
        <v>6</v>
      </c>
      <c r="C191" s="12">
        <v>7</v>
      </c>
      <c r="D191">
        <f t="shared" si="44"/>
        <v>540</v>
      </c>
      <c r="E191">
        <f t="shared" si="45"/>
        <v>360</v>
      </c>
      <c r="F191">
        <f t="shared" si="46"/>
        <v>29.4</v>
      </c>
      <c r="G191">
        <f t="shared" si="47"/>
        <v>0.25666666666666665</v>
      </c>
      <c r="H191">
        <f t="shared" si="48"/>
        <v>105.84</v>
      </c>
      <c r="I191">
        <f t="shared" si="49"/>
        <v>294</v>
      </c>
      <c r="J191">
        <f t="shared" si="50"/>
        <v>196</v>
      </c>
      <c r="K191">
        <f t="shared" si="51"/>
        <v>70.56</v>
      </c>
      <c r="L191">
        <f t="shared" si="52"/>
        <v>8.5553999999999988</v>
      </c>
      <c r="M191">
        <f t="shared" si="53"/>
        <v>8.0755920000000003</v>
      </c>
      <c r="N191">
        <f t="shared" si="54"/>
        <v>3.7926000000000002</v>
      </c>
      <c r="O191">
        <f t="shared" si="65"/>
        <v>6.6504875294117651</v>
      </c>
      <c r="P191">
        <f t="shared" si="55"/>
        <v>4.5356371490280774</v>
      </c>
      <c r="Q191">
        <f t="shared" si="56"/>
        <v>42</v>
      </c>
      <c r="R191">
        <f t="shared" si="57"/>
        <v>420</v>
      </c>
      <c r="S191">
        <f t="shared" si="58"/>
        <v>103.60000000000001</v>
      </c>
      <c r="T191">
        <f t="shared" si="59"/>
        <v>92.399999999999991</v>
      </c>
      <c r="U191">
        <f>I191*E191/'[1]Inverter Analysis'!$L$2</f>
        <v>253.62477808589858</v>
      </c>
      <c r="V191">
        <f t="shared" si="60"/>
        <v>408.16326530612247</v>
      </c>
      <c r="W191">
        <f t="shared" si="61"/>
        <v>772.20077220077212</v>
      </c>
      <c r="X191">
        <f t="shared" si="62"/>
        <v>272.10884353741494</v>
      </c>
      <c r="Y191">
        <f t="shared" si="63"/>
        <v>13.118468716924312</v>
      </c>
      <c r="Z191">
        <f t="shared" si="64"/>
        <v>0.11205576136363639</v>
      </c>
    </row>
    <row r="192" spans="1:26">
      <c r="A192">
        <v>12</v>
      </c>
      <c r="B192" s="9">
        <v>5</v>
      </c>
      <c r="C192" s="12">
        <v>7</v>
      </c>
      <c r="D192">
        <f t="shared" si="44"/>
        <v>450</v>
      </c>
      <c r="E192">
        <f t="shared" si="45"/>
        <v>300</v>
      </c>
      <c r="F192">
        <f t="shared" si="46"/>
        <v>29.4</v>
      </c>
      <c r="G192">
        <f t="shared" si="47"/>
        <v>0.36959999999999993</v>
      </c>
      <c r="H192">
        <f t="shared" si="48"/>
        <v>105.84</v>
      </c>
      <c r="I192">
        <f t="shared" si="49"/>
        <v>352.8</v>
      </c>
      <c r="J192">
        <f t="shared" si="50"/>
        <v>235.2</v>
      </c>
      <c r="K192">
        <f t="shared" si="51"/>
        <v>70.56</v>
      </c>
      <c r="L192">
        <f t="shared" si="52"/>
        <v>8.5553999999999988</v>
      </c>
      <c r="M192">
        <f t="shared" si="53"/>
        <v>8.0755920000000003</v>
      </c>
      <c r="N192">
        <f t="shared" si="54"/>
        <v>3.7925999999999997</v>
      </c>
      <c r="O192">
        <f t="shared" si="65"/>
        <v>6.6504875294117651</v>
      </c>
      <c r="P192">
        <f t="shared" si="55"/>
        <v>4.5356371490280774</v>
      </c>
      <c r="Q192">
        <f t="shared" si="56"/>
        <v>50.4</v>
      </c>
      <c r="R192">
        <f t="shared" si="57"/>
        <v>420</v>
      </c>
      <c r="S192">
        <f t="shared" si="58"/>
        <v>124.32000000000001</v>
      </c>
      <c r="T192">
        <f t="shared" si="59"/>
        <v>110.87999999999998</v>
      </c>
      <c r="U192">
        <f>I192*E192/'[1]Inverter Analysis'!$L$2</f>
        <v>253.62477808589858</v>
      </c>
      <c r="V192">
        <f t="shared" si="60"/>
        <v>340.13605442176873</v>
      </c>
      <c r="W192">
        <f t="shared" si="61"/>
        <v>643.50064350064349</v>
      </c>
      <c r="X192">
        <f t="shared" si="62"/>
        <v>226.75736961451247</v>
      </c>
      <c r="Y192">
        <f t="shared" si="63"/>
        <v>9.1100477200863299</v>
      </c>
      <c r="Z192">
        <f t="shared" si="64"/>
        <v>0.16136029636363639</v>
      </c>
    </row>
    <row r="193" spans="1:26">
      <c r="A193">
        <v>14</v>
      </c>
      <c r="B193" s="9">
        <v>5</v>
      </c>
      <c r="C193">
        <v>6</v>
      </c>
      <c r="D193">
        <f t="shared" si="44"/>
        <v>450</v>
      </c>
      <c r="E193">
        <f t="shared" si="45"/>
        <v>300</v>
      </c>
      <c r="F193">
        <f t="shared" si="46"/>
        <v>29.4</v>
      </c>
      <c r="G193">
        <f t="shared" si="47"/>
        <v>0.36959999999999993</v>
      </c>
      <c r="H193">
        <f t="shared" si="48"/>
        <v>105.84</v>
      </c>
      <c r="I193">
        <f t="shared" si="49"/>
        <v>352.8</v>
      </c>
      <c r="J193">
        <f t="shared" si="50"/>
        <v>235.2</v>
      </c>
      <c r="K193">
        <f t="shared" si="51"/>
        <v>70.56</v>
      </c>
      <c r="L193">
        <f t="shared" si="52"/>
        <v>8.5553999999999988</v>
      </c>
      <c r="M193">
        <f t="shared" si="53"/>
        <v>8.0755920000000003</v>
      </c>
      <c r="N193">
        <f t="shared" si="54"/>
        <v>3.7925999999999997</v>
      </c>
      <c r="O193">
        <f t="shared" si="65"/>
        <v>6.6504875294117651</v>
      </c>
      <c r="P193">
        <f t="shared" si="55"/>
        <v>5.2915766738660901</v>
      </c>
      <c r="Q193">
        <f t="shared" si="56"/>
        <v>58.800000000000004</v>
      </c>
      <c r="R193">
        <f t="shared" si="57"/>
        <v>420</v>
      </c>
      <c r="S193">
        <f t="shared" si="58"/>
        <v>124.32000000000001</v>
      </c>
      <c r="T193">
        <f t="shared" si="59"/>
        <v>110.87999999999998</v>
      </c>
      <c r="U193">
        <f>I193*E193/'[1]Inverter Analysis'!$L$2</f>
        <v>253.62477808589858</v>
      </c>
      <c r="V193">
        <f t="shared" si="60"/>
        <v>340.13605442176873</v>
      </c>
      <c r="W193">
        <f t="shared" si="61"/>
        <v>643.50064350064349</v>
      </c>
      <c r="X193">
        <f t="shared" si="62"/>
        <v>226.75736961451247</v>
      </c>
      <c r="Y193">
        <f t="shared" si="63"/>
        <v>9.1100477200863299</v>
      </c>
      <c r="Z193">
        <f t="shared" si="64"/>
        <v>0.16136029636363639</v>
      </c>
    </row>
    <row r="194" spans="1:26" hidden="1">
      <c r="A194">
        <v>10</v>
      </c>
      <c r="B194" s="9">
        <v>5</v>
      </c>
      <c r="C194" s="12">
        <v>8</v>
      </c>
      <c r="D194">
        <f t="shared" si="44"/>
        <v>450</v>
      </c>
      <c r="E194">
        <f t="shared" si="45"/>
        <v>300</v>
      </c>
      <c r="F194">
        <f t="shared" si="46"/>
        <v>28</v>
      </c>
      <c r="G194">
        <f t="shared" si="47"/>
        <v>0.35199999999999998</v>
      </c>
      <c r="H194">
        <f t="shared" si="48"/>
        <v>100.8</v>
      </c>
      <c r="I194">
        <f t="shared" si="49"/>
        <v>336</v>
      </c>
      <c r="J194">
        <f t="shared" si="50"/>
        <v>224</v>
      </c>
      <c r="K194">
        <f t="shared" si="51"/>
        <v>67.2</v>
      </c>
      <c r="L194">
        <f t="shared" si="52"/>
        <v>8.1479999999999997</v>
      </c>
      <c r="M194">
        <f t="shared" si="53"/>
        <v>7.691040000000001</v>
      </c>
      <c r="N194">
        <f t="shared" si="54"/>
        <v>3.6120000000000001</v>
      </c>
      <c r="O194">
        <f t="shared" si="65"/>
        <v>6.3337976470588249</v>
      </c>
      <c r="P194">
        <f t="shared" si="55"/>
        <v>3.7796976241900646</v>
      </c>
      <c r="Q194">
        <f t="shared" si="56"/>
        <v>42</v>
      </c>
      <c r="R194">
        <f t="shared" si="57"/>
        <v>400</v>
      </c>
      <c r="S194">
        <f t="shared" si="58"/>
        <v>118.4</v>
      </c>
      <c r="T194">
        <f t="shared" si="59"/>
        <v>105.6</v>
      </c>
      <c r="U194">
        <f>I194*E194/'[1]Inverter Analysis'!$L$2</f>
        <v>241.54740770085579</v>
      </c>
      <c r="V194">
        <f t="shared" si="60"/>
        <v>357.14285714285717</v>
      </c>
      <c r="W194">
        <f t="shared" si="61"/>
        <v>675.67567567567562</v>
      </c>
      <c r="X194">
        <f t="shared" si="62"/>
        <v>238.0952380952381</v>
      </c>
      <c r="Y194">
        <f t="shared" si="63"/>
        <v>10.043827611395177</v>
      </c>
      <c r="Z194">
        <f t="shared" si="64"/>
        <v>0.13938909090909096</v>
      </c>
    </row>
    <row r="195" spans="1:26" hidden="1">
      <c r="A195">
        <v>11</v>
      </c>
      <c r="B195" s="12">
        <v>6</v>
      </c>
      <c r="C195">
        <v>6</v>
      </c>
      <c r="D195">
        <f t="shared" si="44"/>
        <v>540</v>
      </c>
      <c r="E195">
        <f t="shared" si="45"/>
        <v>360</v>
      </c>
      <c r="F195">
        <f t="shared" si="46"/>
        <v>27.72</v>
      </c>
      <c r="G195">
        <f t="shared" si="47"/>
        <v>0.24199999999999999</v>
      </c>
      <c r="H195">
        <f t="shared" si="48"/>
        <v>99.792000000000002</v>
      </c>
      <c r="I195">
        <f t="shared" si="49"/>
        <v>277.2</v>
      </c>
      <c r="J195">
        <f t="shared" si="50"/>
        <v>184.79999999999998</v>
      </c>
      <c r="K195">
        <f t="shared" si="51"/>
        <v>66.528000000000006</v>
      </c>
      <c r="L195">
        <f t="shared" si="52"/>
        <v>8.0665199999999988</v>
      </c>
      <c r="M195">
        <f t="shared" si="53"/>
        <v>7.6141296000000001</v>
      </c>
      <c r="N195">
        <f t="shared" si="54"/>
        <v>3.5758799999999993</v>
      </c>
      <c r="O195">
        <f t="shared" si="65"/>
        <v>6.2704596705882363</v>
      </c>
      <c r="P195">
        <f t="shared" si="55"/>
        <v>4.9892008639308854</v>
      </c>
      <c r="Q195">
        <f t="shared" si="56"/>
        <v>46.199999999999996</v>
      </c>
      <c r="R195">
        <f t="shared" si="57"/>
        <v>396</v>
      </c>
      <c r="S195">
        <f t="shared" si="58"/>
        <v>97.679999999999978</v>
      </c>
      <c r="T195">
        <f t="shared" si="59"/>
        <v>87.12</v>
      </c>
      <c r="U195">
        <f>I195*E195/'[1]Inverter Analysis'!$L$2</f>
        <v>239.13193362384723</v>
      </c>
      <c r="V195">
        <f t="shared" si="60"/>
        <v>432.90043290043292</v>
      </c>
      <c r="W195">
        <f t="shared" si="61"/>
        <v>819.00081900081921</v>
      </c>
      <c r="X195">
        <f t="shared" si="62"/>
        <v>288.60028860028859</v>
      </c>
      <c r="Y195">
        <f t="shared" si="63"/>
        <v>14.756771513528276</v>
      </c>
      <c r="Z195">
        <f t="shared" si="64"/>
        <v>9.392298299999996E-2</v>
      </c>
    </row>
    <row r="196" spans="1:26" hidden="1">
      <c r="A196">
        <v>13</v>
      </c>
      <c r="B196" s="9">
        <v>5</v>
      </c>
      <c r="C196">
        <v>6</v>
      </c>
      <c r="D196">
        <f t="shared" si="44"/>
        <v>450</v>
      </c>
      <c r="E196">
        <f t="shared" si="45"/>
        <v>300</v>
      </c>
      <c r="F196">
        <f t="shared" si="46"/>
        <v>27.3</v>
      </c>
      <c r="G196">
        <f t="shared" si="47"/>
        <v>0.34319999999999995</v>
      </c>
      <c r="H196">
        <f t="shared" si="48"/>
        <v>98.28</v>
      </c>
      <c r="I196">
        <f t="shared" si="49"/>
        <v>327.60000000000002</v>
      </c>
      <c r="J196">
        <f t="shared" si="50"/>
        <v>218.39999999999998</v>
      </c>
      <c r="K196">
        <f t="shared" si="51"/>
        <v>65.52</v>
      </c>
      <c r="L196">
        <f t="shared" si="52"/>
        <v>7.9442999999999993</v>
      </c>
      <c r="M196">
        <f t="shared" si="53"/>
        <v>7.4987640000000013</v>
      </c>
      <c r="N196">
        <f t="shared" si="54"/>
        <v>3.5217000000000001</v>
      </c>
      <c r="O196">
        <f t="shared" si="65"/>
        <v>6.1754527058823543</v>
      </c>
      <c r="P196">
        <f t="shared" si="55"/>
        <v>4.9136069114470846</v>
      </c>
      <c r="Q196">
        <f t="shared" si="56"/>
        <v>54.6</v>
      </c>
      <c r="R196">
        <f t="shared" si="57"/>
        <v>390</v>
      </c>
      <c r="S196">
        <f t="shared" si="58"/>
        <v>115.44</v>
      </c>
      <c r="T196">
        <f t="shared" si="59"/>
        <v>102.95999999999998</v>
      </c>
      <c r="U196">
        <f>I196*E196/'[1]Inverter Analysis'!$L$2</f>
        <v>235.50872250833439</v>
      </c>
      <c r="V196">
        <f t="shared" si="60"/>
        <v>366.30036630036636</v>
      </c>
      <c r="W196">
        <f t="shared" si="61"/>
        <v>693.00069300069299</v>
      </c>
      <c r="X196">
        <f t="shared" si="62"/>
        <v>244.20024420024419</v>
      </c>
      <c r="Y196">
        <f t="shared" si="63"/>
        <v>10.565499130987694</v>
      </c>
      <c r="Z196">
        <f t="shared" si="64"/>
        <v>0.1291940856818182</v>
      </c>
    </row>
    <row r="197" spans="1:26" hidden="1">
      <c r="A197">
        <v>11</v>
      </c>
      <c r="B197" s="9">
        <v>5</v>
      </c>
      <c r="C197" s="12">
        <v>7</v>
      </c>
      <c r="D197">
        <f t="shared" si="44"/>
        <v>450</v>
      </c>
      <c r="E197">
        <f t="shared" si="45"/>
        <v>300</v>
      </c>
      <c r="F197">
        <f t="shared" si="46"/>
        <v>26.95</v>
      </c>
      <c r="G197">
        <f t="shared" si="47"/>
        <v>0.33879999999999993</v>
      </c>
      <c r="H197">
        <f t="shared" si="48"/>
        <v>97.02000000000001</v>
      </c>
      <c r="I197">
        <f t="shared" si="49"/>
        <v>323.40000000000003</v>
      </c>
      <c r="J197">
        <f t="shared" si="50"/>
        <v>215.6</v>
      </c>
      <c r="K197">
        <f t="shared" si="51"/>
        <v>64.680000000000007</v>
      </c>
      <c r="L197">
        <f t="shared" si="52"/>
        <v>7.8424499999999995</v>
      </c>
      <c r="M197">
        <f t="shared" si="53"/>
        <v>7.4026260000000015</v>
      </c>
      <c r="N197">
        <f t="shared" si="54"/>
        <v>3.47655</v>
      </c>
      <c r="O197">
        <f t="shared" si="65"/>
        <v>6.0962802352941194</v>
      </c>
      <c r="P197">
        <f t="shared" si="55"/>
        <v>4.1576673866090719</v>
      </c>
      <c r="Q197">
        <f t="shared" si="56"/>
        <v>46.2</v>
      </c>
      <c r="R197">
        <f t="shared" si="57"/>
        <v>385</v>
      </c>
      <c r="S197">
        <f t="shared" si="58"/>
        <v>113.96000000000001</v>
      </c>
      <c r="T197">
        <f t="shared" si="59"/>
        <v>101.63999999999999</v>
      </c>
      <c r="U197">
        <f>I197*E197/'[1]Inverter Analysis'!$L$2</f>
        <v>232.48937991207373</v>
      </c>
      <c r="V197">
        <f t="shared" si="60"/>
        <v>371.05751391465679</v>
      </c>
      <c r="W197">
        <f t="shared" si="61"/>
        <v>702.00070200070195</v>
      </c>
      <c r="X197">
        <f t="shared" si="62"/>
        <v>247.37167594310449</v>
      </c>
      <c r="Y197">
        <f t="shared" si="63"/>
        <v>10.841709683408522</v>
      </c>
      <c r="Z197">
        <f t="shared" si="64"/>
        <v>0.12428851531250004</v>
      </c>
    </row>
    <row r="198" spans="1:26" hidden="1">
      <c r="A198">
        <v>16</v>
      </c>
      <c r="B198">
        <v>2</v>
      </c>
      <c r="C198">
        <v>12</v>
      </c>
      <c r="D198">
        <f t="shared" ref="D198:D250" si="66">B198*$J$3</f>
        <v>180</v>
      </c>
      <c r="E198">
        <f t="shared" ref="E198:E250" si="67">B198*$I$3</f>
        <v>120</v>
      </c>
      <c r="F198">
        <f t="shared" ref="F198:F250" si="68">A198*B198*C198*$Q$3/1000</f>
        <v>26.88</v>
      </c>
      <c r="G198">
        <f t="shared" ref="G198:G250" si="69">((B198*$R$3^(-1))^(-1))*A198*C198</f>
        <v>2.1120000000000001</v>
      </c>
      <c r="H198">
        <f t="shared" ref="H198:H250" si="70">E198*I198/1000</f>
        <v>96.768000000000015</v>
      </c>
      <c r="I198">
        <f t="shared" ref="I198:I250" si="71">A198*C198*4.2</f>
        <v>806.40000000000009</v>
      </c>
      <c r="J198">
        <f t="shared" ref="J198:J250" si="72">C198*A198*$K$3</f>
        <v>537.59999999999991</v>
      </c>
      <c r="K198">
        <f t="shared" ref="K198:K250" si="73">E198*J198/1000</f>
        <v>64.511999999999986</v>
      </c>
      <c r="L198">
        <f t="shared" ref="L198:L250" si="74">$N$3/1000*I198*B198/1000</f>
        <v>7.8220799999999997</v>
      </c>
      <c r="M198">
        <f t="shared" ref="M198:M250" si="75">$O$3/1000*I198*B198/1000</f>
        <v>7.3833984000000008</v>
      </c>
      <c r="N198">
        <f t="shared" ref="N198:N250" si="76">$P$3/1000*I198*B198/1000</f>
        <v>3.4675200000000004</v>
      </c>
      <c r="O198">
        <f t="shared" si="65"/>
        <v>6.0804457411764714</v>
      </c>
      <c r="P198">
        <f t="shared" ref="P198:P250" si="77">$H$3/1000*B198*I198/277.8/C198</f>
        <v>2.4190064794816419</v>
      </c>
      <c r="Q198">
        <f t="shared" ref="Q198:Q250" si="78">I198/C198</f>
        <v>67.2</v>
      </c>
      <c r="R198">
        <f t="shared" ref="R198:R250" si="79">(A198*B198*C198)</f>
        <v>384</v>
      </c>
      <c r="S198">
        <f t="shared" ref="S198:S250" si="80">J198-(G198*E198)</f>
        <v>284.15999999999991</v>
      </c>
      <c r="T198">
        <f t="shared" ref="T198:T250" si="81">G198*E198</f>
        <v>253.44</v>
      </c>
      <c r="U198">
        <f>I198*E198/'[1]Inverter Analysis'!$L$2</f>
        <v>231.8855113928216</v>
      </c>
      <c r="V198">
        <f t="shared" ref="V198:V250" si="82">80000/J198</f>
        <v>148.80952380952382</v>
      </c>
      <c r="W198">
        <f t="shared" ref="W198:W250" si="83">80000/S198</f>
        <v>281.53153153153164</v>
      </c>
      <c r="X198">
        <f t="shared" ref="X198:X250" si="84">80000/I198</f>
        <v>99.206349206349202</v>
      </c>
      <c r="Y198">
        <f t="shared" ref="Y198:Y250" si="85">(MAX(V198:X198)^2)*$R$3/1000</f>
        <v>1.7437200714227754</v>
      </c>
      <c r="Z198">
        <f t="shared" ref="Z198:Z250" si="86">($S$3*F198/(Y198*1000))*10</f>
        <v>0.77076591709090858</v>
      </c>
    </row>
    <row r="199" spans="1:26">
      <c r="A199">
        <v>13</v>
      </c>
      <c r="B199">
        <v>4</v>
      </c>
      <c r="C199" s="12">
        <v>7</v>
      </c>
      <c r="D199">
        <f t="shared" si="66"/>
        <v>360</v>
      </c>
      <c r="E199">
        <f t="shared" si="67"/>
        <v>240</v>
      </c>
      <c r="F199">
        <f t="shared" si="68"/>
        <v>25.48</v>
      </c>
      <c r="G199">
        <f t="shared" si="69"/>
        <v>0.50049999999999994</v>
      </c>
      <c r="H199">
        <f t="shared" si="70"/>
        <v>91.727999999999994</v>
      </c>
      <c r="I199">
        <f t="shared" si="71"/>
        <v>382.2</v>
      </c>
      <c r="J199">
        <f t="shared" si="72"/>
        <v>254.79999999999998</v>
      </c>
      <c r="K199">
        <f t="shared" si="73"/>
        <v>61.151999999999994</v>
      </c>
      <c r="L199">
        <f t="shared" si="74"/>
        <v>7.4146799999999997</v>
      </c>
      <c r="M199">
        <f t="shared" si="75"/>
        <v>6.9988464000000006</v>
      </c>
      <c r="N199">
        <f t="shared" si="76"/>
        <v>3.2869199999999994</v>
      </c>
      <c r="O199">
        <f t="shared" ref="O199:O250" si="87">M199*(($L$3-$K$3)/($L$3-$M$3))</f>
        <v>5.7637558588235303</v>
      </c>
      <c r="P199">
        <f t="shared" si="77"/>
        <v>3.930885529157667</v>
      </c>
      <c r="Q199">
        <f t="shared" si="78"/>
        <v>54.6</v>
      </c>
      <c r="R199">
        <f t="shared" si="79"/>
        <v>364</v>
      </c>
      <c r="S199">
        <f t="shared" si="80"/>
        <v>134.68</v>
      </c>
      <c r="T199">
        <f t="shared" si="81"/>
        <v>120.11999999999999</v>
      </c>
      <c r="U199">
        <f>I199*E199/'[1]Inverter Analysis'!$L$2</f>
        <v>219.80814100777877</v>
      </c>
      <c r="V199">
        <f t="shared" si="82"/>
        <v>313.97174254317116</v>
      </c>
      <c r="W199">
        <f t="shared" si="83"/>
        <v>594.00059400059399</v>
      </c>
      <c r="X199">
        <f t="shared" si="84"/>
        <v>209.31449502878075</v>
      </c>
      <c r="Y199">
        <f t="shared" si="85"/>
        <v>7.762407524807287</v>
      </c>
      <c r="Z199">
        <f t="shared" si="86"/>
        <v>0.16412433847727276</v>
      </c>
    </row>
    <row r="200" spans="1:26" hidden="1">
      <c r="A200">
        <v>12</v>
      </c>
      <c r="B200" s="9">
        <v>5</v>
      </c>
      <c r="C200">
        <v>6</v>
      </c>
      <c r="D200">
        <f t="shared" si="66"/>
        <v>450</v>
      </c>
      <c r="E200">
        <f t="shared" si="67"/>
        <v>300</v>
      </c>
      <c r="F200">
        <f t="shared" si="68"/>
        <v>25.2</v>
      </c>
      <c r="G200">
        <f t="shared" si="69"/>
        <v>0.31679999999999997</v>
      </c>
      <c r="H200">
        <f t="shared" si="70"/>
        <v>90.720000000000013</v>
      </c>
      <c r="I200">
        <f t="shared" si="71"/>
        <v>302.40000000000003</v>
      </c>
      <c r="J200">
        <f t="shared" si="72"/>
        <v>201.6</v>
      </c>
      <c r="K200">
        <f t="shared" si="73"/>
        <v>60.48</v>
      </c>
      <c r="L200">
        <f t="shared" si="74"/>
        <v>7.3332000000000006</v>
      </c>
      <c r="M200">
        <f t="shared" si="75"/>
        <v>6.9219360000000014</v>
      </c>
      <c r="N200">
        <f t="shared" si="76"/>
        <v>3.2508000000000004</v>
      </c>
      <c r="O200">
        <f t="shared" si="87"/>
        <v>5.7004178823529426</v>
      </c>
      <c r="P200">
        <f t="shared" si="77"/>
        <v>4.5356371490280782</v>
      </c>
      <c r="Q200">
        <f t="shared" si="78"/>
        <v>50.400000000000006</v>
      </c>
      <c r="R200">
        <f t="shared" si="79"/>
        <v>360</v>
      </c>
      <c r="S200">
        <f t="shared" si="80"/>
        <v>106.56</v>
      </c>
      <c r="T200">
        <f t="shared" si="81"/>
        <v>95.039999999999992</v>
      </c>
      <c r="U200">
        <f>I200*E200/'[1]Inverter Analysis'!$L$2</f>
        <v>217.39266693077025</v>
      </c>
      <c r="V200">
        <f t="shared" si="82"/>
        <v>396.82539682539681</v>
      </c>
      <c r="W200">
        <f t="shared" si="83"/>
        <v>750.75075075075074</v>
      </c>
      <c r="X200">
        <f t="shared" si="84"/>
        <v>264.5502645502645</v>
      </c>
      <c r="Y200">
        <f t="shared" si="85"/>
        <v>12.399787174561949</v>
      </c>
      <c r="Z200">
        <f t="shared" si="86"/>
        <v>0.10161464727272729</v>
      </c>
    </row>
    <row r="201" spans="1:26" hidden="1">
      <c r="A201">
        <v>15</v>
      </c>
      <c r="B201">
        <v>2</v>
      </c>
      <c r="C201">
        <v>12</v>
      </c>
      <c r="D201">
        <f t="shared" si="66"/>
        <v>180</v>
      </c>
      <c r="E201">
        <f t="shared" si="67"/>
        <v>120</v>
      </c>
      <c r="F201">
        <f t="shared" si="68"/>
        <v>25.2</v>
      </c>
      <c r="G201">
        <f t="shared" si="69"/>
        <v>1.9799999999999998</v>
      </c>
      <c r="H201">
        <f t="shared" si="70"/>
        <v>90.72</v>
      </c>
      <c r="I201">
        <f t="shared" si="71"/>
        <v>756</v>
      </c>
      <c r="J201">
        <f t="shared" si="72"/>
        <v>503.99999999999994</v>
      </c>
      <c r="K201">
        <f t="shared" si="73"/>
        <v>60.47999999999999</v>
      </c>
      <c r="L201">
        <f t="shared" si="74"/>
        <v>7.3331999999999997</v>
      </c>
      <c r="M201">
        <f t="shared" si="75"/>
        <v>6.9219360000000005</v>
      </c>
      <c r="N201">
        <f t="shared" si="76"/>
        <v>3.2507999999999999</v>
      </c>
      <c r="O201">
        <f t="shared" si="87"/>
        <v>5.7004178823529426</v>
      </c>
      <c r="P201">
        <f t="shared" si="77"/>
        <v>2.2678185745140387</v>
      </c>
      <c r="Q201">
        <f t="shared" si="78"/>
        <v>63</v>
      </c>
      <c r="R201">
        <f t="shared" si="79"/>
        <v>360</v>
      </c>
      <c r="S201">
        <f t="shared" si="80"/>
        <v>266.39999999999998</v>
      </c>
      <c r="T201">
        <f t="shared" si="81"/>
        <v>237.59999999999997</v>
      </c>
      <c r="U201">
        <f>I201*E201/'[1]Inverter Analysis'!$L$2</f>
        <v>217.39266693077019</v>
      </c>
      <c r="V201">
        <f t="shared" si="82"/>
        <v>158.73015873015873</v>
      </c>
      <c r="W201">
        <f t="shared" si="83"/>
        <v>300.30030030030031</v>
      </c>
      <c r="X201">
        <f t="shared" si="84"/>
        <v>105.82010582010582</v>
      </c>
      <c r="Y201">
        <f t="shared" si="85"/>
        <v>1.9839659479299121</v>
      </c>
      <c r="Z201">
        <f t="shared" si="86"/>
        <v>0.63509154545454538</v>
      </c>
    </row>
    <row r="202" spans="1:26">
      <c r="A202">
        <v>10</v>
      </c>
      <c r="B202">
        <v>4</v>
      </c>
      <c r="C202" s="12">
        <v>9</v>
      </c>
      <c r="D202">
        <f t="shared" si="66"/>
        <v>360</v>
      </c>
      <c r="E202">
        <f t="shared" si="67"/>
        <v>240</v>
      </c>
      <c r="F202">
        <f t="shared" si="68"/>
        <v>25.2</v>
      </c>
      <c r="G202">
        <f t="shared" si="69"/>
        <v>0.49499999999999994</v>
      </c>
      <c r="H202">
        <f t="shared" si="70"/>
        <v>90.72</v>
      </c>
      <c r="I202">
        <f t="shared" si="71"/>
        <v>378</v>
      </c>
      <c r="J202">
        <f t="shared" si="72"/>
        <v>251.99999999999997</v>
      </c>
      <c r="K202">
        <f t="shared" si="73"/>
        <v>60.47999999999999</v>
      </c>
      <c r="L202">
        <f t="shared" si="74"/>
        <v>7.3331999999999997</v>
      </c>
      <c r="M202">
        <f t="shared" si="75"/>
        <v>6.9219360000000005</v>
      </c>
      <c r="N202">
        <f t="shared" si="76"/>
        <v>3.2507999999999999</v>
      </c>
      <c r="O202">
        <f t="shared" si="87"/>
        <v>5.7004178823529426</v>
      </c>
      <c r="P202">
        <f t="shared" si="77"/>
        <v>3.0237580993520519</v>
      </c>
      <c r="Q202">
        <f t="shared" si="78"/>
        <v>42</v>
      </c>
      <c r="R202">
        <f t="shared" si="79"/>
        <v>360</v>
      </c>
      <c r="S202">
        <f t="shared" si="80"/>
        <v>133.19999999999999</v>
      </c>
      <c r="T202">
        <f t="shared" si="81"/>
        <v>118.79999999999998</v>
      </c>
      <c r="U202">
        <f>I202*E202/'[1]Inverter Analysis'!$L$2</f>
        <v>217.39266693077019</v>
      </c>
      <c r="V202">
        <f t="shared" si="82"/>
        <v>317.46031746031747</v>
      </c>
      <c r="W202">
        <f t="shared" si="83"/>
        <v>600.60060060060061</v>
      </c>
      <c r="X202">
        <f t="shared" si="84"/>
        <v>211.64021164021165</v>
      </c>
      <c r="Y202">
        <f t="shared" si="85"/>
        <v>7.9358637917196484</v>
      </c>
      <c r="Z202">
        <f t="shared" si="86"/>
        <v>0.15877288636363635</v>
      </c>
    </row>
    <row r="203" spans="1:26">
      <c r="A203">
        <v>15</v>
      </c>
      <c r="B203">
        <v>4</v>
      </c>
      <c r="C203">
        <v>6</v>
      </c>
      <c r="D203">
        <f t="shared" si="66"/>
        <v>360</v>
      </c>
      <c r="E203">
        <f t="shared" si="67"/>
        <v>240</v>
      </c>
      <c r="F203">
        <f t="shared" si="68"/>
        <v>25.2</v>
      </c>
      <c r="G203">
        <f t="shared" si="69"/>
        <v>0.49499999999999994</v>
      </c>
      <c r="H203">
        <f t="shared" si="70"/>
        <v>90.72</v>
      </c>
      <c r="I203">
        <f t="shared" si="71"/>
        <v>378</v>
      </c>
      <c r="J203">
        <f t="shared" si="72"/>
        <v>251.99999999999997</v>
      </c>
      <c r="K203">
        <f t="shared" si="73"/>
        <v>60.47999999999999</v>
      </c>
      <c r="L203">
        <f t="shared" si="74"/>
        <v>7.3331999999999997</v>
      </c>
      <c r="M203">
        <f t="shared" si="75"/>
        <v>6.9219360000000005</v>
      </c>
      <c r="N203">
        <f t="shared" si="76"/>
        <v>3.2507999999999999</v>
      </c>
      <c r="O203">
        <f t="shared" si="87"/>
        <v>5.7004178823529426</v>
      </c>
      <c r="P203">
        <f t="shared" si="77"/>
        <v>4.5356371490280774</v>
      </c>
      <c r="Q203">
        <f t="shared" si="78"/>
        <v>63</v>
      </c>
      <c r="R203">
        <f t="shared" si="79"/>
        <v>360</v>
      </c>
      <c r="S203">
        <f t="shared" si="80"/>
        <v>133.19999999999999</v>
      </c>
      <c r="T203">
        <f t="shared" si="81"/>
        <v>118.79999999999998</v>
      </c>
      <c r="U203">
        <f>I203*E203/'[1]Inverter Analysis'!$L$2</f>
        <v>217.39266693077019</v>
      </c>
      <c r="V203">
        <f t="shared" si="82"/>
        <v>317.46031746031747</v>
      </c>
      <c r="W203">
        <f t="shared" si="83"/>
        <v>600.60060060060061</v>
      </c>
      <c r="X203">
        <f t="shared" si="84"/>
        <v>211.64021164021165</v>
      </c>
      <c r="Y203">
        <f t="shared" si="85"/>
        <v>7.9358637917196484</v>
      </c>
      <c r="Z203">
        <f t="shared" si="86"/>
        <v>0.15877288636363635</v>
      </c>
    </row>
    <row r="204" spans="1:26" hidden="1">
      <c r="A204">
        <v>10</v>
      </c>
      <c r="B204" s="12">
        <v>6</v>
      </c>
      <c r="C204">
        <v>6</v>
      </c>
      <c r="D204">
        <f t="shared" si="66"/>
        <v>540</v>
      </c>
      <c r="E204">
        <f t="shared" si="67"/>
        <v>360</v>
      </c>
      <c r="F204">
        <f t="shared" si="68"/>
        <v>25.2</v>
      </c>
      <c r="G204">
        <f t="shared" si="69"/>
        <v>0.22</v>
      </c>
      <c r="H204">
        <f t="shared" si="70"/>
        <v>90.72</v>
      </c>
      <c r="I204">
        <f t="shared" si="71"/>
        <v>252</v>
      </c>
      <c r="J204">
        <f t="shared" si="72"/>
        <v>168</v>
      </c>
      <c r="K204">
        <f t="shared" si="73"/>
        <v>60.48</v>
      </c>
      <c r="L204">
        <f t="shared" si="74"/>
        <v>7.3331999999999988</v>
      </c>
      <c r="M204">
        <f t="shared" si="75"/>
        <v>6.9219360000000014</v>
      </c>
      <c r="N204">
        <f t="shared" si="76"/>
        <v>3.2507999999999999</v>
      </c>
      <c r="O204">
        <f t="shared" si="87"/>
        <v>5.7004178823529426</v>
      </c>
      <c r="P204">
        <f t="shared" si="77"/>
        <v>4.5356371490280774</v>
      </c>
      <c r="Q204">
        <f t="shared" si="78"/>
        <v>42</v>
      </c>
      <c r="R204">
        <f t="shared" si="79"/>
        <v>360</v>
      </c>
      <c r="S204">
        <f t="shared" si="80"/>
        <v>88.8</v>
      </c>
      <c r="T204">
        <f t="shared" si="81"/>
        <v>79.2</v>
      </c>
      <c r="U204">
        <f>I204*E204/'[1]Inverter Analysis'!$L$2</f>
        <v>217.39266693077019</v>
      </c>
      <c r="V204">
        <f t="shared" si="82"/>
        <v>476.1904761904762</v>
      </c>
      <c r="W204">
        <f t="shared" si="83"/>
        <v>900.90090090090098</v>
      </c>
      <c r="X204">
        <f t="shared" si="84"/>
        <v>317.46031746031747</v>
      </c>
      <c r="Y204">
        <f t="shared" si="85"/>
        <v>17.855693531369209</v>
      </c>
      <c r="Z204">
        <f t="shared" si="86"/>
        <v>7.0565727272727266E-2</v>
      </c>
    </row>
    <row r="205" spans="1:26" hidden="1">
      <c r="A205">
        <v>16</v>
      </c>
      <c r="B205">
        <v>2</v>
      </c>
      <c r="C205" s="12">
        <v>11</v>
      </c>
      <c r="D205">
        <f t="shared" si="66"/>
        <v>180</v>
      </c>
      <c r="E205">
        <f t="shared" si="67"/>
        <v>120</v>
      </c>
      <c r="F205">
        <f t="shared" si="68"/>
        <v>24.64</v>
      </c>
      <c r="G205">
        <f t="shared" si="69"/>
        <v>1.9359999999999999</v>
      </c>
      <c r="H205">
        <f t="shared" si="70"/>
        <v>88.703999999999994</v>
      </c>
      <c r="I205">
        <f t="shared" si="71"/>
        <v>739.2</v>
      </c>
      <c r="J205">
        <f t="shared" si="72"/>
        <v>492.79999999999995</v>
      </c>
      <c r="K205">
        <f t="shared" si="73"/>
        <v>59.135999999999996</v>
      </c>
      <c r="L205">
        <f t="shared" si="74"/>
        <v>7.1702399999999997</v>
      </c>
      <c r="M205">
        <f t="shared" si="75"/>
        <v>6.7681152000000013</v>
      </c>
      <c r="N205">
        <f t="shared" si="76"/>
        <v>3.1785600000000001</v>
      </c>
      <c r="O205">
        <f t="shared" si="87"/>
        <v>5.5737419294117663</v>
      </c>
      <c r="P205">
        <f t="shared" si="77"/>
        <v>2.4190064794816415</v>
      </c>
      <c r="Q205">
        <f t="shared" si="78"/>
        <v>67.2</v>
      </c>
      <c r="R205">
        <f t="shared" si="79"/>
        <v>352</v>
      </c>
      <c r="S205">
        <f t="shared" si="80"/>
        <v>260.47999999999996</v>
      </c>
      <c r="T205">
        <f t="shared" si="81"/>
        <v>232.32</v>
      </c>
      <c r="U205">
        <f>I205*E205/'[1]Inverter Analysis'!$L$2</f>
        <v>212.56171877675308</v>
      </c>
      <c r="V205">
        <f t="shared" si="82"/>
        <v>162.33766233766235</v>
      </c>
      <c r="W205">
        <f t="shared" si="83"/>
        <v>307.12530712530719</v>
      </c>
      <c r="X205">
        <f t="shared" si="84"/>
        <v>108.22510822510822</v>
      </c>
      <c r="Y205">
        <f t="shared" si="85"/>
        <v>2.0751709940899135</v>
      </c>
      <c r="Z205">
        <f t="shared" si="86"/>
        <v>0.59368601599999993</v>
      </c>
    </row>
    <row r="206" spans="1:26" s="15" customFormat="1">
      <c r="A206" s="15">
        <v>11</v>
      </c>
      <c r="B206" s="15">
        <v>4</v>
      </c>
      <c r="C206" s="16">
        <v>8</v>
      </c>
      <c r="D206" s="15">
        <f t="shared" si="66"/>
        <v>360</v>
      </c>
      <c r="E206" s="15">
        <f t="shared" si="67"/>
        <v>240</v>
      </c>
      <c r="F206" s="15">
        <f t="shared" si="68"/>
        <v>24.64</v>
      </c>
      <c r="G206" s="15">
        <f t="shared" si="69"/>
        <v>0.48399999999999999</v>
      </c>
      <c r="H206" s="15">
        <f t="shared" si="70"/>
        <v>88.703999999999994</v>
      </c>
      <c r="I206" s="15">
        <f t="shared" si="71"/>
        <v>369.6</v>
      </c>
      <c r="J206" s="15">
        <f t="shared" si="72"/>
        <v>246.39999999999998</v>
      </c>
      <c r="K206" s="15">
        <f t="shared" si="73"/>
        <v>59.135999999999996</v>
      </c>
      <c r="L206" s="15">
        <f t="shared" si="74"/>
        <v>7.1702399999999997</v>
      </c>
      <c r="M206" s="15">
        <f>$O$3/1000*I206*B206/1000</f>
        <v>6.7681152000000013</v>
      </c>
      <c r="N206" s="15">
        <f t="shared" si="76"/>
        <v>3.1785600000000001</v>
      </c>
      <c r="O206" s="15">
        <f t="shared" si="87"/>
        <v>5.5737419294117663</v>
      </c>
      <c r="P206" s="15">
        <f t="shared" si="77"/>
        <v>3.3261339092872571</v>
      </c>
      <c r="Q206" s="15">
        <f t="shared" si="78"/>
        <v>46.2</v>
      </c>
      <c r="R206" s="15">
        <f t="shared" si="79"/>
        <v>352</v>
      </c>
      <c r="S206" s="15">
        <f t="shared" si="80"/>
        <v>130.23999999999998</v>
      </c>
      <c r="T206" s="15">
        <f t="shared" si="81"/>
        <v>116.16</v>
      </c>
      <c r="U206" s="15">
        <f>I206*E206/'[1]Inverter Analysis'!$L$2</f>
        <v>212.56171877675308</v>
      </c>
      <c r="V206" s="15">
        <f t="shared" si="82"/>
        <v>324.6753246753247</v>
      </c>
      <c r="W206" s="15">
        <f t="shared" si="83"/>
        <v>614.25061425061438</v>
      </c>
      <c r="X206" s="15">
        <f t="shared" si="84"/>
        <v>216.45021645021643</v>
      </c>
      <c r="Y206" s="15">
        <f t="shared" si="85"/>
        <v>8.3006839763596538</v>
      </c>
      <c r="Z206" s="15">
        <f t="shared" si="86"/>
        <v>0.14842150399999998</v>
      </c>
    </row>
    <row r="207" spans="1:26" hidden="1">
      <c r="A207">
        <v>10</v>
      </c>
      <c r="B207" s="9">
        <v>5</v>
      </c>
      <c r="C207" s="12">
        <v>7</v>
      </c>
      <c r="D207">
        <f t="shared" si="66"/>
        <v>450</v>
      </c>
      <c r="E207">
        <f t="shared" si="67"/>
        <v>300</v>
      </c>
      <c r="F207">
        <f t="shared" si="68"/>
        <v>24.5</v>
      </c>
      <c r="G207">
        <f t="shared" si="69"/>
        <v>0.308</v>
      </c>
      <c r="H207">
        <f t="shared" si="70"/>
        <v>88.2</v>
      </c>
      <c r="I207">
        <f t="shared" si="71"/>
        <v>294</v>
      </c>
      <c r="J207">
        <f t="shared" si="72"/>
        <v>196</v>
      </c>
      <c r="K207">
        <f t="shared" si="73"/>
        <v>58.8</v>
      </c>
      <c r="L207">
        <f t="shared" si="74"/>
        <v>7.1294999999999993</v>
      </c>
      <c r="M207">
        <f t="shared" si="75"/>
        <v>6.72966</v>
      </c>
      <c r="N207">
        <f t="shared" si="76"/>
        <v>3.1604999999999999</v>
      </c>
      <c r="O207">
        <f t="shared" si="87"/>
        <v>5.5420729411764711</v>
      </c>
      <c r="P207">
        <f t="shared" si="77"/>
        <v>3.7796976241900646</v>
      </c>
      <c r="Q207">
        <f t="shared" si="78"/>
        <v>42</v>
      </c>
      <c r="R207">
        <f t="shared" si="79"/>
        <v>350</v>
      </c>
      <c r="S207">
        <f t="shared" si="80"/>
        <v>103.6</v>
      </c>
      <c r="T207">
        <f t="shared" si="81"/>
        <v>92.4</v>
      </c>
      <c r="U207">
        <f>I207*E207/'[1]Inverter Analysis'!$L$2</f>
        <v>211.35398173824882</v>
      </c>
      <c r="V207">
        <f t="shared" si="82"/>
        <v>408.16326530612247</v>
      </c>
      <c r="W207">
        <f t="shared" si="83"/>
        <v>772.20077220077224</v>
      </c>
      <c r="X207">
        <f t="shared" si="84"/>
        <v>272.10884353741494</v>
      </c>
      <c r="Y207">
        <f t="shared" si="85"/>
        <v>13.118468716924317</v>
      </c>
      <c r="Z207">
        <f t="shared" si="86"/>
        <v>9.3379801136363613E-2</v>
      </c>
    </row>
    <row r="208" spans="1:26" hidden="1">
      <c r="A208">
        <v>14</v>
      </c>
      <c r="B208">
        <v>2</v>
      </c>
      <c r="C208">
        <v>12</v>
      </c>
      <c r="D208">
        <f t="shared" si="66"/>
        <v>180</v>
      </c>
      <c r="E208">
        <f t="shared" si="67"/>
        <v>120</v>
      </c>
      <c r="F208">
        <f t="shared" si="68"/>
        <v>23.52</v>
      </c>
      <c r="G208">
        <f t="shared" si="69"/>
        <v>1.8479999999999999</v>
      </c>
      <c r="H208">
        <f t="shared" si="70"/>
        <v>84.671999999999997</v>
      </c>
      <c r="I208">
        <f t="shared" si="71"/>
        <v>705.6</v>
      </c>
      <c r="J208">
        <f t="shared" si="72"/>
        <v>470.4</v>
      </c>
      <c r="K208">
        <f t="shared" si="73"/>
        <v>56.448</v>
      </c>
      <c r="L208">
        <f t="shared" si="74"/>
        <v>6.8443199999999997</v>
      </c>
      <c r="M208">
        <f t="shared" si="75"/>
        <v>6.4604736000000003</v>
      </c>
      <c r="N208">
        <f t="shared" si="76"/>
        <v>3.0340799999999999</v>
      </c>
      <c r="O208">
        <f t="shared" si="87"/>
        <v>5.3203900235294128</v>
      </c>
      <c r="P208">
        <f t="shared" si="77"/>
        <v>2.1166306695464363</v>
      </c>
      <c r="Q208">
        <f t="shared" si="78"/>
        <v>58.800000000000004</v>
      </c>
      <c r="R208">
        <f t="shared" si="79"/>
        <v>336</v>
      </c>
      <c r="S208">
        <f t="shared" si="80"/>
        <v>248.64</v>
      </c>
      <c r="T208">
        <f t="shared" si="81"/>
        <v>221.76</v>
      </c>
      <c r="U208">
        <f>I208*E208/'[1]Inverter Analysis'!$L$2</f>
        <v>202.89982246871887</v>
      </c>
      <c r="V208">
        <f t="shared" si="82"/>
        <v>170.06802721088437</v>
      </c>
      <c r="W208">
        <f t="shared" si="83"/>
        <v>321.75032175032175</v>
      </c>
      <c r="X208">
        <f t="shared" si="84"/>
        <v>113.37868480725623</v>
      </c>
      <c r="Y208">
        <f t="shared" si="85"/>
        <v>2.2775119300215825</v>
      </c>
      <c r="Z208">
        <f t="shared" si="86"/>
        <v>0.51635294836363632</v>
      </c>
    </row>
    <row r="209" spans="1:26">
      <c r="A209">
        <v>12</v>
      </c>
      <c r="B209">
        <v>4</v>
      </c>
      <c r="C209" s="12">
        <v>7</v>
      </c>
      <c r="D209">
        <f t="shared" si="66"/>
        <v>360</v>
      </c>
      <c r="E209">
        <f t="shared" si="67"/>
        <v>240</v>
      </c>
      <c r="F209">
        <f t="shared" si="68"/>
        <v>23.52</v>
      </c>
      <c r="G209">
        <f t="shared" si="69"/>
        <v>0.46200000000000002</v>
      </c>
      <c r="H209">
        <f t="shared" si="70"/>
        <v>84.671999999999997</v>
      </c>
      <c r="I209">
        <f t="shared" si="71"/>
        <v>352.8</v>
      </c>
      <c r="J209">
        <f t="shared" si="72"/>
        <v>235.2</v>
      </c>
      <c r="K209">
        <f t="shared" si="73"/>
        <v>56.448</v>
      </c>
      <c r="L209">
        <f t="shared" si="74"/>
        <v>6.8443199999999997</v>
      </c>
      <c r="M209">
        <f t="shared" si="75"/>
        <v>6.4604736000000003</v>
      </c>
      <c r="N209">
        <f t="shared" si="76"/>
        <v>3.0340799999999999</v>
      </c>
      <c r="O209">
        <f t="shared" si="87"/>
        <v>5.3203900235294128</v>
      </c>
      <c r="P209">
        <f t="shared" si="77"/>
        <v>3.6285097192224618</v>
      </c>
      <c r="Q209">
        <f t="shared" si="78"/>
        <v>50.4</v>
      </c>
      <c r="R209">
        <f t="shared" si="79"/>
        <v>336</v>
      </c>
      <c r="S209">
        <f t="shared" si="80"/>
        <v>124.31999999999998</v>
      </c>
      <c r="T209">
        <f t="shared" si="81"/>
        <v>110.88000000000001</v>
      </c>
      <c r="U209">
        <f>I209*E209/'[1]Inverter Analysis'!$L$2</f>
        <v>202.89982246871887</v>
      </c>
      <c r="V209">
        <f t="shared" si="82"/>
        <v>340.13605442176873</v>
      </c>
      <c r="W209">
        <f t="shared" si="83"/>
        <v>643.5006435006436</v>
      </c>
      <c r="X209">
        <f t="shared" si="84"/>
        <v>226.75736961451247</v>
      </c>
      <c r="Y209">
        <f t="shared" si="85"/>
        <v>9.1100477200863335</v>
      </c>
      <c r="Z209">
        <f t="shared" si="86"/>
        <v>0.12908823709090905</v>
      </c>
    </row>
    <row r="210" spans="1:26">
      <c r="A210">
        <v>14</v>
      </c>
      <c r="B210">
        <v>4</v>
      </c>
      <c r="C210">
        <v>6</v>
      </c>
      <c r="D210">
        <f t="shared" si="66"/>
        <v>360</v>
      </c>
      <c r="E210">
        <f t="shared" si="67"/>
        <v>240</v>
      </c>
      <c r="F210">
        <f t="shared" si="68"/>
        <v>23.52</v>
      </c>
      <c r="G210">
        <f t="shared" si="69"/>
        <v>0.46199999999999997</v>
      </c>
      <c r="H210">
        <f t="shared" si="70"/>
        <v>84.671999999999997</v>
      </c>
      <c r="I210">
        <f t="shared" si="71"/>
        <v>352.8</v>
      </c>
      <c r="J210">
        <f t="shared" si="72"/>
        <v>235.2</v>
      </c>
      <c r="K210">
        <f t="shared" si="73"/>
        <v>56.448</v>
      </c>
      <c r="L210">
        <f t="shared" si="74"/>
        <v>6.8443199999999997</v>
      </c>
      <c r="M210">
        <f t="shared" si="75"/>
        <v>6.4604736000000003</v>
      </c>
      <c r="N210">
        <f t="shared" si="76"/>
        <v>3.0340799999999999</v>
      </c>
      <c r="O210">
        <f t="shared" si="87"/>
        <v>5.3203900235294128</v>
      </c>
      <c r="P210">
        <f t="shared" si="77"/>
        <v>4.2332613390928726</v>
      </c>
      <c r="Q210">
        <f t="shared" si="78"/>
        <v>58.800000000000004</v>
      </c>
      <c r="R210">
        <f t="shared" si="79"/>
        <v>336</v>
      </c>
      <c r="S210">
        <f t="shared" si="80"/>
        <v>124.32</v>
      </c>
      <c r="T210">
        <f t="shared" si="81"/>
        <v>110.88</v>
      </c>
      <c r="U210">
        <f>I210*E210/'[1]Inverter Analysis'!$L$2</f>
        <v>202.89982246871887</v>
      </c>
      <c r="V210">
        <f t="shared" si="82"/>
        <v>340.13605442176873</v>
      </c>
      <c r="W210">
        <f t="shared" si="83"/>
        <v>643.50064350064349</v>
      </c>
      <c r="X210">
        <f t="shared" si="84"/>
        <v>226.75736961451247</v>
      </c>
      <c r="Y210">
        <f t="shared" si="85"/>
        <v>9.1100477200863299</v>
      </c>
      <c r="Z210">
        <f t="shared" si="86"/>
        <v>0.12908823709090908</v>
      </c>
    </row>
    <row r="211" spans="1:26" hidden="1">
      <c r="A211">
        <v>15</v>
      </c>
      <c r="B211">
        <v>2</v>
      </c>
      <c r="C211" s="12">
        <v>11</v>
      </c>
      <c r="D211">
        <f t="shared" si="66"/>
        <v>180</v>
      </c>
      <c r="E211">
        <f t="shared" si="67"/>
        <v>120</v>
      </c>
      <c r="F211">
        <f t="shared" si="68"/>
        <v>23.1</v>
      </c>
      <c r="G211">
        <f t="shared" si="69"/>
        <v>1.8149999999999997</v>
      </c>
      <c r="H211">
        <f t="shared" si="70"/>
        <v>83.16</v>
      </c>
      <c r="I211">
        <f t="shared" si="71"/>
        <v>693</v>
      </c>
      <c r="J211">
        <f t="shared" si="72"/>
        <v>461.99999999999994</v>
      </c>
      <c r="K211">
        <f t="shared" si="73"/>
        <v>55.439999999999991</v>
      </c>
      <c r="L211">
        <f t="shared" si="74"/>
        <v>6.7220999999999993</v>
      </c>
      <c r="M211">
        <f t="shared" si="75"/>
        <v>6.3451079999999997</v>
      </c>
      <c r="N211">
        <f t="shared" si="76"/>
        <v>2.9799000000000002</v>
      </c>
      <c r="O211">
        <f t="shared" si="87"/>
        <v>5.2253830588235299</v>
      </c>
      <c r="P211">
        <f t="shared" si="77"/>
        <v>2.2678185745140387</v>
      </c>
      <c r="Q211">
        <f t="shared" si="78"/>
        <v>63</v>
      </c>
      <c r="R211">
        <f t="shared" si="79"/>
        <v>330</v>
      </c>
      <c r="S211">
        <f t="shared" si="80"/>
        <v>244.2</v>
      </c>
      <c r="T211">
        <f t="shared" si="81"/>
        <v>217.79999999999995</v>
      </c>
      <c r="U211">
        <f>I211*E211/'[1]Inverter Analysis'!$L$2</f>
        <v>199.27661135320602</v>
      </c>
      <c r="V211">
        <f t="shared" si="82"/>
        <v>173.16017316017317</v>
      </c>
      <c r="W211">
        <f t="shared" si="83"/>
        <v>327.6003276003276</v>
      </c>
      <c r="X211">
        <f t="shared" si="84"/>
        <v>115.44011544011543</v>
      </c>
      <c r="Y211">
        <f t="shared" si="85"/>
        <v>2.361083442164523</v>
      </c>
      <c r="Z211">
        <f t="shared" si="86"/>
        <v>0.48918220312500005</v>
      </c>
    </row>
    <row r="212" spans="1:26" hidden="1">
      <c r="A212">
        <v>11</v>
      </c>
      <c r="B212" s="9">
        <v>5</v>
      </c>
      <c r="C212">
        <v>6</v>
      </c>
      <c r="D212">
        <f t="shared" si="66"/>
        <v>450</v>
      </c>
      <c r="E212">
        <f t="shared" si="67"/>
        <v>300</v>
      </c>
      <c r="F212">
        <f t="shared" si="68"/>
        <v>23.1</v>
      </c>
      <c r="G212">
        <f t="shared" si="69"/>
        <v>0.29039999999999994</v>
      </c>
      <c r="H212">
        <f t="shared" si="70"/>
        <v>83.16</v>
      </c>
      <c r="I212">
        <f t="shared" si="71"/>
        <v>277.2</v>
      </c>
      <c r="J212">
        <f t="shared" si="72"/>
        <v>184.79999999999998</v>
      </c>
      <c r="K212">
        <f t="shared" si="73"/>
        <v>55.439999999999991</v>
      </c>
      <c r="L212">
        <f t="shared" si="74"/>
        <v>6.7220999999999993</v>
      </c>
      <c r="M212">
        <f t="shared" si="75"/>
        <v>6.3451079999999997</v>
      </c>
      <c r="N212">
        <f t="shared" si="76"/>
        <v>2.9798999999999998</v>
      </c>
      <c r="O212">
        <f t="shared" si="87"/>
        <v>5.2253830588235299</v>
      </c>
      <c r="P212">
        <f t="shared" si="77"/>
        <v>4.157667386609071</v>
      </c>
      <c r="Q212">
        <f t="shared" si="78"/>
        <v>46.199999999999996</v>
      </c>
      <c r="R212">
        <f t="shared" si="79"/>
        <v>330</v>
      </c>
      <c r="S212">
        <f t="shared" si="80"/>
        <v>97.68</v>
      </c>
      <c r="T212">
        <f t="shared" si="81"/>
        <v>87.119999999999976</v>
      </c>
      <c r="U212">
        <f>I212*E212/'[1]Inverter Analysis'!$L$2</f>
        <v>199.27661135320602</v>
      </c>
      <c r="V212">
        <f t="shared" si="82"/>
        <v>432.90043290043292</v>
      </c>
      <c r="W212">
        <f t="shared" si="83"/>
        <v>819.00081900081898</v>
      </c>
      <c r="X212">
        <f t="shared" si="84"/>
        <v>288.60028860028859</v>
      </c>
      <c r="Y212">
        <f t="shared" si="85"/>
        <v>14.756771513528269</v>
      </c>
      <c r="Z212">
        <f t="shared" si="86"/>
        <v>7.8269152499999994E-2</v>
      </c>
    </row>
    <row r="213" spans="1:26" hidden="1">
      <c r="A213">
        <v>16</v>
      </c>
      <c r="B213">
        <v>2</v>
      </c>
      <c r="C213" s="12">
        <v>10</v>
      </c>
      <c r="D213">
        <f t="shared" si="66"/>
        <v>180</v>
      </c>
      <c r="E213">
        <f t="shared" si="67"/>
        <v>120</v>
      </c>
      <c r="F213">
        <f t="shared" si="68"/>
        <v>22.4</v>
      </c>
      <c r="G213">
        <f t="shared" si="69"/>
        <v>1.7599999999999998</v>
      </c>
      <c r="H213">
        <f t="shared" si="70"/>
        <v>80.64</v>
      </c>
      <c r="I213">
        <f t="shared" si="71"/>
        <v>672</v>
      </c>
      <c r="J213">
        <f t="shared" si="72"/>
        <v>448</v>
      </c>
      <c r="K213">
        <f t="shared" si="73"/>
        <v>53.76</v>
      </c>
      <c r="L213">
        <f t="shared" si="74"/>
        <v>6.5183999999999997</v>
      </c>
      <c r="M213">
        <f t="shared" si="75"/>
        <v>6.1528320000000001</v>
      </c>
      <c r="N213">
        <f t="shared" si="76"/>
        <v>2.8895999999999997</v>
      </c>
      <c r="O213">
        <f t="shared" si="87"/>
        <v>5.0670381176470594</v>
      </c>
      <c r="P213">
        <f t="shared" si="77"/>
        <v>2.4190064794816415</v>
      </c>
      <c r="Q213">
        <f t="shared" si="78"/>
        <v>67.2</v>
      </c>
      <c r="R213">
        <f t="shared" si="79"/>
        <v>320</v>
      </c>
      <c r="S213">
        <f t="shared" si="80"/>
        <v>236.8</v>
      </c>
      <c r="T213">
        <f t="shared" si="81"/>
        <v>211.2</v>
      </c>
      <c r="U213">
        <f>I213*E213/'[1]Inverter Analysis'!$L$2</f>
        <v>193.23792616068462</v>
      </c>
      <c r="V213">
        <f t="shared" si="82"/>
        <v>178.57142857142858</v>
      </c>
      <c r="W213">
        <f t="shared" si="83"/>
        <v>337.83783783783781</v>
      </c>
      <c r="X213">
        <f t="shared" si="84"/>
        <v>119.04761904761905</v>
      </c>
      <c r="Y213">
        <f t="shared" si="85"/>
        <v>2.5109569028487941</v>
      </c>
      <c r="Z213">
        <f t="shared" si="86"/>
        <v>0.44604509090909106</v>
      </c>
    </row>
    <row r="214" spans="1:26" hidden="1">
      <c r="A214">
        <v>10</v>
      </c>
      <c r="B214">
        <v>4</v>
      </c>
      <c r="C214" s="12">
        <v>8</v>
      </c>
      <c r="D214">
        <f t="shared" si="66"/>
        <v>360</v>
      </c>
      <c r="E214">
        <f t="shared" si="67"/>
        <v>240</v>
      </c>
      <c r="F214">
        <f t="shared" si="68"/>
        <v>22.4</v>
      </c>
      <c r="G214">
        <f t="shared" si="69"/>
        <v>0.43999999999999995</v>
      </c>
      <c r="H214">
        <f t="shared" si="70"/>
        <v>80.64</v>
      </c>
      <c r="I214">
        <f t="shared" si="71"/>
        <v>336</v>
      </c>
      <c r="J214">
        <f t="shared" si="72"/>
        <v>224</v>
      </c>
      <c r="K214">
        <f t="shared" si="73"/>
        <v>53.76</v>
      </c>
      <c r="L214">
        <f t="shared" si="74"/>
        <v>6.5183999999999997</v>
      </c>
      <c r="M214">
        <f t="shared" si="75"/>
        <v>6.1528320000000001</v>
      </c>
      <c r="N214">
        <f t="shared" si="76"/>
        <v>2.8895999999999997</v>
      </c>
      <c r="O214">
        <f t="shared" si="87"/>
        <v>5.0670381176470594</v>
      </c>
      <c r="P214">
        <f t="shared" si="77"/>
        <v>3.0237580993520519</v>
      </c>
      <c r="Q214">
        <f t="shared" si="78"/>
        <v>42</v>
      </c>
      <c r="R214">
        <f t="shared" si="79"/>
        <v>320</v>
      </c>
      <c r="S214">
        <f t="shared" si="80"/>
        <v>118.4</v>
      </c>
      <c r="T214">
        <f t="shared" si="81"/>
        <v>105.6</v>
      </c>
      <c r="U214">
        <f>I214*E214/'[1]Inverter Analysis'!$L$2</f>
        <v>193.23792616068462</v>
      </c>
      <c r="V214">
        <f t="shared" si="82"/>
        <v>357.14285714285717</v>
      </c>
      <c r="W214">
        <f t="shared" si="83"/>
        <v>675.67567567567562</v>
      </c>
      <c r="X214">
        <f t="shared" si="84"/>
        <v>238.0952380952381</v>
      </c>
      <c r="Y214">
        <f t="shared" si="85"/>
        <v>10.043827611395177</v>
      </c>
      <c r="Z214">
        <f t="shared" si="86"/>
        <v>0.11151127272727276</v>
      </c>
    </row>
    <row r="215" spans="1:26" hidden="1">
      <c r="A215">
        <v>13</v>
      </c>
      <c r="B215">
        <v>2</v>
      </c>
      <c r="C215">
        <v>12</v>
      </c>
      <c r="D215">
        <f t="shared" si="66"/>
        <v>180</v>
      </c>
      <c r="E215">
        <f t="shared" si="67"/>
        <v>120</v>
      </c>
      <c r="F215">
        <f t="shared" si="68"/>
        <v>21.84</v>
      </c>
      <c r="G215">
        <f t="shared" si="69"/>
        <v>1.7159999999999997</v>
      </c>
      <c r="H215">
        <f t="shared" si="70"/>
        <v>78.623999999999995</v>
      </c>
      <c r="I215">
        <f t="shared" si="71"/>
        <v>655.20000000000005</v>
      </c>
      <c r="J215">
        <f t="shared" si="72"/>
        <v>436.79999999999995</v>
      </c>
      <c r="K215">
        <f t="shared" si="73"/>
        <v>52.41599999999999</v>
      </c>
      <c r="L215">
        <f t="shared" si="74"/>
        <v>6.3554399999999998</v>
      </c>
      <c r="M215">
        <f t="shared" si="75"/>
        <v>5.9990112000000009</v>
      </c>
      <c r="N215">
        <f t="shared" si="76"/>
        <v>2.8173600000000003</v>
      </c>
      <c r="O215">
        <f t="shared" si="87"/>
        <v>4.9403621647058831</v>
      </c>
      <c r="P215">
        <f t="shared" si="77"/>
        <v>1.9654427645788335</v>
      </c>
      <c r="Q215">
        <f t="shared" si="78"/>
        <v>54.6</v>
      </c>
      <c r="R215">
        <f t="shared" si="79"/>
        <v>312</v>
      </c>
      <c r="S215">
        <f t="shared" si="80"/>
        <v>230.88</v>
      </c>
      <c r="T215">
        <f t="shared" si="81"/>
        <v>205.91999999999996</v>
      </c>
      <c r="U215">
        <f>I215*E215/'[1]Inverter Analysis'!$L$2</f>
        <v>188.40697800666752</v>
      </c>
      <c r="V215">
        <f t="shared" si="82"/>
        <v>183.15018315018318</v>
      </c>
      <c r="W215">
        <f t="shared" si="83"/>
        <v>346.5003465003465</v>
      </c>
      <c r="X215">
        <f t="shared" si="84"/>
        <v>122.10012210012209</v>
      </c>
      <c r="Y215">
        <f t="shared" si="85"/>
        <v>2.6413747827469236</v>
      </c>
      <c r="Z215">
        <f t="shared" si="86"/>
        <v>0.41342107418181828</v>
      </c>
    </row>
    <row r="216" spans="1:26" hidden="1">
      <c r="A216">
        <v>13</v>
      </c>
      <c r="B216">
        <v>4</v>
      </c>
      <c r="C216">
        <v>6</v>
      </c>
      <c r="D216">
        <f t="shared" si="66"/>
        <v>360</v>
      </c>
      <c r="E216">
        <f t="shared" si="67"/>
        <v>240</v>
      </c>
      <c r="F216">
        <f t="shared" si="68"/>
        <v>21.84</v>
      </c>
      <c r="G216">
        <f t="shared" si="69"/>
        <v>0.42899999999999994</v>
      </c>
      <c r="H216">
        <f t="shared" si="70"/>
        <v>78.623999999999995</v>
      </c>
      <c r="I216">
        <f t="shared" si="71"/>
        <v>327.60000000000002</v>
      </c>
      <c r="J216">
        <f t="shared" si="72"/>
        <v>218.39999999999998</v>
      </c>
      <c r="K216">
        <f t="shared" si="73"/>
        <v>52.41599999999999</v>
      </c>
      <c r="L216">
        <f t="shared" si="74"/>
        <v>6.3554399999999998</v>
      </c>
      <c r="M216">
        <f t="shared" si="75"/>
        <v>5.9990112000000009</v>
      </c>
      <c r="N216">
        <f t="shared" si="76"/>
        <v>2.8173600000000003</v>
      </c>
      <c r="O216">
        <f t="shared" si="87"/>
        <v>4.9403621647058831</v>
      </c>
      <c r="P216">
        <f t="shared" si="77"/>
        <v>3.930885529157667</v>
      </c>
      <c r="Q216">
        <f t="shared" si="78"/>
        <v>54.6</v>
      </c>
      <c r="R216">
        <f t="shared" si="79"/>
        <v>312</v>
      </c>
      <c r="S216">
        <f t="shared" si="80"/>
        <v>115.44</v>
      </c>
      <c r="T216">
        <f t="shared" si="81"/>
        <v>102.95999999999998</v>
      </c>
      <c r="U216">
        <f>I216*E216/'[1]Inverter Analysis'!$L$2</f>
        <v>188.40697800666752</v>
      </c>
      <c r="V216">
        <f t="shared" si="82"/>
        <v>366.30036630036636</v>
      </c>
      <c r="W216">
        <f t="shared" si="83"/>
        <v>693.00069300069299</v>
      </c>
      <c r="X216">
        <f t="shared" si="84"/>
        <v>244.20024420024419</v>
      </c>
      <c r="Y216">
        <f t="shared" si="85"/>
        <v>10.565499130987694</v>
      </c>
      <c r="Z216">
        <f t="shared" si="86"/>
        <v>0.10335526854545457</v>
      </c>
    </row>
    <row r="217" spans="1:26" hidden="1">
      <c r="A217">
        <v>14</v>
      </c>
      <c r="B217">
        <v>2</v>
      </c>
      <c r="C217" s="12">
        <v>11</v>
      </c>
      <c r="D217">
        <f t="shared" si="66"/>
        <v>180</v>
      </c>
      <c r="E217">
        <f t="shared" si="67"/>
        <v>120</v>
      </c>
      <c r="F217">
        <f t="shared" si="68"/>
        <v>21.56</v>
      </c>
      <c r="G217">
        <f t="shared" si="69"/>
        <v>1.694</v>
      </c>
      <c r="H217">
        <f t="shared" si="70"/>
        <v>77.616000000000014</v>
      </c>
      <c r="I217">
        <f t="shared" si="71"/>
        <v>646.80000000000007</v>
      </c>
      <c r="J217">
        <f t="shared" si="72"/>
        <v>431.2</v>
      </c>
      <c r="K217">
        <f t="shared" si="73"/>
        <v>51.744</v>
      </c>
      <c r="L217">
        <f t="shared" si="74"/>
        <v>6.2739599999999998</v>
      </c>
      <c r="M217">
        <f t="shared" si="75"/>
        <v>5.9221008000000008</v>
      </c>
      <c r="N217">
        <f t="shared" si="76"/>
        <v>2.7812400000000004</v>
      </c>
      <c r="O217">
        <f t="shared" si="87"/>
        <v>4.8770241882352954</v>
      </c>
      <c r="P217">
        <f t="shared" si="77"/>
        <v>2.1166306695464367</v>
      </c>
      <c r="Q217">
        <f t="shared" si="78"/>
        <v>58.800000000000004</v>
      </c>
      <c r="R217">
        <f t="shared" si="79"/>
        <v>308</v>
      </c>
      <c r="S217">
        <f t="shared" si="80"/>
        <v>227.92</v>
      </c>
      <c r="T217">
        <f t="shared" si="81"/>
        <v>203.28</v>
      </c>
      <c r="U217">
        <f>I217*E217/'[1]Inverter Analysis'!$L$2</f>
        <v>185.99150392965899</v>
      </c>
      <c r="V217">
        <f t="shared" si="82"/>
        <v>185.5287569573284</v>
      </c>
      <c r="W217">
        <f t="shared" si="83"/>
        <v>351.00035100035103</v>
      </c>
      <c r="X217">
        <f t="shared" si="84"/>
        <v>123.68583797155225</v>
      </c>
      <c r="Y217">
        <f t="shared" si="85"/>
        <v>2.7104274208521315</v>
      </c>
      <c r="Z217">
        <f t="shared" si="86"/>
        <v>0.39772324899999995</v>
      </c>
    </row>
    <row r="218" spans="1:26" hidden="1">
      <c r="A218">
        <v>11</v>
      </c>
      <c r="B218">
        <v>4</v>
      </c>
      <c r="C218" s="12">
        <v>7</v>
      </c>
      <c r="D218">
        <f t="shared" si="66"/>
        <v>360</v>
      </c>
      <c r="E218">
        <f t="shared" si="67"/>
        <v>240</v>
      </c>
      <c r="F218">
        <f t="shared" si="68"/>
        <v>21.56</v>
      </c>
      <c r="G218">
        <f t="shared" si="69"/>
        <v>0.42349999999999999</v>
      </c>
      <c r="H218">
        <f t="shared" si="70"/>
        <v>77.616000000000014</v>
      </c>
      <c r="I218">
        <f t="shared" si="71"/>
        <v>323.40000000000003</v>
      </c>
      <c r="J218">
        <f t="shared" si="72"/>
        <v>215.6</v>
      </c>
      <c r="K218">
        <f t="shared" si="73"/>
        <v>51.744</v>
      </c>
      <c r="L218">
        <f t="shared" si="74"/>
        <v>6.2739599999999998</v>
      </c>
      <c r="M218">
        <f t="shared" si="75"/>
        <v>5.9221008000000008</v>
      </c>
      <c r="N218">
        <f t="shared" si="76"/>
        <v>2.7812400000000004</v>
      </c>
      <c r="O218">
        <f t="shared" si="87"/>
        <v>4.8770241882352954</v>
      </c>
      <c r="P218">
        <f t="shared" si="77"/>
        <v>3.3261339092872575</v>
      </c>
      <c r="Q218">
        <f t="shared" si="78"/>
        <v>46.2</v>
      </c>
      <c r="R218">
        <f t="shared" si="79"/>
        <v>308</v>
      </c>
      <c r="S218">
        <f t="shared" si="80"/>
        <v>113.96</v>
      </c>
      <c r="T218">
        <f t="shared" si="81"/>
        <v>101.64</v>
      </c>
      <c r="U218">
        <f>I218*E218/'[1]Inverter Analysis'!$L$2</f>
        <v>185.99150392965899</v>
      </c>
      <c r="V218">
        <f t="shared" si="82"/>
        <v>371.05751391465679</v>
      </c>
      <c r="W218">
        <f t="shared" si="83"/>
        <v>702.00070200070206</v>
      </c>
      <c r="X218">
        <f t="shared" si="84"/>
        <v>247.37167594310449</v>
      </c>
      <c r="Y218">
        <f t="shared" si="85"/>
        <v>10.841709683408526</v>
      </c>
      <c r="Z218">
        <f t="shared" si="86"/>
        <v>9.9430812249999986E-2</v>
      </c>
    </row>
    <row r="219" spans="1:26" hidden="1">
      <c r="A219">
        <v>15</v>
      </c>
      <c r="B219">
        <v>2</v>
      </c>
      <c r="C219" s="12">
        <v>10</v>
      </c>
      <c r="D219">
        <f t="shared" si="66"/>
        <v>180</v>
      </c>
      <c r="E219">
        <f t="shared" si="67"/>
        <v>120</v>
      </c>
      <c r="F219">
        <f t="shared" si="68"/>
        <v>21</v>
      </c>
      <c r="G219">
        <f t="shared" si="69"/>
        <v>1.65</v>
      </c>
      <c r="H219">
        <f t="shared" si="70"/>
        <v>75.599999999999994</v>
      </c>
      <c r="I219">
        <f t="shared" si="71"/>
        <v>630</v>
      </c>
      <c r="J219">
        <f t="shared" si="72"/>
        <v>420</v>
      </c>
      <c r="K219">
        <f t="shared" si="73"/>
        <v>50.4</v>
      </c>
      <c r="L219">
        <f t="shared" si="74"/>
        <v>6.1109999999999998</v>
      </c>
      <c r="M219">
        <f t="shared" si="75"/>
        <v>5.7682800000000007</v>
      </c>
      <c r="N219">
        <f t="shared" si="76"/>
        <v>2.7090000000000001</v>
      </c>
      <c r="O219">
        <f t="shared" si="87"/>
        <v>4.7503482352941191</v>
      </c>
      <c r="P219">
        <f t="shared" si="77"/>
        <v>2.2678185745140391</v>
      </c>
      <c r="Q219">
        <f t="shared" si="78"/>
        <v>63</v>
      </c>
      <c r="R219">
        <f t="shared" si="79"/>
        <v>300</v>
      </c>
      <c r="S219">
        <f t="shared" si="80"/>
        <v>222</v>
      </c>
      <c r="T219">
        <f t="shared" si="81"/>
        <v>198</v>
      </c>
      <c r="U219">
        <f>I219*E219/'[1]Inverter Analysis'!$L$2</f>
        <v>181.16055577564182</v>
      </c>
      <c r="V219">
        <f t="shared" si="82"/>
        <v>190.47619047619048</v>
      </c>
      <c r="W219">
        <f t="shared" si="83"/>
        <v>360.36036036036035</v>
      </c>
      <c r="X219">
        <f t="shared" si="84"/>
        <v>126.98412698412699</v>
      </c>
      <c r="Y219">
        <f t="shared" si="85"/>
        <v>2.8569109650190727</v>
      </c>
      <c r="Z219">
        <f t="shared" si="86"/>
        <v>0.3675298295454546</v>
      </c>
    </row>
    <row r="220" spans="1:26" hidden="1">
      <c r="A220">
        <v>10</v>
      </c>
      <c r="B220" s="9">
        <v>5</v>
      </c>
      <c r="C220">
        <v>6</v>
      </c>
      <c r="D220">
        <f t="shared" si="66"/>
        <v>450</v>
      </c>
      <c r="E220">
        <f t="shared" si="67"/>
        <v>300</v>
      </c>
      <c r="F220">
        <f t="shared" si="68"/>
        <v>21</v>
      </c>
      <c r="G220">
        <f t="shared" si="69"/>
        <v>0.26400000000000001</v>
      </c>
      <c r="H220">
        <f t="shared" si="70"/>
        <v>75.599999999999994</v>
      </c>
      <c r="I220">
        <f t="shared" si="71"/>
        <v>252</v>
      </c>
      <c r="J220">
        <f t="shared" si="72"/>
        <v>168</v>
      </c>
      <c r="K220">
        <f t="shared" si="73"/>
        <v>50.4</v>
      </c>
      <c r="L220">
        <f t="shared" si="74"/>
        <v>6.1109999999999989</v>
      </c>
      <c r="M220">
        <f t="shared" si="75"/>
        <v>5.7682800000000007</v>
      </c>
      <c r="N220">
        <f t="shared" si="76"/>
        <v>2.7090000000000001</v>
      </c>
      <c r="O220">
        <f t="shared" si="87"/>
        <v>4.7503482352941191</v>
      </c>
      <c r="P220">
        <f t="shared" si="77"/>
        <v>3.7796976241900651</v>
      </c>
      <c r="Q220">
        <f t="shared" si="78"/>
        <v>42</v>
      </c>
      <c r="R220">
        <f t="shared" si="79"/>
        <v>300</v>
      </c>
      <c r="S220">
        <f t="shared" si="80"/>
        <v>88.8</v>
      </c>
      <c r="T220">
        <f t="shared" si="81"/>
        <v>79.2</v>
      </c>
      <c r="U220">
        <f>I220*E220/'[1]Inverter Analysis'!$L$2</f>
        <v>181.16055577564182</v>
      </c>
      <c r="V220">
        <f t="shared" si="82"/>
        <v>476.1904761904762</v>
      </c>
      <c r="W220">
        <f t="shared" si="83"/>
        <v>900.90090090090098</v>
      </c>
      <c r="X220">
        <f t="shared" si="84"/>
        <v>317.46031746031747</v>
      </c>
      <c r="Y220">
        <f t="shared" si="85"/>
        <v>17.855693531369209</v>
      </c>
      <c r="Z220">
        <f t="shared" si="86"/>
        <v>5.8804772727272726E-2</v>
      </c>
    </row>
    <row r="221" spans="1:26" hidden="1">
      <c r="A221">
        <v>12</v>
      </c>
      <c r="B221">
        <v>4</v>
      </c>
      <c r="C221">
        <v>6</v>
      </c>
      <c r="D221">
        <f t="shared" si="66"/>
        <v>360</v>
      </c>
      <c r="E221">
        <f t="shared" si="67"/>
        <v>240</v>
      </c>
      <c r="F221">
        <f t="shared" si="68"/>
        <v>20.16</v>
      </c>
      <c r="G221">
        <f t="shared" si="69"/>
        <v>0.39600000000000002</v>
      </c>
      <c r="H221">
        <f t="shared" si="70"/>
        <v>72.576000000000008</v>
      </c>
      <c r="I221">
        <f t="shared" si="71"/>
        <v>302.40000000000003</v>
      </c>
      <c r="J221">
        <f t="shared" si="72"/>
        <v>201.6</v>
      </c>
      <c r="K221">
        <f t="shared" si="73"/>
        <v>48.384</v>
      </c>
      <c r="L221">
        <f t="shared" si="74"/>
        <v>5.8665600000000007</v>
      </c>
      <c r="M221">
        <f t="shared" si="75"/>
        <v>5.5375488000000015</v>
      </c>
      <c r="N221">
        <f t="shared" si="76"/>
        <v>2.6006400000000003</v>
      </c>
      <c r="O221">
        <f t="shared" si="87"/>
        <v>4.5603343058823542</v>
      </c>
      <c r="P221">
        <f t="shared" si="77"/>
        <v>3.6285097192224627</v>
      </c>
      <c r="Q221">
        <f t="shared" si="78"/>
        <v>50.400000000000006</v>
      </c>
      <c r="R221">
        <f t="shared" si="79"/>
        <v>288</v>
      </c>
      <c r="S221">
        <f t="shared" si="80"/>
        <v>106.55999999999999</v>
      </c>
      <c r="T221">
        <f t="shared" si="81"/>
        <v>95.04</v>
      </c>
      <c r="U221">
        <f>I221*E221/'[1]Inverter Analysis'!$L$2</f>
        <v>173.91413354461619</v>
      </c>
      <c r="V221">
        <f t="shared" si="82"/>
        <v>396.82539682539681</v>
      </c>
      <c r="W221">
        <f t="shared" si="83"/>
        <v>750.75075075075085</v>
      </c>
      <c r="X221">
        <f t="shared" si="84"/>
        <v>264.5502645502645</v>
      </c>
      <c r="Y221">
        <f t="shared" si="85"/>
        <v>12.399787174561951</v>
      </c>
      <c r="Z221">
        <f t="shared" si="86"/>
        <v>8.1291717818181813E-2</v>
      </c>
    </row>
    <row r="222" spans="1:26" hidden="1">
      <c r="A222">
        <v>10</v>
      </c>
      <c r="B222">
        <v>4</v>
      </c>
      <c r="C222" s="12">
        <v>7</v>
      </c>
      <c r="D222">
        <f t="shared" si="66"/>
        <v>360</v>
      </c>
      <c r="E222">
        <f t="shared" si="67"/>
        <v>240</v>
      </c>
      <c r="F222">
        <f t="shared" si="68"/>
        <v>19.600000000000001</v>
      </c>
      <c r="G222">
        <f t="shared" si="69"/>
        <v>0.38499999999999995</v>
      </c>
      <c r="H222">
        <f t="shared" si="70"/>
        <v>70.56</v>
      </c>
      <c r="I222">
        <f t="shared" si="71"/>
        <v>294</v>
      </c>
      <c r="J222">
        <f t="shared" si="72"/>
        <v>196</v>
      </c>
      <c r="K222">
        <f t="shared" si="73"/>
        <v>47.04</v>
      </c>
      <c r="L222">
        <f t="shared" si="74"/>
        <v>5.7035999999999998</v>
      </c>
      <c r="M222">
        <f t="shared" si="75"/>
        <v>5.3837279999999996</v>
      </c>
      <c r="N222">
        <f t="shared" si="76"/>
        <v>2.5284</v>
      </c>
      <c r="O222">
        <f t="shared" si="87"/>
        <v>4.4336583529411762</v>
      </c>
      <c r="P222">
        <f t="shared" si="77"/>
        <v>3.0237580993520514</v>
      </c>
      <c r="Q222">
        <f t="shared" si="78"/>
        <v>42</v>
      </c>
      <c r="R222">
        <f t="shared" si="79"/>
        <v>280</v>
      </c>
      <c r="S222">
        <f t="shared" si="80"/>
        <v>103.60000000000001</v>
      </c>
      <c r="T222">
        <f t="shared" si="81"/>
        <v>92.399999999999991</v>
      </c>
      <c r="U222">
        <f>I222*E222/'[1]Inverter Analysis'!$L$2</f>
        <v>169.08318539059906</v>
      </c>
      <c r="V222">
        <f t="shared" si="82"/>
        <v>408.16326530612247</v>
      </c>
      <c r="W222">
        <f t="shared" si="83"/>
        <v>772.20077220077212</v>
      </c>
      <c r="X222">
        <f t="shared" si="84"/>
        <v>272.10884353741494</v>
      </c>
      <c r="Y222">
        <f t="shared" si="85"/>
        <v>13.118468716924312</v>
      </c>
      <c r="Z222">
        <f t="shared" si="86"/>
        <v>7.4703840909090935E-2</v>
      </c>
    </row>
    <row r="223" spans="1:26" hidden="1">
      <c r="A223">
        <v>13</v>
      </c>
      <c r="B223">
        <v>3</v>
      </c>
      <c r="C223" s="12">
        <v>7</v>
      </c>
      <c r="D223">
        <f t="shared" si="66"/>
        <v>270</v>
      </c>
      <c r="E223">
        <f t="shared" si="67"/>
        <v>180</v>
      </c>
      <c r="F223">
        <f t="shared" si="68"/>
        <v>19.11</v>
      </c>
      <c r="G223">
        <f t="shared" si="69"/>
        <v>0.66733333333333333</v>
      </c>
      <c r="H223">
        <f t="shared" si="70"/>
        <v>68.796000000000006</v>
      </c>
      <c r="I223">
        <f t="shared" si="71"/>
        <v>382.2</v>
      </c>
      <c r="J223">
        <f t="shared" si="72"/>
        <v>254.79999999999998</v>
      </c>
      <c r="K223">
        <f t="shared" si="73"/>
        <v>45.863999999999997</v>
      </c>
      <c r="L223">
        <f t="shared" si="74"/>
        <v>5.5610099999999996</v>
      </c>
      <c r="M223">
        <f t="shared" si="75"/>
        <v>5.2491348000000002</v>
      </c>
      <c r="N223">
        <f t="shared" si="76"/>
        <v>2.4651899999999998</v>
      </c>
      <c r="O223">
        <f t="shared" si="87"/>
        <v>4.3228168941176479</v>
      </c>
      <c r="P223">
        <f t="shared" si="77"/>
        <v>2.9481641468682507</v>
      </c>
      <c r="Q223">
        <f t="shared" si="78"/>
        <v>54.6</v>
      </c>
      <c r="R223">
        <f t="shared" si="79"/>
        <v>273</v>
      </c>
      <c r="S223">
        <f t="shared" si="80"/>
        <v>134.67999999999998</v>
      </c>
      <c r="T223">
        <f t="shared" si="81"/>
        <v>120.12</v>
      </c>
      <c r="U223">
        <f>I223*E223/'[1]Inverter Analysis'!$L$2</f>
        <v>164.85610575583408</v>
      </c>
      <c r="V223">
        <f t="shared" si="82"/>
        <v>313.97174254317116</v>
      </c>
      <c r="W223">
        <f t="shared" si="83"/>
        <v>594.00059400059411</v>
      </c>
      <c r="X223">
        <f t="shared" si="84"/>
        <v>209.31449502878075</v>
      </c>
      <c r="Y223">
        <f t="shared" si="85"/>
        <v>7.7624075248072897</v>
      </c>
      <c r="Z223">
        <f t="shared" si="86"/>
        <v>0.1230932538579545</v>
      </c>
    </row>
    <row r="224" spans="1:26" hidden="1">
      <c r="A224">
        <v>10</v>
      </c>
      <c r="B224">
        <v>3</v>
      </c>
      <c r="C224" s="12">
        <v>9</v>
      </c>
      <c r="D224">
        <f t="shared" si="66"/>
        <v>270</v>
      </c>
      <c r="E224">
        <f t="shared" si="67"/>
        <v>180</v>
      </c>
      <c r="F224">
        <f t="shared" si="68"/>
        <v>18.899999999999999</v>
      </c>
      <c r="G224">
        <f t="shared" si="69"/>
        <v>0.66</v>
      </c>
      <c r="H224">
        <f t="shared" si="70"/>
        <v>68.040000000000006</v>
      </c>
      <c r="I224">
        <f t="shared" si="71"/>
        <v>378</v>
      </c>
      <c r="J224">
        <f t="shared" si="72"/>
        <v>251.99999999999997</v>
      </c>
      <c r="K224">
        <f t="shared" si="73"/>
        <v>45.359999999999992</v>
      </c>
      <c r="L224">
        <f t="shared" si="74"/>
        <v>5.4998999999999993</v>
      </c>
      <c r="M224">
        <f t="shared" si="75"/>
        <v>5.191452</v>
      </c>
      <c r="N224">
        <f t="shared" si="76"/>
        <v>2.4380999999999999</v>
      </c>
      <c r="O224">
        <f t="shared" si="87"/>
        <v>4.2753134117647065</v>
      </c>
      <c r="P224">
        <f t="shared" si="77"/>
        <v>2.2678185745140387</v>
      </c>
      <c r="Q224">
        <f t="shared" si="78"/>
        <v>42</v>
      </c>
      <c r="R224">
        <f t="shared" si="79"/>
        <v>270</v>
      </c>
      <c r="S224">
        <f t="shared" si="80"/>
        <v>133.19999999999996</v>
      </c>
      <c r="T224">
        <f t="shared" si="81"/>
        <v>118.80000000000001</v>
      </c>
      <c r="U224">
        <f>I224*E224/'[1]Inverter Analysis'!$L$2</f>
        <v>163.04450019807766</v>
      </c>
      <c r="V224">
        <f t="shared" si="82"/>
        <v>317.46031746031747</v>
      </c>
      <c r="W224">
        <f t="shared" si="83"/>
        <v>600.60060060060073</v>
      </c>
      <c r="X224">
        <f t="shared" si="84"/>
        <v>211.64021164021165</v>
      </c>
      <c r="Y224">
        <f t="shared" si="85"/>
        <v>7.9358637917196502</v>
      </c>
      <c r="Z224">
        <f t="shared" si="86"/>
        <v>0.11907966477272725</v>
      </c>
    </row>
    <row r="225" spans="1:26" hidden="1">
      <c r="A225">
        <v>15</v>
      </c>
      <c r="B225">
        <v>3</v>
      </c>
      <c r="C225">
        <v>6</v>
      </c>
      <c r="D225">
        <f t="shared" si="66"/>
        <v>270</v>
      </c>
      <c r="E225">
        <f t="shared" si="67"/>
        <v>180</v>
      </c>
      <c r="F225">
        <f t="shared" si="68"/>
        <v>18.899999999999999</v>
      </c>
      <c r="G225">
        <f t="shared" si="69"/>
        <v>0.66</v>
      </c>
      <c r="H225">
        <f t="shared" si="70"/>
        <v>68.040000000000006</v>
      </c>
      <c r="I225">
        <f t="shared" si="71"/>
        <v>378</v>
      </c>
      <c r="J225">
        <f t="shared" si="72"/>
        <v>251.99999999999997</v>
      </c>
      <c r="K225">
        <f t="shared" si="73"/>
        <v>45.359999999999992</v>
      </c>
      <c r="L225">
        <f t="shared" si="74"/>
        <v>5.4998999999999993</v>
      </c>
      <c r="M225">
        <f t="shared" si="75"/>
        <v>5.191452</v>
      </c>
      <c r="N225">
        <f t="shared" si="76"/>
        <v>2.4380999999999999</v>
      </c>
      <c r="O225">
        <f t="shared" si="87"/>
        <v>4.2753134117647065</v>
      </c>
      <c r="P225">
        <f t="shared" si="77"/>
        <v>3.4017278617710578</v>
      </c>
      <c r="Q225">
        <f t="shared" si="78"/>
        <v>63</v>
      </c>
      <c r="R225">
        <f t="shared" si="79"/>
        <v>270</v>
      </c>
      <c r="S225">
        <f t="shared" si="80"/>
        <v>133.19999999999996</v>
      </c>
      <c r="T225">
        <f t="shared" si="81"/>
        <v>118.80000000000001</v>
      </c>
      <c r="U225">
        <f>I225*E225/'[1]Inverter Analysis'!$L$2</f>
        <v>163.04450019807766</v>
      </c>
      <c r="V225">
        <f t="shared" si="82"/>
        <v>317.46031746031747</v>
      </c>
      <c r="W225">
        <f t="shared" si="83"/>
        <v>600.60060060060073</v>
      </c>
      <c r="X225">
        <f t="shared" si="84"/>
        <v>211.64021164021165</v>
      </c>
      <c r="Y225">
        <f t="shared" si="85"/>
        <v>7.9358637917196502</v>
      </c>
      <c r="Z225">
        <f t="shared" si="86"/>
        <v>0.11907966477272725</v>
      </c>
    </row>
    <row r="226" spans="1:26" hidden="1">
      <c r="A226">
        <v>11</v>
      </c>
      <c r="B226">
        <v>3</v>
      </c>
      <c r="C226" s="12">
        <v>8</v>
      </c>
      <c r="D226">
        <f t="shared" si="66"/>
        <v>270</v>
      </c>
      <c r="E226">
        <f t="shared" si="67"/>
        <v>180</v>
      </c>
      <c r="F226">
        <f t="shared" si="68"/>
        <v>18.48</v>
      </c>
      <c r="G226">
        <f t="shared" si="69"/>
        <v>0.64533333333333331</v>
      </c>
      <c r="H226">
        <f t="shared" si="70"/>
        <v>66.528000000000006</v>
      </c>
      <c r="I226">
        <f t="shared" si="71"/>
        <v>369.6</v>
      </c>
      <c r="J226">
        <f t="shared" si="72"/>
        <v>246.39999999999998</v>
      </c>
      <c r="K226">
        <f t="shared" si="73"/>
        <v>44.35199999999999</v>
      </c>
      <c r="L226">
        <f t="shared" si="74"/>
        <v>5.3776800000000007</v>
      </c>
      <c r="M226">
        <f t="shared" si="75"/>
        <v>5.0760864000000012</v>
      </c>
      <c r="N226">
        <f t="shared" si="76"/>
        <v>2.3839200000000003</v>
      </c>
      <c r="O226">
        <f t="shared" si="87"/>
        <v>4.1803064470588245</v>
      </c>
      <c r="P226">
        <f t="shared" si="77"/>
        <v>2.4946004319654427</v>
      </c>
      <c r="Q226">
        <f t="shared" si="78"/>
        <v>46.2</v>
      </c>
      <c r="R226">
        <f t="shared" si="79"/>
        <v>264</v>
      </c>
      <c r="S226">
        <f t="shared" si="80"/>
        <v>130.23999999999998</v>
      </c>
      <c r="T226">
        <f t="shared" si="81"/>
        <v>116.16</v>
      </c>
      <c r="U226">
        <f>I226*E226/'[1]Inverter Analysis'!$L$2</f>
        <v>159.42128908256481</v>
      </c>
      <c r="V226">
        <f t="shared" si="82"/>
        <v>324.6753246753247</v>
      </c>
      <c r="W226">
        <f t="shared" si="83"/>
        <v>614.25061425061438</v>
      </c>
      <c r="X226">
        <f t="shared" si="84"/>
        <v>216.45021645021643</v>
      </c>
      <c r="Y226">
        <f t="shared" si="85"/>
        <v>8.3006839763596538</v>
      </c>
      <c r="Z226">
        <f t="shared" si="86"/>
        <v>0.11131612799999997</v>
      </c>
    </row>
    <row r="227" spans="1:26" hidden="1">
      <c r="A227">
        <v>11</v>
      </c>
      <c r="B227">
        <v>4</v>
      </c>
      <c r="C227">
        <v>6</v>
      </c>
      <c r="D227">
        <f t="shared" si="66"/>
        <v>360</v>
      </c>
      <c r="E227">
        <f t="shared" si="67"/>
        <v>240</v>
      </c>
      <c r="F227">
        <f t="shared" si="68"/>
        <v>18.48</v>
      </c>
      <c r="G227">
        <f t="shared" si="69"/>
        <v>0.36299999999999999</v>
      </c>
      <c r="H227">
        <f t="shared" si="70"/>
        <v>66.528000000000006</v>
      </c>
      <c r="I227">
        <f t="shared" si="71"/>
        <v>277.2</v>
      </c>
      <c r="J227">
        <f t="shared" si="72"/>
        <v>184.79999999999998</v>
      </c>
      <c r="K227">
        <f t="shared" si="73"/>
        <v>44.35199999999999</v>
      </c>
      <c r="L227">
        <f t="shared" si="74"/>
        <v>5.3776799999999998</v>
      </c>
      <c r="M227">
        <f t="shared" si="75"/>
        <v>5.0760864000000003</v>
      </c>
      <c r="N227">
        <f t="shared" si="76"/>
        <v>2.3839199999999998</v>
      </c>
      <c r="O227">
        <f t="shared" si="87"/>
        <v>4.1803064470588245</v>
      </c>
      <c r="P227">
        <f t="shared" si="77"/>
        <v>3.3261339092872571</v>
      </c>
      <c r="Q227">
        <f t="shared" si="78"/>
        <v>46.199999999999996</v>
      </c>
      <c r="R227">
        <f t="shared" si="79"/>
        <v>264</v>
      </c>
      <c r="S227">
        <f t="shared" si="80"/>
        <v>97.679999999999978</v>
      </c>
      <c r="T227">
        <f t="shared" si="81"/>
        <v>87.12</v>
      </c>
      <c r="U227">
        <f>I227*E227/'[1]Inverter Analysis'!$L$2</f>
        <v>159.42128908256481</v>
      </c>
      <c r="V227">
        <f t="shared" si="82"/>
        <v>432.90043290043292</v>
      </c>
      <c r="W227">
        <f t="shared" si="83"/>
        <v>819.00081900081921</v>
      </c>
      <c r="X227">
        <f t="shared" si="84"/>
        <v>288.60028860028859</v>
      </c>
      <c r="Y227">
        <f t="shared" si="85"/>
        <v>14.756771513528276</v>
      </c>
      <c r="Z227">
        <f t="shared" si="86"/>
        <v>6.2615321999999973E-2</v>
      </c>
    </row>
    <row r="228" spans="1:26" hidden="1">
      <c r="A228">
        <v>12</v>
      </c>
      <c r="B228">
        <v>3</v>
      </c>
      <c r="C228" s="12">
        <v>7</v>
      </c>
      <c r="D228">
        <f t="shared" si="66"/>
        <v>270</v>
      </c>
      <c r="E228">
        <f t="shared" si="67"/>
        <v>180</v>
      </c>
      <c r="F228">
        <f t="shared" si="68"/>
        <v>17.64</v>
      </c>
      <c r="G228">
        <f t="shared" si="69"/>
        <v>0.61599999999999999</v>
      </c>
      <c r="H228">
        <f t="shared" si="70"/>
        <v>63.503999999999998</v>
      </c>
      <c r="I228">
        <f t="shared" si="71"/>
        <v>352.8</v>
      </c>
      <c r="J228">
        <f t="shared" si="72"/>
        <v>235.2</v>
      </c>
      <c r="K228">
        <f t="shared" si="73"/>
        <v>42.335999999999999</v>
      </c>
      <c r="L228">
        <f t="shared" si="74"/>
        <v>5.1332399999999998</v>
      </c>
      <c r="M228">
        <f t="shared" si="75"/>
        <v>4.8453552000000002</v>
      </c>
      <c r="N228">
        <f t="shared" si="76"/>
        <v>2.27556</v>
      </c>
      <c r="O228">
        <f t="shared" si="87"/>
        <v>3.9902925176470592</v>
      </c>
      <c r="P228">
        <f t="shared" si="77"/>
        <v>2.7213822894168467</v>
      </c>
      <c r="Q228">
        <f t="shared" si="78"/>
        <v>50.4</v>
      </c>
      <c r="R228">
        <f t="shared" si="79"/>
        <v>252</v>
      </c>
      <c r="S228">
        <f t="shared" si="80"/>
        <v>124.32</v>
      </c>
      <c r="T228">
        <f t="shared" si="81"/>
        <v>110.88</v>
      </c>
      <c r="U228">
        <f>I228*E228/'[1]Inverter Analysis'!$L$2</f>
        <v>152.17486685153915</v>
      </c>
      <c r="V228">
        <f t="shared" si="82"/>
        <v>340.13605442176873</v>
      </c>
      <c r="W228">
        <f t="shared" si="83"/>
        <v>643.50064350064349</v>
      </c>
      <c r="X228">
        <f t="shared" si="84"/>
        <v>226.75736961451247</v>
      </c>
      <c r="Y228">
        <f t="shared" si="85"/>
        <v>9.1100477200863299</v>
      </c>
      <c r="Z228">
        <f t="shared" si="86"/>
        <v>9.6816177818181831E-2</v>
      </c>
    </row>
    <row r="229" spans="1:26" hidden="1">
      <c r="A229">
        <v>14</v>
      </c>
      <c r="B229">
        <v>3</v>
      </c>
      <c r="C229">
        <v>6</v>
      </c>
      <c r="D229">
        <f t="shared" si="66"/>
        <v>270</v>
      </c>
      <c r="E229">
        <f t="shared" si="67"/>
        <v>180</v>
      </c>
      <c r="F229">
        <f t="shared" si="68"/>
        <v>17.64</v>
      </c>
      <c r="G229">
        <f t="shared" si="69"/>
        <v>0.61599999999999999</v>
      </c>
      <c r="H229">
        <f t="shared" si="70"/>
        <v>63.503999999999998</v>
      </c>
      <c r="I229">
        <f t="shared" si="71"/>
        <v>352.8</v>
      </c>
      <c r="J229">
        <f t="shared" si="72"/>
        <v>235.2</v>
      </c>
      <c r="K229">
        <f t="shared" si="73"/>
        <v>42.335999999999999</v>
      </c>
      <c r="L229">
        <f t="shared" si="74"/>
        <v>5.1332399999999998</v>
      </c>
      <c r="M229">
        <f t="shared" si="75"/>
        <v>4.8453552000000002</v>
      </c>
      <c r="N229">
        <f t="shared" si="76"/>
        <v>2.27556</v>
      </c>
      <c r="O229">
        <f t="shared" si="87"/>
        <v>3.9902925176470592</v>
      </c>
      <c r="P229">
        <f t="shared" si="77"/>
        <v>3.1749460043196542</v>
      </c>
      <c r="Q229">
        <f t="shared" si="78"/>
        <v>58.800000000000004</v>
      </c>
      <c r="R229">
        <f t="shared" si="79"/>
        <v>252</v>
      </c>
      <c r="S229">
        <f t="shared" si="80"/>
        <v>124.32</v>
      </c>
      <c r="T229">
        <f t="shared" si="81"/>
        <v>110.88</v>
      </c>
      <c r="U229">
        <f>I229*E229/'[1]Inverter Analysis'!$L$2</f>
        <v>152.17486685153915</v>
      </c>
      <c r="V229">
        <f t="shared" si="82"/>
        <v>340.13605442176873</v>
      </c>
      <c r="W229">
        <f t="shared" si="83"/>
        <v>643.50064350064349</v>
      </c>
      <c r="X229">
        <f t="shared" si="84"/>
        <v>226.75736961451247</v>
      </c>
      <c r="Y229">
        <f t="shared" si="85"/>
        <v>9.1100477200863299</v>
      </c>
      <c r="Z229">
        <f t="shared" si="86"/>
        <v>9.6816177818181831E-2</v>
      </c>
    </row>
    <row r="230" spans="1:26" hidden="1">
      <c r="A230">
        <v>10</v>
      </c>
      <c r="B230">
        <v>3</v>
      </c>
      <c r="C230" s="12">
        <v>8</v>
      </c>
      <c r="D230">
        <f t="shared" si="66"/>
        <v>270</v>
      </c>
      <c r="E230">
        <f t="shared" si="67"/>
        <v>180</v>
      </c>
      <c r="F230">
        <f t="shared" si="68"/>
        <v>16.8</v>
      </c>
      <c r="G230">
        <f t="shared" si="69"/>
        <v>0.58666666666666667</v>
      </c>
      <c r="H230">
        <f t="shared" si="70"/>
        <v>60.48</v>
      </c>
      <c r="I230">
        <f t="shared" si="71"/>
        <v>336</v>
      </c>
      <c r="J230">
        <f t="shared" si="72"/>
        <v>224</v>
      </c>
      <c r="K230">
        <f t="shared" si="73"/>
        <v>40.32</v>
      </c>
      <c r="L230">
        <f t="shared" si="74"/>
        <v>4.8887999999999989</v>
      </c>
      <c r="M230">
        <f t="shared" si="75"/>
        <v>4.6146240000000001</v>
      </c>
      <c r="N230">
        <f t="shared" si="76"/>
        <v>2.1671999999999998</v>
      </c>
      <c r="O230">
        <f t="shared" si="87"/>
        <v>3.8002785882352943</v>
      </c>
      <c r="P230">
        <f t="shared" si="77"/>
        <v>2.2678185745140387</v>
      </c>
      <c r="Q230">
        <f t="shared" si="78"/>
        <v>42</v>
      </c>
      <c r="R230">
        <f t="shared" si="79"/>
        <v>240</v>
      </c>
      <c r="S230">
        <f t="shared" si="80"/>
        <v>118.4</v>
      </c>
      <c r="T230">
        <f t="shared" si="81"/>
        <v>105.6</v>
      </c>
      <c r="U230">
        <f>I230*E230/'[1]Inverter Analysis'!$L$2</f>
        <v>144.92844462051346</v>
      </c>
      <c r="V230">
        <f t="shared" si="82"/>
        <v>357.14285714285717</v>
      </c>
      <c r="W230">
        <f t="shared" si="83"/>
        <v>675.67567567567562</v>
      </c>
      <c r="X230">
        <f t="shared" si="84"/>
        <v>238.0952380952381</v>
      </c>
      <c r="Y230">
        <f t="shared" si="85"/>
        <v>10.043827611395177</v>
      </c>
      <c r="Z230">
        <f t="shared" si="86"/>
        <v>8.3633454545454566E-2</v>
      </c>
    </row>
    <row r="231" spans="1:26" hidden="1">
      <c r="A231">
        <v>10</v>
      </c>
      <c r="B231">
        <v>4</v>
      </c>
      <c r="C231">
        <v>6</v>
      </c>
      <c r="D231">
        <f t="shared" si="66"/>
        <v>360</v>
      </c>
      <c r="E231">
        <f t="shared" si="67"/>
        <v>240</v>
      </c>
      <c r="F231">
        <f t="shared" si="68"/>
        <v>16.8</v>
      </c>
      <c r="G231">
        <f t="shared" si="69"/>
        <v>0.32999999999999996</v>
      </c>
      <c r="H231">
        <f t="shared" si="70"/>
        <v>60.48</v>
      </c>
      <c r="I231">
        <f t="shared" si="71"/>
        <v>252</v>
      </c>
      <c r="J231">
        <f t="shared" si="72"/>
        <v>168</v>
      </c>
      <c r="K231">
        <f t="shared" si="73"/>
        <v>40.32</v>
      </c>
      <c r="L231">
        <f t="shared" si="74"/>
        <v>4.8887999999999989</v>
      </c>
      <c r="M231">
        <f t="shared" si="75"/>
        <v>4.6146240000000009</v>
      </c>
      <c r="N231">
        <f t="shared" si="76"/>
        <v>2.1671999999999998</v>
      </c>
      <c r="O231">
        <f t="shared" si="87"/>
        <v>3.8002785882352952</v>
      </c>
      <c r="P231">
        <f t="shared" si="77"/>
        <v>3.0237580993520514</v>
      </c>
      <c r="Q231">
        <f t="shared" si="78"/>
        <v>42</v>
      </c>
      <c r="R231">
        <f t="shared" si="79"/>
        <v>240</v>
      </c>
      <c r="S231">
        <f t="shared" si="80"/>
        <v>88.800000000000011</v>
      </c>
      <c r="T231">
        <f t="shared" si="81"/>
        <v>79.199999999999989</v>
      </c>
      <c r="U231">
        <f>I231*E231/'[1]Inverter Analysis'!$L$2</f>
        <v>144.92844462051346</v>
      </c>
      <c r="V231">
        <f t="shared" si="82"/>
        <v>476.1904761904762</v>
      </c>
      <c r="W231">
        <f t="shared" si="83"/>
        <v>900.90090090090075</v>
      </c>
      <c r="X231">
        <f t="shared" si="84"/>
        <v>317.46031746031747</v>
      </c>
      <c r="Y231">
        <f t="shared" si="85"/>
        <v>17.855693531369198</v>
      </c>
      <c r="Z231">
        <f t="shared" si="86"/>
        <v>4.7043818181818207E-2</v>
      </c>
    </row>
    <row r="232" spans="1:26" hidden="1">
      <c r="A232">
        <v>13</v>
      </c>
      <c r="B232">
        <v>3</v>
      </c>
      <c r="C232">
        <v>6</v>
      </c>
      <c r="D232">
        <f t="shared" si="66"/>
        <v>270</v>
      </c>
      <c r="E232">
        <f t="shared" si="67"/>
        <v>180</v>
      </c>
      <c r="F232">
        <f t="shared" si="68"/>
        <v>16.38</v>
      </c>
      <c r="G232">
        <f t="shared" si="69"/>
        <v>0.57199999999999995</v>
      </c>
      <c r="H232">
        <f t="shared" si="70"/>
        <v>58.968000000000011</v>
      </c>
      <c r="I232">
        <f t="shared" si="71"/>
        <v>327.60000000000002</v>
      </c>
      <c r="J232">
        <f t="shared" si="72"/>
        <v>218.39999999999998</v>
      </c>
      <c r="K232">
        <f t="shared" si="73"/>
        <v>39.311999999999991</v>
      </c>
      <c r="L232">
        <f t="shared" si="74"/>
        <v>4.7665800000000003</v>
      </c>
      <c r="M232">
        <f t="shared" si="75"/>
        <v>4.4992584000000004</v>
      </c>
      <c r="N232">
        <f t="shared" si="76"/>
        <v>2.1130200000000001</v>
      </c>
      <c r="O232">
        <f t="shared" si="87"/>
        <v>3.7052716235294123</v>
      </c>
      <c r="P232">
        <f t="shared" si="77"/>
        <v>2.9481641468682507</v>
      </c>
      <c r="Q232">
        <f t="shared" si="78"/>
        <v>54.6</v>
      </c>
      <c r="R232">
        <f t="shared" si="79"/>
        <v>234</v>
      </c>
      <c r="S232">
        <f t="shared" si="80"/>
        <v>115.43999999999998</v>
      </c>
      <c r="T232">
        <f t="shared" si="81"/>
        <v>102.96</v>
      </c>
      <c r="U232">
        <f>I232*E232/'[1]Inverter Analysis'!$L$2</f>
        <v>141.30523350500064</v>
      </c>
      <c r="V232">
        <f t="shared" si="82"/>
        <v>366.30036630036636</v>
      </c>
      <c r="W232">
        <f t="shared" si="83"/>
        <v>693.0006930006931</v>
      </c>
      <c r="X232">
        <f t="shared" si="84"/>
        <v>244.20024420024419</v>
      </c>
      <c r="Y232">
        <f t="shared" si="85"/>
        <v>10.565499130987698</v>
      </c>
      <c r="Z232">
        <f t="shared" si="86"/>
        <v>7.7516451409090886E-2</v>
      </c>
    </row>
    <row r="233" spans="1:26" hidden="1">
      <c r="A233">
        <v>11</v>
      </c>
      <c r="B233">
        <v>3</v>
      </c>
      <c r="C233" s="12">
        <v>7</v>
      </c>
      <c r="D233">
        <f t="shared" si="66"/>
        <v>270</v>
      </c>
      <c r="E233">
        <f t="shared" si="67"/>
        <v>180</v>
      </c>
      <c r="F233">
        <f t="shared" si="68"/>
        <v>16.170000000000002</v>
      </c>
      <c r="G233">
        <f t="shared" si="69"/>
        <v>0.56466666666666665</v>
      </c>
      <c r="H233">
        <f t="shared" si="70"/>
        <v>58.21200000000001</v>
      </c>
      <c r="I233">
        <f t="shared" si="71"/>
        <v>323.40000000000003</v>
      </c>
      <c r="J233">
        <f t="shared" si="72"/>
        <v>215.6</v>
      </c>
      <c r="K233">
        <f t="shared" si="73"/>
        <v>38.808</v>
      </c>
      <c r="L233">
        <f t="shared" si="74"/>
        <v>4.70547</v>
      </c>
      <c r="M233">
        <f t="shared" si="75"/>
        <v>4.4415756000000011</v>
      </c>
      <c r="N233">
        <f t="shared" si="76"/>
        <v>2.0859300000000003</v>
      </c>
      <c r="O233">
        <f t="shared" si="87"/>
        <v>3.6577681411764718</v>
      </c>
      <c r="P233">
        <f t="shared" si="77"/>
        <v>2.4946004319654436</v>
      </c>
      <c r="Q233">
        <f t="shared" si="78"/>
        <v>46.2</v>
      </c>
      <c r="R233">
        <f t="shared" si="79"/>
        <v>231</v>
      </c>
      <c r="S233">
        <f t="shared" si="80"/>
        <v>113.96</v>
      </c>
      <c r="T233">
        <f t="shared" si="81"/>
        <v>101.64</v>
      </c>
      <c r="U233">
        <f>I233*E233/'[1]Inverter Analysis'!$L$2</f>
        <v>139.49362794724422</v>
      </c>
      <c r="V233">
        <f t="shared" si="82"/>
        <v>371.05751391465679</v>
      </c>
      <c r="W233">
        <f t="shared" si="83"/>
        <v>702.00070200070206</v>
      </c>
      <c r="X233">
        <f t="shared" si="84"/>
        <v>247.37167594310449</v>
      </c>
      <c r="Y233">
        <f t="shared" si="85"/>
        <v>10.841709683408526</v>
      </c>
      <c r="Z233">
        <f t="shared" si="86"/>
        <v>7.45731091875E-2</v>
      </c>
    </row>
    <row r="234" spans="1:26" hidden="1">
      <c r="A234">
        <v>12</v>
      </c>
      <c r="B234">
        <v>3</v>
      </c>
      <c r="C234">
        <v>6</v>
      </c>
      <c r="D234">
        <f t="shared" si="66"/>
        <v>270</v>
      </c>
      <c r="E234">
        <f t="shared" si="67"/>
        <v>180</v>
      </c>
      <c r="F234">
        <f t="shared" si="68"/>
        <v>15.12</v>
      </c>
      <c r="G234">
        <f t="shared" si="69"/>
        <v>0.52800000000000002</v>
      </c>
      <c r="H234">
        <f t="shared" si="70"/>
        <v>54.432000000000009</v>
      </c>
      <c r="I234">
        <f t="shared" si="71"/>
        <v>302.40000000000003</v>
      </c>
      <c r="J234">
        <f t="shared" si="72"/>
        <v>201.6</v>
      </c>
      <c r="K234">
        <f t="shared" si="73"/>
        <v>36.287999999999997</v>
      </c>
      <c r="L234">
        <f t="shared" si="74"/>
        <v>4.3999199999999998</v>
      </c>
      <c r="M234">
        <f t="shared" si="75"/>
        <v>4.1531616000000016</v>
      </c>
      <c r="N234">
        <f t="shared" si="76"/>
        <v>1.9504800000000002</v>
      </c>
      <c r="O234">
        <f t="shared" si="87"/>
        <v>3.4202507294117663</v>
      </c>
      <c r="P234">
        <f t="shared" si="77"/>
        <v>2.7213822894168467</v>
      </c>
      <c r="Q234">
        <f t="shared" si="78"/>
        <v>50.400000000000006</v>
      </c>
      <c r="R234">
        <f t="shared" si="79"/>
        <v>216</v>
      </c>
      <c r="S234">
        <f t="shared" si="80"/>
        <v>106.55999999999999</v>
      </c>
      <c r="T234">
        <f t="shared" si="81"/>
        <v>95.04</v>
      </c>
      <c r="U234">
        <f>I234*E234/'[1]Inverter Analysis'!$L$2</f>
        <v>130.43560015846214</v>
      </c>
      <c r="V234">
        <f t="shared" si="82"/>
        <v>396.82539682539681</v>
      </c>
      <c r="W234">
        <f t="shared" si="83"/>
        <v>750.75075075075085</v>
      </c>
      <c r="X234">
        <f t="shared" si="84"/>
        <v>264.5502645502645</v>
      </c>
      <c r="Y234">
        <f t="shared" si="85"/>
        <v>12.399787174561951</v>
      </c>
      <c r="Z234">
        <f t="shared" si="86"/>
        <v>6.0968788363636353E-2</v>
      </c>
    </row>
    <row r="235" spans="1:26" hidden="1">
      <c r="A235">
        <v>10</v>
      </c>
      <c r="B235">
        <v>3</v>
      </c>
      <c r="C235" s="12">
        <v>7</v>
      </c>
      <c r="D235">
        <f t="shared" si="66"/>
        <v>270</v>
      </c>
      <c r="E235">
        <f t="shared" si="67"/>
        <v>180</v>
      </c>
      <c r="F235">
        <f t="shared" si="68"/>
        <v>14.7</v>
      </c>
      <c r="G235">
        <f t="shared" si="69"/>
        <v>0.51333333333333331</v>
      </c>
      <c r="H235">
        <f t="shared" si="70"/>
        <v>52.92</v>
      </c>
      <c r="I235">
        <f t="shared" si="71"/>
        <v>294</v>
      </c>
      <c r="J235">
        <f t="shared" si="72"/>
        <v>196</v>
      </c>
      <c r="K235">
        <f t="shared" si="73"/>
        <v>35.28</v>
      </c>
      <c r="L235">
        <f t="shared" si="74"/>
        <v>4.2776999999999994</v>
      </c>
      <c r="M235">
        <f t="shared" si="75"/>
        <v>4.0377960000000002</v>
      </c>
      <c r="N235">
        <f t="shared" si="76"/>
        <v>1.8963000000000001</v>
      </c>
      <c r="O235">
        <f t="shared" si="87"/>
        <v>3.3252437647058826</v>
      </c>
      <c r="P235">
        <f t="shared" si="77"/>
        <v>2.2678185745140387</v>
      </c>
      <c r="Q235">
        <f t="shared" si="78"/>
        <v>42</v>
      </c>
      <c r="R235">
        <f t="shared" si="79"/>
        <v>210</v>
      </c>
      <c r="S235">
        <f t="shared" si="80"/>
        <v>103.60000000000001</v>
      </c>
      <c r="T235">
        <f t="shared" si="81"/>
        <v>92.399999999999991</v>
      </c>
      <c r="U235">
        <f>I235*E235/'[1]Inverter Analysis'!$L$2</f>
        <v>126.81238904294929</v>
      </c>
      <c r="V235">
        <f t="shared" si="82"/>
        <v>408.16326530612247</v>
      </c>
      <c r="W235">
        <f t="shared" si="83"/>
        <v>772.20077220077212</v>
      </c>
      <c r="X235">
        <f t="shared" si="84"/>
        <v>272.10884353741494</v>
      </c>
      <c r="Y235">
        <f t="shared" si="85"/>
        <v>13.118468716924312</v>
      </c>
      <c r="Z235">
        <f t="shared" si="86"/>
        <v>5.6027880681818194E-2</v>
      </c>
    </row>
    <row r="236" spans="1:26" hidden="1">
      <c r="A236">
        <v>11</v>
      </c>
      <c r="B236">
        <v>3</v>
      </c>
      <c r="C236">
        <v>6</v>
      </c>
      <c r="D236">
        <f t="shared" si="66"/>
        <v>270</v>
      </c>
      <c r="E236">
        <f t="shared" si="67"/>
        <v>180</v>
      </c>
      <c r="F236">
        <f t="shared" si="68"/>
        <v>13.86</v>
      </c>
      <c r="G236">
        <f t="shared" si="69"/>
        <v>0.48399999999999999</v>
      </c>
      <c r="H236">
        <f t="shared" si="70"/>
        <v>49.896000000000001</v>
      </c>
      <c r="I236">
        <f t="shared" si="71"/>
        <v>277.2</v>
      </c>
      <c r="J236">
        <f t="shared" si="72"/>
        <v>184.79999999999998</v>
      </c>
      <c r="K236">
        <f t="shared" si="73"/>
        <v>33.264000000000003</v>
      </c>
      <c r="L236">
        <f t="shared" si="74"/>
        <v>4.0332599999999994</v>
      </c>
      <c r="M236">
        <f t="shared" si="75"/>
        <v>3.8070648</v>
      </c>
      <c r="N236">
        <f t="shared" si="76"/>
        <v>1.7879399999999996</v>
      </c>
      <c r="O236">
        <f t="shared" si="87"/>
        <v>3.1352298352941181</v>
      </c>
      <c r="P236">
        <f t="shared" si="77"/>
        <v>2.4946004319654427</v>
      </c>
      <c r="Q236">
        <f t="shared" si="78"/>
        <v>46.199999999999996</v>
      </c>
      <c r="R236">
        <f t="shared" si="79"/>
        <v>198</v>
      </c>
      <c r="S236">
        <f t="shared" si="80"/>
        <v>97.679999999999978</v>
      </c>
      <c r="T236">
        <f t="shared" si="81"/>
        <v>87.12</v>
      </c>
      <c r="U236">
        <f>I236*E236/'[1]Inverter Analysis'!$L$2</f>
        <v>119.56596681192362</v>
      </c>
      <c r="V236">
        <f t="shared" si="82"/>
        <v>432.90043290043292</v>
      </c>
      <c r="W236">
        <f t="shared" si="83"/>
        <v>819.00081900081921</v>
      </c>
      <c r="X236">
        <f t="shared" si="84"/>
        <v>288.60028860028859</v>
      </c>
      <c r="Y236">
        <f t="shared" si="85"/>
        <v>14.756771513528276</v>
      </c>
      <c r="Z236">
        <f t="shared" si="86"/>
        <v>4.696149149999998E-2</v>
      </c>
    </row>
    <row r="237" spans="1:26" hidden="1">
      <c r="A237">
        <v>13</v>
      </c>
      <c r="B237">
        <v>2</v>
      </c>
      <c r="C237" s="12">
        <v>7</v>
      </c>
      <c r="D237">
        <f t="shared" si="66"/>
        <v>180</v>
      </c>
      <c r="E237">
        <f t="shared" si="67"/>
        <v>120</v>
      </c>
      <c r="F237">
        <f t="shared" si="68"/>
        <v>12.74</v>
      </c>
      <c r="G237">
        <f t="shared" si="69"/>
        <v>1.0009999999999999</v>
      </c>
      <c r="H237">
        <f t="shared" si="70"/>
        <v>45.863999999999997</v>
      </c>
      <c r="I237">
        <f t="shared" si="71"/>
        <v>382.2</v>
      </c>
      <c r="J237">
        <f t="shared" si="72"/>
        <v>254.79999999999998</v>
      </c>
      <c r="K237">
        <f t="shared" si="73"/>
        <v>30.575999999999997</v>
      </c>
      <c r="L237">
        <f t="shared" si="74"/>
        <v>3.7073399999999999</v>
      </c>
      <c r="M237">
        <f t="shared" si="75"/>
        <v>3.4994232000000003</v>
      </c>
      <c r="N237">
        <f t="shared" si="76"/>
        <v>1.6434599999999997</v>
      </c>
      <c r="O237">
        <f t="shared" si="87"/>
        <v>2.8818779294117651</v>
      </c>
      <c r="P237">
        <f t="shared" si="77"/>
        <v>1.9654427645788335</v>
      </c>
      <c r="Q237">
        <f t="shared" si="78"/>
        <v>54.6</v>
      </c>
      <c r="R237">
        <f t="shared" si="79"/>
        <v>182</v>
      </c>
      <c r="S237">
        <f t="shared" si="80"/>
        <v>134.68</v>
      </c>
      <c r="T237">
        <f t="shared" si="81"/>
        <v>120.11999999999999</v>
      </c>
      <c r="U237">
        <f>I237*E237/'[1]Inverter Analysis'!$L$2</f>
        <v>109.90407050388939</v>
      </c>
      <c r="V237">
        <f t="shared" si="82"/>
        <v>313.97174254317116</v>
      </c>
      <c r="W237">
        <f t="shared" si="83"/>
        <v>594.00059400059399</v>
      </c>
      <c r="X237">
        <f t="shared" si="84"/>
        <v>209.31449502878075</v>
      </c>
      <c r="Y237">
        <f t="shared" si="85"/>
        <v>7.762407524807287</v>
      </c>
      <c r="Z237">
        <f t="shared" si="86"/>
        <v>8.2062169238636379E-2</v>
      </c>
    </row>
    <row r="238" spans="1:26" hidden="1">
      <c r="A238">
        <v>10</v>
      </c>
      <c r="B238">
        <v>2</v>
      </c>
      <c r="C238" s="12">
        <v>9</v>
      </c>
      <c r="D238">
        <f t="shared" si="66"/>
        <v>180</v>
      </c>
      <c r="E238">
        <f t="shared" si="67"/>
        <v>120</v>
      </c>
      <c r="F238">
        <f t="shared" si="68"/>
        <v>12.6</v>
      </c>
      <c r="G238">
        <f t="shared" si="69"/>
        <v>0.98999999999999988</v>
      </c>
      <c r="H238">
        <f t="shared" si="70"/>
        <v>45.36</v>
      </c>
      <c r="I238">
        <f t="shared" si="71"/>
        <v>378</v>
      </c>
      <c r="J238">
        <f t="shared" si="72"/>
        <v>251.99999999999997</v>
      </c>
      <c r="K238">
        <f t="shared" si="73"/>
        <v>30.239999999999995</v>
      </c>
      <c r="L238">
        <f t="shared" si="74"/>
        <v>3.6665999999999999</v>
      </c>
      <c r="M238">
        <f t="shared" si="75"/>
        <v>3.4609680000000003</v>
      </c>
      <c r="N238">
        <f t="shared" si="76"/>
        <v>1.6254</v>
      </c>
      <c r="O238">
        <f t="shared" si="87"/>
        <v>2.8502089411764713</v>
      </c>
      <c r="P238">
        <f t="shared" si="77"/>
        <v>1.5118790496760259</v>
      </c>
      <c r="Q238">
        <f t="shared" si="78"/>
        <v>42</v>
      </c>
      <c r="R238">
        <f t="shared" si="79"/>
        <v>180</v>
      </c>
      <c r="S238">
        <f t="shared" si="80"/>
        <v>133.19999999999999</v>
      </c>
      <c r="T238">
        <f t="shared" si="81"/>
        <v>118.79999999999998</v>
      </c>
      <c r="U238">
        <f>I238*E238/'[1]Inverter Analysis'!$L$2</f>
        <v>108.69633346538509</v>
      </c>
      <c r="V238">
        <f t="shared" si="82"/>
        <v>317.46031746031747</v>
      </c>
      <c r="W238">
        <f t="shared" si="83"/>
        <v>600.60060060060061</v>
      </c>
      <c r="X238">
        <f t="shared" si="84"/>
        <v>211.64021164021165</v>
      </c>
      <c r="Y238">
        <f t="shared" si="85"/>
        <v>7.9358637917196484</v>
      </c>
      <c r="Z238">
        <f t="shared" si="86"/>
        <v>7.9386443181818173E-2</v>
      </c>
    </row>
    <row r="239" spans="1:26" hidden="1">
      <c r="A239">
        <v>15</v>
      </c>
      <c r="B239">
        <v>2</v>
      </c>
      <c r="C239">
        <v>6</v>
      </c>
      <c r="D239">
        <f t="shared" si="66"/>
        <v>180</v>
      </c>
      <c r="E239">
        <f t="shared" si="67"/>
        <v>120</v>
      </c>
      <c r="F239">
        <f t="shared" si="68"/>
        <v>12.6</v>
      </c>
      <c r="G239">
        <f t="shared" si="69"/>
        <v>0.98999999999999988</v>
      </c>
      <c r="H239">
        <f t="shared" si="70"/>
        <v>45.36</v>
      </c>
      <c r="I239">
        <f t="shared" si="71"/>
        <v>378</v>
      </c>
      <c r="J239">
        <f t="shared" si="72"/>
        <v>251.99999999999997</v>
      </c>
      <c r="K239">
        <f t="shared" si="73"/>
        <v>30.239999999999995</v>
      </c>
      <c r="L239">
        <f t="shared" si="74"/>
        <v>3.6665999999999999</v>
      </c>
      <c r="M239">
        <f t="shared" si="75"/>
        <v>3.4609680000000003</v>
      </c>
      <c r="N239">
        <f t="shared" si="76"/>
        <v>1.6254</v>
      </c>
      <c r="O239">
        <f t="shared" si="87"/>
        <v>2.8502089411764713</v>
      </c>
      <c r="P239">
        <f t="shared" si="77"/>
        <v>2.2678185745140387</v>
      </c>
      <c r="Q239">
        <f t="shared" si="78"/>
        <v>63</v>
      </c>
      <c r="R239">
        <f t="shared" si="79"/>
        <v>180</v>
      </c>
      <c r="S239">
        <f t="shared" si="80"/>
        <v>133.19999999999999</v>
      </c>
      <c r="T239">
        <f t="shared" si="81"/>
        <v>118.79999999999998</v>
      </c>
      <c r="U239">
        <f>I239*E239/'[1]Inverter Analysis'!$L$2</f>
        <v>108.69633346538509</v>
      </c>
      <c r="V239">
        <f t="shared" si="82"/>
        <v>317.46031746031747</v>
      </c>
      <c r="W239">
        <f t="shared" si="83"/>
        <v>600.60060060060061</v>
      </c>
      <c r="X239">
        <f t="shared" si="84"/>
        <v>211.64021164021165</v>
      </c>
      <c r="Y239">
        <f t="shared" si="85"/>
        <v>7.9358637917196484</v>
      </c>
      <c r="Z239">
        <f t="shared" si="86"/>
        <v>7.9386443181818173E-2</v>
      </c>
    </row>
    <row r="240" spans="1:26" hidden="1">
      <c r="A240">
        <v>10</v>
      </c>
      <c r="B240">
        <v>3</v>
      </c>
      <c r="C240">
        <v>6</v>
      </c>
      <c r="D240">
        <f t="shared" si="66"/>
        <v>270</v>
      </c>
      <c r="E240">
        <f t="shared" si="67"/>
        <v>180</v>
      </c>
      <c r="F240">
        <f t="shared" si="68"/>
        <v>12.6</v>
      </c>
      <c r="G240">
        <f t="shared" si="69"/>
        <v>0.44</v>
      </c>
      <c r="H240">
        <f t="shared" si="70"/>
        <v>45.36</v>
      </c>
      <c r="I240">
        <f t="shared" si="71"/>
        <v>252</v>
      </c>
      <c r="J240">
        <f t="shared" si="72"/>
        <v>168</v>
      </c>
      <c r="K240">
        <f t="shared" si="73"/>
        <v>30.24</v>
      </c>
      <c r="L240">
        <f t="shared" si="74"/>
        <v>3.6665999999999994</v>
      </c>
      <c r="M240">
        <f t="shared" si="75"/>
        <v>3.4609680000000007</v>
      </c>
      <c r="N240">
        <f t="shared" si="76"/>
        <v>1.6254</v>
      </c>
      <c r="O240">
        <f t="shared" si="87"/>
        <v>2.8502089411764713</v>
      </c>
      <c r="P240">
        <f t="shared" si="77"/>
        <v>2.2678185745140387</v>
      </c>
      <c r="Q240">
        <f t="shared" si="78"/>
        <v>42</v>
      </c>
      <c r="R240">
        <f t="shared" si="79"/>
        <v>180</v>
      </c>
      <c r="S240">
        <f t="shared" si="80"/>
        <v>88.8</v>
      </c>
      <c r="T240">
        <f t="shared" si="81"/>
        <v>79.2</v>
      </c>
      <c r="U240">
        <f>I240*E240/'[1]Inverter Analysis'!$L$2</f>
        <v>108.69633346538509</v>
      </c>
      <c r="V240">
        <f t="shared" si="82"/>
        <v>476.1904761904762</v>
      </c>
      <c r="W240">
        <f t="shared" si="83"/>
        <v>900.90090090090098</v>
      </c>
      <c r="X240">
        <f t="shared" si="84"/>
        <v>317.46031746031747</v>
      </c>
      <c r="Y240">
        <f t="shared" si="85"/>
        <v>17.855693531369209</v>
      </c>
      <c r="Z240">
        <f t="shared" si="86"/>
        <v>3.5282863636363633E-2</v>
      </c>
    </row>
    <row r="241" spans="1:26" hidden="1">
      <c r="A241">
        <v>11</v>
      </c>
      <c r="B241">
        <v>2</v>
      </c>
      <c r="C241" s="12">
        <v>8</v>
      </c>
      <c r="D241">
        <f t="shared" si="66"/>
        <v>180</v>
      </c>
      <c r="E241">
        <f t="shared" si="67"/>
        <v>120</v>
      </c>
      <c r="F241">
        <f t="shared" si="68"/>
        <v>12.32</v>
      </c>
      <c r="G241">
        <f t="shared" si="69"/>
        <v>0.96799999999999997</v>
      </c>
      <c r="H241">
        <f t="shared" si="70"/>
        <v>44.351999999999997</v>
      </c>
      <c r="I241">
        <f t="shared" si="71"/>
        <v>369.6</v>
      </c>
      <c r="J241">
        <f t="shared" si="72"/>
        <v>246.39999999999998</v>
      </c>
      <c r="K241">
        <f t="shared" si="73"/>
        <v>29.567999999999998</v>
      </c>
      <c r="L241">
        <f t="shared" si="74"/>
        <v>3.5851199999999999</v>
      </c>
      <c r="M241">
        <f t="shared" si="75"/>
        <v>3.3840576000000007</v>
      </c>
      <c r="N241">
        <f t="shared" si="76"/>
        <v>1.58928</v>
      </c>
      <c r="O241">
        <f t="shared" si="87"/>
        <v>2.7868709647058831</v>
      </c>
      <c r="P241">
        <f t="shared" si="77"/>
        <v>1.6630669546436285</v>
      </c>
      <c r="Q241">
        <f t="shared" si="78"/>
        <v>46.2</v>
      </c>
      <c r="R241">
        <f t="shared" si="79"/>
        <v>176</v>
      </c>
      <c r="S241">
        <f t="shared" si="80"/>
        <v>130.23999999999998</v>
      </c>
      <c r="T241">
        <f t="shared" si="81"/>
        <v>116.16</v>
      </c>
      <c r="U241">
        <f>I241*E241/'[1]Inverter Analysis'!$L$2</f>
        <v>106.28085938837654</v>
      </c>
      <c r="V241">
        <f t="shared" si="82"/>
        <v>324.6753246753247</v>
      </c>
      <c r="W241">
        <f t="shared" si="83"/>
        <v>614.25061425061438</v>
      </c>
      <c r="X241">
        <f t="shared" si="84"/>
        <v>216.45021645021643</v>
      </c>
      <c r="Y241">
        <f t="shared" si="85"/>
        <v>8.3006839763596538</v>
      </c>
      <c r="Z241">
        <f t="shared" si="86"/>
        <v>7.4210751999999991E-2</v>
      </c>
    </row>
    <row r="242" spans="1:26" hidden="1">
      <c r="A242">
        <v>12</v>
      </c>
      <c r="B242">
        <v>2</v>
      </c>
      <c r="C242" s="12">
        <v>7</v>
      </c>
      <c r="D242">
        <f t="shared" si="66"/>
        <v>180</v>
      </c>
      <c r="E242">
        <f t="shared" si="67"/>
        <v>120</v>
      </c>
      <c r="F242">
        <f t="shared" si="68"/>
        <v>11.76</v>
      </c>
      <c r="G242">
        <f t="shared" si="69"/>
        <v>0.92400000000000004</v>
      </c>
      <c r="H242">
        <f t="shared" si="70"/>
        <v>42.335999999999999</v>
      </c>
      <c r="I242">
        <f t="shared" si="71"/>
        <v>352.8</v>
      </c>
      <c r="J242">
        <f t="shared" si="72"/>
        <v>235.2</v>
      </c>
      <c r="K242">
        <f t="shared" si="73"/>
        <v>28.224</v>
      </c>
      <c r="L242">
        <f t="shared" si="74"/>
        <v>3.4221599999999999</v>
      </c>
      <c r="M242">
        <f t="shared" si="75"/>
        <v>3.2302368000000001</v>
      </c>
      <c r="N242">
        <f t="shared" si="76"/>
        <v>1.5170399999999999</v>
      </c>
      <c r="O242">
        <f t="shared" si="87"/>
        <v>2.6601950117647064</v>
      </c>
      <c r="P242">
        <f t="shared" si="77"/>
        <v>1.8142548596112309</v>
      </c>
      <c r="Q242">
        <f t="shared" si="78"/>
        <v>50.4</v>
      </c>
      <c r="R242">
        <f t="shared" si="79"/>
        <v>168</v>
      </c>
      <c r="S242">
        <f t="shared" si="80"/>
        <v>124.31999999999998</v>
      </c>
      <c r="T242">
        <f t="shared" si="81"/>
        <v>110.88000000000001</v>
      </c>
      <c r="U242">
        <f>I242*E242/'[1]Inverter Analysis'!$L$2</f>
        <v>101.44991123435943</v>
      </c>
      <c r="V242">
        <f t="shared" si="82"/>
        <v>340.13605442176873</v>
      </c>
      <c r="W242">
        <f t="shared" si="83"/>
        <v>643.5006435006436</v>
      </c>
      <c r="X242">
        <f t="shared" si="84"/>
        <v>226.75736961451247</v>
      </c>
      <c r="Y242">
        <f t="shared" si="85"/>
        <v>9.1100477200863335</v>
      </c>
      <c r="Z242">
        <f t="shared" si="86"/>
        <v>6.4544118545454526E-2</v>
      </c>
    </row>
    <row r="243" spans="1:26" hidden="1">
      <c r="A243">
        <v>14</v>
      </c>
      <c r="B243">
        <v>2</v>
      </c>
      <c r="C243">
        <v>6</v>
      </c>
      <c r="D243">
        <f t="shared" si="66"/>
        <v>180</v>
      </c>
      <c r="E243">
        <f t="shared" si="67"/>
        <v>120</v>
      </c>
      <c r="F243">
        <f t="shared" si="68"/>
        <v>11.76</v>
      </c>
      <c r="G243">
        <f t="shared" si="69"/>
        <v>0.92399999999999993</v>
      </c>
      <c r="H243">
        <f t="shared" si="70"/>
        <v>42.335999999999999</v>
      </c>
      <c r="I243">
        <f t="shared" si="71"/>
        <v>352.8</v>
      </c>
      <c r="J243">
        <f t="shared" si="72"/>
        <v>235.2</v>
      </c>
      <c r="K243">
        <f t="shared" si="73"/>
        <v>28.224</v>
      </c>
      <c r="L243">
        <f t="shared" si="74"/>
        <v>3.4221599999999999</v>
      </c>
      <c r="M243">
        <f t="shared" si="75"/>
        <v>3.2302368000000001</v>
      </c>
      <c r="N243">
        <f t="shared" si="76"/>
        <v>1.5170399999999999</v>
      </c>
      <c r="O243">
        <f t="shared" si="87"/>
        <v>2.6601950117647064</v>
      </c>
      <c r="P243">
        <f t="shared" si="77"/>
        <v>2.1166306695464363</v>
      </c>
      <c r="Q243">
        <f t="shared" si="78"/>
        <v>58.800000000000004</v>
      </c>
      <c r="R243">
        <f t="shared" si="79"/>
        <v>168</v>
      </c>
      <c r="S243">
        <f t="shared" si="80"/>
        <v>124.32</v>
      </c>
      <c r="T243">
        <f t="shared" si="81"/>
        <v>110.88</v>
      </c>
      <c r="U243">
        <f>I243*E243/'[1]Inverter Analysis'!$L$2</f>
        <v>101.44991123435943</v>
      </c>
      <c r="V243">
        <f t="shared" si="82"/>
        <v>340.13605442176873</v>
      </c>
      <c r="W243">
        <f t="shared" si="83"/>
        <v>643.50064350064349</v>
      </c>
      <c r="X243">
        <f t="shared" si="84"/>
        <v>226.75736961451247</v>
      </c>
      <c r="Y243">
        <f t="shared" si="85"/>
        <v>9.1100477200863299</v>
      </c>
      <c r="Z243">
        <f t="shared" si="86"/>
        <v>6.454411854545454E-2</v>
      </c>
    </row>
    <row r="244" spans="1:26" hidden="1">
      <c r="A244">
        <v>10</v>
      </c>
      <c r="B244">
        <v>2</v>
      </c>
      <c r="C244" s="12">
        <v>8</v>
      </c>
      <c r="D244">
        <f t="shared" si="66"/>
        <v>180</v>
      </c>
      <c r="E244">
        <f t="shared" si="67"/>
        <v>120</v>
      </c>
      <c r="F244">
        <f t="shared" si="68"/>
        <v>11.2</v>
      </c>
      <c r="G244">
        <f t="shared" si="69"/>
        <v>0.87999999999999989</v>
      </c>
      <c r="H244">
        <f t="shared" si="70"/>
        <v>40.32</v>
      </c>
      <c r="I244">
        <f t="shared" si="71"/>
        <v>336</v>
      </c>
      <c r="J244">
        <f t="shared" si="72"/>
        <v>224</v>
      </c>
      <c r="K244">
        <f t="shared" si="73"/>
        <v>26.88</v>
      </c>
      <c r="L244">
        <f t="shared" si="74"/>
        <v>3.2591999999999999</v>
      </c>
      <c r="M244">
        <f t="shared" si="75"/>
        <v>3.076416</v>
      </c>
      <c r="N244">
        <f t="shared" si="76"/>
        <v>1.4447999999999999</v>
      </c>
      <c r="O244">
        <f t="shared" si="87"/>
        <v>2.5335190588235297</v>
      </c>
      <c r="P244">
        <f t="shared" si="77"/>
        <v>1.5118790496760259</v>
      </c>
      <c r="Q244">
        <f t="shared" si="78"/>
        <v>42</v>
      </c>
      <c r="R244">
        <f t="shared" si="79"/>
        <v>160</v>
      </c>
      <c r="S244">
        <f t="shared" si="80"/>
        <v>118.4</v>
      </c>
      <c r="T244">
        <f t="shared" si="81"/>
        <v>105.6</v>
      </c>
      <c r="U244">
        <f>I244*E244/'[1]Inverter Analysis'!$L$2</f>
        <v>96.618963080342311</v>
      </c>
      <c r="V244">
        <f t="shared" si="82"/>
        <v>357.14285714285717</v>
      </c>
      <c r="W244">
        <f t="shared" si="83"/>
        <v>675.67567567567562</v>
      </c>
      <c r="X244">
        <f t="shared" si="84"/>
        <v>238.0952380952381</v>
      </c>
      <c r="Y244">
        <f t="shared" si="85"/>
        <v>10.043827611395177</v>
      </c>
      <c r="Z244">
        <f t="shared" si="86"/>
        <v>5.5755636363636382E-2</v>
      </c>
    </row>
    <row r="245" spans="1:26" hidden="1">
      <c r="A245">
        <v>13</v>
      </c>
      <c r="B245">
        <v>2</v>
      </c>
      <c r="C245">
        <v>6</v>
      </c>
      <c r="D245">
        <f t="shared" si="66"/>
        <v>180</v>
      </c>
      <c r="E245">
        <f t="shared" si="67"/>
        <v>120</v>
      </c>
      <c r="F245">
        <f t="shared" si="68"/>
        <v>10.92</v>
      </c>
      <c r="G245">
        <f t="shared" si="69"/>
        <v>0.85799999999999987</v>
      </c>
      <c r="H245">
        <f t="shared" si="70"/>
        <v>39.311999999999998</v>
      </c>
      <c r="I245">
        <f t="shared" si="71"/>
        <v>327.60000000000002</v>
      </c>
      <c r="J245">
        <f t="shared" si="72"/>
        <v>218.39999999999998</v>
      </c>
      <c r="K245">
        <f t="shared" si="73"/>
        <v>26.207999999999995</v>
      </c>
      <c r="L245">
        <f t="shared" si="74"/>
        <v>3.1777199999999999</v>
      </c>
      <c r="M245">
        <f t="shared" si="75"/>
        <v>2.9995056000000004</v>
      </c>
      <c r="N245">
        <f t="shared" si="76"/>
        <v>1.4086800000000002</v>
      </c>
      <c r="O245">
        <f t="shared" si="87"/>
        <v>2.4701810823529415</v>
      </c>
      <c r="P245">
        <f t="shared" si="77"/>
        <v>1.9654427645788335</v>
      </c>
      <c r="Q245">
        <f t="shared" si="78"/>
        <v>54.6</v>
      </c>
      <c r="R245">
        <f t="shared" si="79"/>
        <v>156</v>
      </c>
      <c r="S245">
        <f t="shared" si="80"/>
        <v>115.44</v>
      </c>
      <c r="T245">
        <f t="shared" si="81"/>
        <v>102.95999999999998</v>
      </c>
      <c r="U245">
        <f>I245*E245/'[1]Inverter Analysis'!$L$2</f>
        <v>94.203489003333758</v>
      </c>
      <c r="V245">
        <f t="shared" si="82"/>
        <v>366.30036630036636</v>
      </c>
      <c r="W245">
        <f t="shared" si="83"/>
        <v>693.00069300069299</v>
      </c>
      <c r="X245">
        <f t="shared" si="84"/>
        <v>244.20024420024419</v>
      </c>
      <c r="Y245">
        <f t="shared" si="85"/>
        <v>10.565499130987694</v>
      </c>
      <c r="Z245">
        <f t="shared" si="86"/>
        <v>5.1677634272727285E-2</v>
      </c>
    </row>
    <row r="246" spans="1:26" hidden="1">
      <c r="A246">
        <v>11</v>
      </c>
      <c r="B246">
        <v>2</v>
      </c>
      <c r="C246" s="12">
        <v>7</v>
      </c>
      <c r="D246">
        <f t="shared" si="66"/>
        <v>180</v>
      </c>
      <c r="E246">
        <f t="shared" si="67"/>
        <v>120</v>
      </c>
      <c r="F246">
        <f t="shared" si="68"/>
        <v>10.78</v>
      </c>
      <c r="G246">
        <f t="shared" si="69"/>
        <v>0.84699999999999998</v>
      </c>
      <c r="H246">
        <f t="shared" si="70"/>
        <v>38.808000000000007</v>
      </c>
      <c r="I246">
        <f t="shared" si="71"/>
        <v>323.40000000000003</v>
      </c>
      <c r="J246">
        <f t="shared" si="72"/>
        <v>215.6</v>
      </c>
      <c r="K246">
        <f t="shared" si="73"/>
        <v>25.872</v>
      </c>
      <c r="L246">
        <f t="shared" si="74"/>
        <v>3.1369799999999999</v>
      </c>
      <c r="M246">
        <f t="shared" si="75"/>
        <v>2.9610504000000004</v>
      </c>
      <c r="N246">
        <f t="shared" si="76"/>
        <v>1.3906200000000002</v>
      </c>
      <c r="O246">
        <f t="shared" si="87"/>
        <v>2.4385120941176477</v>
      </c>
      <c r="P246">
        <f t="shared" si="77"/>
        <v>1.6630669546436287</v>
      </c>
      <c r="Q246">
        <f t="shared" si="78"/>
        <v>46.2</v>
      </c>
      <c r="R246">
        <f t="shared" si="79"/>
        <v>154</v>
      </c>
      <c r="S246">
        <f t="shared" si="80"/>
        <v>113.96</v>
      </c>
      <c r="T246">
        <f t="shared" si="81"/>
        <v>101.64</v>
      </c>
      <c r="U246">
        <f>I246*E246/'[1]Inverter Analysis'!$L$2</f>
        <v>92.995751964829495</v>
      </c>
      <c r="V246">
        <f t="shared" si="82"/>
        <v>371.05751391465679</v>
      </c>
      <c r="W246">
        <f t="shared" si="83"/>
        <v>702.00070200070206</v>
      </c>
      <c r="X246">
        <f t="shared" si="84"/>
        <v>247.37167594310449</v>
      </c>
      <c r="Y246">
        <f t="shared" si="85"/>
        <v>10.841709683408526</v>
      </c>
      <c r="Z246">
        <f t="shared" si="86"/>
        <v>4.9715406124999993E-2</v>
      </c>
    </row>
    <row r="247" spans="1:26" hidden="1">
      <c r="A247">
        <v>12</v>
      </c>
      <c r="B247">
        <v>2</v>
      </c>
      <c r="C247">
        <v>6</v>
      </c>
      <c r="D247">
        <f t="shared" si="66"/>
        <v>180</v>
      </c>
      <c r="E247">
        <f t="shared" si="67"/>
        <v>120</v>
      </c>
      <c r="F247">
        <f t="shared" si="68"/>
        <v>10.08</v>
      </c>
      <c r="G247">
        <f t="shared" si="69"/>
        <v>0.79200000000000004</v>
      </c>
      <c r="H247">
        <f t="shared" si="70"/>
        <v>36.288000000000004</v>
      </c>
      <c r="I247">
        <f t="shared" si="71"/>
        <v>302.40000000000003</v>
      </c>
      <c r="J247">
        <f t="shared" si="72"/>
        <v>201.6</v>
      </c>
      <c r="K247">
        <f t="shared" si="73"/>
        <v>24.192</v>
      </c>
      <c r="L247">
        <f t="shared" si="74"/>
        <v>2.9332800000000003</v>
      </c>
      <c r="M247">
        <f t="shared" si="75"/>
        <v>2.7687744000000007</v>
      </c>
      <c r="N247">
        <f t="shared" si="76"/>
        <v>1.3003200000000001</v>
      </c>
      <c r="O247">
        <f t="shared" si="87"/>
        <v>2.2801671529411771</v>
      </c>
      <c r="P247">
        <f t="shared" si="77"/>
        <v>1.8142548596112313</v>
      </c>
      <c r="Q247">
        <f t="shared" si="78"/>
        <v>50.400000000000006</v>
      </c>
      <c r="R247">
        <f t="shared" si="79"/>
        <v>144</v>
      </c>
      <c r="S247">
        <f t="shared" si="80"/>
        <v>106.55999999999999</v>
      </c>
      <c r="T247">
        <f t="shared" si="81"/>
        <v>95.04</v>
      </c>
      <c r="U247">
        <f>I247*E247/'[1]Inverter Analysis'!$L$2</f>
        <v>86.957066772308096</v>
      </c>
      <c r="V247">
        <f t="shared" si="82"/>
        <v>396.82539682539681</v>
      </c>
      <c r="W247">
        <f t="shared" si="83"/>
        <v>750.75075075075085</v>
      </c>
      <c r="X247">
        <f t="shared" si="84"/>
        <v>264.5502645502645</v>
      </c>
      <c r="Y247">
        <f t="shared" si="85"/>
        <v>12.399787174561951</v>
      </c>
      <c r="Z247">
        <f t="shared" si="86"/>
        <v>4.0645858909090907E-2</v>
      </c>
    </row>
    <row r="248" spans="1:26" hidden="1">
      <c r="A248">
        <v>10</v>
      </c>
      <c r="B248">
        <v>2</v>
      </c>
      <c r="C248" s="12">
        <v>7</v>
      </c>
      <c r="D248">
        <f t="shared" si="66"/>
        <v>180</v>
      </c>
      <c r="E248">
        <f t="shared" si="67"/>
        <v>120</v>
      </c>
      <c r="F248">
        <f t="shared" si="68"/>
        <v>9.8000000000000007</v>
      </c>
      <c r="G248">
        <f t="shared" si="69"/>
        <v>0.76999999999999991</v>
      </c>
      <c r="H248">
        <f t="shared" si="70"/>
        <v>35.28</v>
      </c>
      <c r="I248">
        <f t="shared" si="71"/>
        <v>294</v>
      </c>
      <c r="J248">
        <f t="shared" si="72"/>
        <v>196</v>
      </c>
      <c r="K248">
        <f t="shared" si="73"/>
        <v>23.52</v>
      </c>
      <c r="L248">
        <f t="shared" si="74"/>
        <v>2.8517999999999999</v>
      </c>
      <c r="M248">
        <f t="shared" si="75"/>
        <v>2.6918639999999998</v>
      </c>
      <c r="N248">
        <f t="shared" si="76"/>
        <v>1.2642</v>
      </c>
      <c r="O248">
        <f t="shared" si="87"/>
        <v>2.2168291764705881</v>
      </c>
      <c r="P248">
        <f t="shared" si="77"/>
        <v>1.5118790496760257</v>
      </c>
      <c r="Q248">
        <f t="shared" si="78"/>
        <v>42</v>
      </c>
      <c r="R248">
        <f t="shared" si="79"/>
        <v>140</v>
      </c>
      <c r="S248">
        <f t="shared" si="80"/>
        <v>103.60000000000001</v>
      </c>
      <c r="T248">
        <f t="shared" si="81"/>
        <v>92.399999999999991</v>
      </c>
      <c r="U248">
        <f>I248*E248/'[1]Inverter Analysis'!$L$2</f>
        <v>84.541592695299528</v>
      </c>
      <c r="V248">
        <f t="shared" si="82"/>
        <v>408.16326530612247</v>
      </c>
      <c r="W248">
        <f t="shared" si="83"/>
        <v>772.20077220077212</v>
      </c>
      <c r="X248">
        <f t="shared" si="84"/>
        <v>272.10884353741494</v>
      </c>
      <c r="Y248">
        <f t="shared" si="85"/>
        <v>13.118468716924312</v>
      </c>
      <c r="Z248">
        <f t="shared" si="86"/>
        <v>3.7351920454545467E-2</v>
      </c>
    </row>
    <row r="249" spans="1:26" hidden="1">
      <c r="A249">
        <v>11</v>
      </c>
      <c r="B249">
        <v>2</v>
      </c>
      <c r="C249">
        <v>6</v>
      </c>
      <c r="D249">
        <f t="shared" si="66"/>
        <v>180</v>
      </c>
      <c r="E249">
        <f t="shared" si="67"/>
        <v>120</v>
      </c>
      <c r="F249">
        <f t="shared" si="68"/>
        <v>9.24</v>
      </c>
      <c r="G249">
        <f t="shared" si="69"/>
        <v>0.72599999999999998</v>
      </c>
      <c r="H249">
        <f t="shared" si="70"/>
        <v>33.264000000000003</v>
      </c>
      <c r="I249">
        <f t="shared" si="71"/>
        <v>277.2</v>
      </c>
      <c r="J249">
        <f t="shared" si="72"/>
        <v>184.79999999999998</v>
      </c>
      <c r="K249">
        <f t="shared" si="73"/>
        <v>22.175999999999995</v>
      </c>
      <c r="L249">
        <f t="shared" si="74"/>
        <v>2.6888399999999999</v>
      </c>
      <c r="M249">
        <f t="shared" si="75"/>
        <v>2.5380432000000002</v>
      </c>
      <c r="N249">
        <f t="shared" si="76"/>
        <v>1.1919599999999999</v>
      </c>
      <c r="O249">
        <f t="shared" si="87"/>
        <v>2.0901532235294122</v>
      </c>
      <c r="P249">
        <f t="shared" si="77"/>
        <v>1.6630669546436285</v>
      </c>
      <c r="Q249">
        <f t="shared" si="78"/>
        <v>46.199999999999996</v>
      </c>
      <c r="R249">
        <f t="shared" si="79"/>
        <v>132</v>
      </c>
      <c r="S249">
        <f t="shared" si="80"/>
        <v>97.679999999999978</v>
      </c>
      <c r="T249">
        <f t="shared" si="81"/>
        <v>87.12</v>
      </c>
      <c r="U249">
        <f>I249*E249/'[1]Inverter Analysis'!$L$2</f>
        <v>79.710644541282406</v>
      </c>
      <c r="V249">
        <f t="shared" si="82"/>
        <v>432.90043290043292</v>
      </c>
      <c r="W249">
        <f t="shared" si="83"/>
        <v>819.00081900081921</v>
      </c>
      <c r="X249">
        <f t="shared" si="84"/>
        <v>288.60028860028859</v>
      </c>
      <c r="Y249">
        <f t="shared" si="85"/>
        <v>14.756771513528276</v>
      </c>
      <c r="Z249">
        <f t="shared" si="86"/>
        <v>3.1307660999999987E-2</v>
      </c>
    </row>
    <row r="250" spans="1:26" hidden="1">
      <c r="A250">
        <v>10</v>
      </c>
      <c r="B250">
        <v>2</v>
      </c>
      <c r="C250">
        <v>6</v>
      </c>
      <c r="D250">
        <f t="shared" si="66"/>
        <v>180</v>
      </c>
      <c r="E250">
        <f t="shared" si="67"/>
        <v>120</v>
      </c>
      <c r="F250">
        <f t="shared" si="68"/>
        <v>8.4</v>
      </c>
      <c r="G250">
        <f t="shared" si="69"/>
        <v>0.65999999999999992</v>
      </c>
      <c r="H250">
        <f t="shared" si="70"/>
        <v>30.24</v>
      </c>
      <c r="I250">
        <f t="shared" si="71"/>
        <v>252</v>
      </c>
      <c r="J250">
        <f t="shared" si="72"/>
        <v>168</v>
      </c>
      <c r="K250">
        <f t="shared" si="73"/>
        <v>20.16</v>
      </c>
      <c r="L250">
        <f t="shared" si="74"/>
        <v>2.4443999999999995</v>
      </c>
      <c r="M250">
        <f t="shared" si="75"/>
        <v>2.3073120000000005</v>
      </c>
      <c r="N250">
        <f t="shared" si="76"/>
        <v>1.0835999999999999</v>
      </c>
      <c r="O250">
        <f t="shared" si="87"/>
        <v>1.9001392941176476</v>
      </c>
      <c r="P250">
        <f t="shared" si="77"/>
        <v>1.5118790496760257</v>
      </c>
      <c r="Q250">
        <f t="shared" si="78"/>
        <v>42</v>
      </c>
      <c r="R250">
        <f t="shared" si="79"/>
        <v>120</v>
      </c>
      <c r="S250">
        <f t="shared" si="80"/>
        <v>88.800000000000011</v>
      </c>
      <c r="T250">
        <f t="shared" si="81"/>
        <v>79.199999999999989</v>
      </c>
      <c r="U250">
        <f>I250*E250/'[1]Inverter Analysis'!$L$2</f>
        <v>72.46422231025673</v>
      </c>
      <c r="V250">
        <f t="shared" si="82"/>
        <v>476.1904761904762</v>
      </c>
      <c r="W250">
        <f t="shared" si="83"/>
        <v>900.90090090090075</v>
      </c>
      <c r="X250">
        <f t="shared" si="84"/>
        <v>317.46031746031747</v>
      </c>
      <c r="Y250">
        <f t="shared" si="85"/>
        <v>17.855693531369198</v>
      </c>
      <c r="Z250">
        <f t="shared" si="86"/>
        <v>2.3521909090909104E-2</v>
      </c>
    </row>
  </sheetData>
  <autoFilter ref="A5:Z250" xr:uid="{A2CE6195-5CC3-44AE-9652-9B86E78EB431}">
    <filterColumn colId="8">
      <filters>
        <filter val="352.8"/>
        <filter val="369.6"/>
        <filter val="378"/>
        <filter val="382.2"/>
        <filter val="403.2"/>
      </filters>
    </filterColumn>
    <filterColumn colId="14">
      <filters>
        <filter val="4.560334306"/>
        <filter val="4.777493082"/>
        <filter val="4.886072471"/>
        <filter val="4.940362165"/>
        <filter val="5.211810635"/>
        <filter val="5.700417882"/>
        <filter val="5.971866353"/>
        <filter val="6.107590588"/>
        <filter val="6.175452706"/>
        <filter val="6.514763294"/>
        <filter val="6.840501459"/>
        <filter val="7.166239624"/>
        <filter val="7.329108706"/>
        <filter val="7.410543247"/>
        <filter val="7.817715953"/>
      </filters>
    </filterColumn>
    <sortState xmlns:xlrd2="http://schemas.microsoft.com/office/spreadsheetml/2017/richdata2" ref="A6:Z250">
      <sortCondition sortBy="cellColor" ref="I5" dxfId="32"/>
    </sortState>
  </autoFilter>
  <mergeCells count="1">
    <mergeCell ref="Q1:S1"/>
  </mergeCells>
  <conditionalFormatting sqref="H6:H250">
    <cfRule type="cellIs" dxfId="41" priority="4" operator="between">
      <formula>70</formula>
      <formula>85</formula>
    </cfRule>
    <cfRule type="cellIs" dxfId="40" priority="5" operator="lessThan">
      <formula>70</formula>
    </cfRule>
    <cfRule type="cellIs" dxfId="39" priority="6" operator="greaterThan">
      <formula>85</formula>
    </cfRule>
  </conditionalFormatting>
  <conditionalFormatting sqref="I6:I250">
    <cfRule type="cellIs" dxfId="38" priority="3" operator="greaterThan">
      <formula>605</formula>
    </cfRule>
  </conditionalFormatting>
  <conditionalFormatting sqref="I5:K5">
    <cfRule type="cellIs" dxfId="37" priority="1" operator="between">
      <formula>400</formula>
      <formula>600</formula>
    </cfRule>
  </conditionalFormatting>
  <conditionalFormatting sqref="I5:K250">
    <cfRule type="cellIs" dxfId="36" priority="2" operator="lessThan">
      <formula>400</formula>
    </cfRule>
  </conditionalFormatting>
  <conditionalFormatting sqref="I6:K250">
    <cfRule type="cellIs" dxfId="35" priority="9" operator="between">
      <formula>400</formula>
      <formula>605</formula>
    </cfRule>
  </conditionalFormatting>
  <conditionalFormatting sqref="Q6:Q250">
    <cfRule type="cellIs" dxfId="34" priority="7" operator="lessThan">
      <formula>60</formula>
    </cfRule>
    <cfRule type="cellIs" dxfId="33" priority="8" operator="greaterThan">
      <formula>60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0695-E234-4CBF-A69D-2A48239DCF5F}">
  <sheetPr filterMode="1"/>
  <dimension ref="A1:Z250"/>
  <sheetViews>
    <sheetView workbookViewId="0">
      <selection activeCell="H27" sqref="H27"/>
    </sheetView>
  </sheetViews>
  <sheetFormatPr defaultRowHeight="15"/>
  <sheetData>
    <row r="1" spans="1:26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6" t="s">
        <v>36</v>
      </c>
      <c r="R1" s="26"/>
      <c r="S1" s="26"/>
    </row>
    <row r="2" spans="1:26">
      <c r="A2" s="1" t="s">
        <v>37</v>
      </c>
      <c r="B2" s="1" t="s">
        <v>38</v>
      </c>
      <c r="C2" s="1" t="s">
        <v>39</v>
      </c>
      <c r="D2" s="1"/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3</v>
      </c>
      <c r="K2" s="1" t="s">
        <v>45</v>
      </c>
      <c r="L2" s="1" t="s">
        <v>46</v>
      </c>
      <c r="M2" s="1" t="s">
        <v>47</v>
      </c>
      <c r="N2" s="1" t="s">
        <v>49</v>
      </c>
      <c r="O2" s="1" t="s">
        <v>75</v>
      </c>
      <c r="P2" s="1" t="s">
        <v>76</v>
      </c>
      <c r="Q2" s="1" t="s">
        <v>51</v>
      </c>
      <c r="R2" s="1" t="s">
        <v>52</v>
      </c>
      <c r="S2" s="1" t="s">
        <v>53</v>
      </c>
    </row>
    <row r="3" spans="1:26" ht="26.25">
      <c r="A3" s="2" t="s">
        <v>93</v>
      </c>
      <c r="B3" s="2" t="s">
        <v>55</v>
      </c>
      <c r="C3" s="2">
        <v>21700</v>
      </c>
      <c r="D3" s="2"/>
      <c r="E3" s="2">
        <v>2024</v>
      </c>
      <c r="F3" s="2" t="s">
        <v>56</v>
      </c>
      <c r="G3" s="2" t="s">
        <v>57</v>
      </c>
      <c r="H3">
        <v>4000</v>
      </c>
      <c r="I3">
        <v>70</v>
      </c>
      <c r="J3" s="2">
        <v>140</v>
      </c>
      <c r="K3" s="2">
        <v>3</v>
      </c>
      <c r="L3" s="2">
        <v>4.2</v>
      </c>
      <c r="M3" s="2">
        <v>2.5</v>
      </c>
      <c r="N3">
        <v>3850</v>
      </c>
      <c r="O3">
        <v>3700</v>
      </c>
      <c r="P3">
        <v>2950</v>
      </c>
      <c r="Q3">
        <v>67</v>
      </c>
      <c r="R3">
        <v>7.0000000000000001E-3</v>
      </c>
      <c r="S3" s="4">
        <v>5</v>
      </c>
    </row>
    <row r="4" spans="1:26">
      <c r="A4" s="1" t="s">
        <v>58</v>
      </c>
    </row>
    <row r="5" spans="1:26">
      <c r="A5" s="3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80</v>
      </c>
      <c r="N5" s="1" t="s">
        <v>81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20</v>
      </c>
      <c r="Y5" s="1" t="s">
        <v>22</v>
      </c>
      <c r="Z5" s="1" t="s">
        <v>23</v>
      </c>
    </row>
    <row r="6" spans="1:26" hidden="1">
      <c r="A6" s="8">
        <v>16</v>
      </c>
      <c r="B6" s="1">
        <v>6</v>
      </c>
      <c r="C6" s="1">
        <v>12</v>
      </c>
      <c r="D6">
        <f>B6*$J$3</f>
        <v>840</v>
      </c>
      <c r="E6">
        <f>B6*$I$3</f>
        <v>420</v>
      </c>
      <c r="F6">
        <f>A6*B6*C6*$Q$3/1000</f>
        <v>77.183999999999997</v>
      </c>
      <c r="G6">
        <f>((B6*$R$3^(-1))^(-1))*A6*C6</f>
        <v>0.22400000000000003</v>
      </c>
      <c r="H6">
        <f>E6*I6/1000</f>
        <v>338.68800000000005</v>
      </c>
      <c r="I6">
        <f>A6*C6*4.2</f>
        <v>806.40000000000009</v>
      </c>
      <c r="J6">
        <f>C6*A6*$K$3</f>
        <v>576</v>
      </c>
      <c r="K6">
        <f>E6*J6/1000</f>
        <v>241.92</v>
      </c>
      <c r="L6">
        <f>$N$3/1000*I6*B6/1000</f>
        <v>18.627840000000003</v>
      </c>
      <c r="M6">
        <f>$O$3/1000*I6*B6/1000</f>
        <v>17.902080000000002</v>
      </c>
      <c r="N6">
        <f>$P$3/1000*I6*B6/1000</f>
        <v>14.273280000000003</v>
      </c>
      <c r="O6">
        <f>L6*(($L$3-$K$3)/($L$3-$M$3))</f>
        <v>13.149063529411768</v>
      </c>
      <c r="P6">
        <f>$H$3/1000*B6*I6/277.8/C6</f>
        <v>5.8056155507559408</v>
      </c>
      <c r="Q6">
        <f>I6/C6</f>
        <v>67.2</v>
      </c>
      <c r="R6">
        <f>(A6*B6*C6)</f>
        <v>1152</v>
      </c>
      <c r="S6">
        <f>J6-(G6*E6)</f>
        <v>481.91999999999996</v>
      </c>
      <c r="T6">
        <f>G6*E6</f>
        <v>94.080000000000013</v>
      </c>
      <c r="U6">
        <f>I6*E6/'[1]Inverter Analysis'!$L$2</f>
        <v>811.59928987487558</v>
      </c>
      <c r="V6">
        <f>80000/J6</f>
        <v>138.88888888888889</v>
      </c>
      <c r="W6">
        <f>80000/S6</f>
        <v>166.00265604249668</v>
      </c>
      <c r="X6">
        <f>80000/I6</f>
        <v>99.206349206349202</v>
      </c>
      <c r="Y6">
        <f>(MAX(V6:X6)^2)*$R$3/1000</f>
        <v>0.19289817269214424</v>
      </c>
      <c r="Z6">
        <f>($S$3*F6/(Y6*1000))*10</f>
        <v>20.006410357028564</v>
      </c>
    </row>
    <row r="7" spans="1:26" hidden="1">
      <c r="A7" s="8">
        <v>15</v>
      </c>
      <c r="B7" s="1">
        <v>6</v>
      </c>
      <c r="C7" s="1">
        <v>12</v>
      </c>
      <c r="D7">
        <f t="shared" ref="D7:D70" si="0">B7*$J$3</f>
        <v>840</v>
      </c>
      <c r="E7">
        <f t="shared" ref="E7:E70" si="1">B7*$I$3</f>
        <v>420</v>
      </c>
      <c r="F7">
        <f t="shared" ref="F7:F70" si="2">A7*B7*C7*$Q$3/1000</f>
        <v>72.36</v>
      </c>
      <c r="G7">
        <f t="shared" ref="G7:G70" si="3">((B7*$R$3^(-1))^(-1))*A7*C7</f>
        <v>0.21000000000000002</v>
      </c>
      <c r="H7">
        <f t="shared" ref="H7:H70" si="4">E7*I7/1000</f>
        <v>317.52</v>
      </c>
      <c r="I7">
        <f t="shared" ref="I7:I70" si="5">A7*C7*4.2</f>
        <v>756</v>
      </c>
      <c r="J7">
        <f t="shared" ref="J7:J70" si="6">C7*A7*$K$3</f>
        <v>540</v>
      </c>
      <c r="K7">
        <f t="shared" ref="K7:K70" si="7">E7*J7/1000</f>
        <v>226.8</v>
      </c>
      <c r="L7">
        <f t="shared" ref="L7:L70" si="8">$N$3/1000*I7*B7/1000</f>
        <v>17.4636</v>
      </c>
      <c r="M7">
        <f t="shared" ref="M7:M70" si="9">$O$3/1000*I7*B7/1000</f>
        <v>16.783200000000001</v>
      </c>
      <c r="N7">
        <f t="shared" ref="N7:N70" si="10">$P$3/1000*I7*B7/1000</f>
        <v>13.381200000000002</v>
      </c>
      <c r="O7">
        <f t="shared" ref="O7:O70" si="11">L7*(($L$3-$K$3)/($L$3-$M$3))</f>
        <v>12.327247058823531</v>
      </c>
      <c r="P7">
        <f t="shared" ref="P7:P70" si="12">$H$3/1000*B7*I7/277.8/C7</f>
        <v>5.4427645788336934</v>
      </c>
      <c r="Q7">
        <f t="shared" ref="Q7:Q70" si="13">I7/C7</f>
        <v>63</v>
      </c>
      <c r="R7">
        <f t="shared" ref="R7:R70" si="14">(A7*B7*C7)</f>
        <v>1080</v>
      </c>
      <c r="S7">
        <f t="shared" ref="S7:S70" si="15">J7-(G7*E7)</f>
        <v>451.8</v>
      </c>
      <c r="T7">
        <f t="shared" ref="T7:T70" si="16">G7*E7</f>
        <v>88.2</v>
      </c>
      <c r="U7">
        <f>I7*E7/'[1]Inverter Analysis'!$L$2</f>
        <v>760.87433425769575</v>
      </c>
      <c r="V7">
        <f t="shared" ref="V7:V70" si="17">80000/J7</f>
        <v>148.14814814814815</v>
      </c>
      <c r="W7">
        <f t="shared" ref="W7:W70" si="18">80000/S7</f>
        <v>177.06949977866313</v>
      </c>
      <c r="X7">
        <f t="shared" ref="X7:X70" si="19">80000/I7</f>
        <v>105.82010582010582</v>
      </c>
      <c r="Y7">
        <f t="shared" ref="Y7:Y70" si="20">(MAX(V7:X7)^2)*$R$3/1000</f>
        <v>0.21947525426306186</v>
      </c>
      <c r="Z7">
        <f t="shared" ref="Z7:Z70" si="21">($S$3*F7/(Y7*1000))*10</f>
        <v>16.484774158928573</v>
      </c>
    </row>
    <row r="8" spans="1:26" hidden="1">
      <c r="A8">
        <v>14</v>
      </c>
      <c r="B8" s="1">
        <v>6</v>
      </c>
      <c r="C8" s="1">
        <v>12</v>
      </c>
      <c r="D8">
        <f t="shared" si="0"/>
        <v>840</v>
      </c>
      <c r="E8">
        <f t="shared" si="1"/>
        <v>420</v>
      </c>
      <c r="F8">
        <f t="shared" si="2"/>
        <v>67.536000000000001</v>
      </c>
      <c r="G8">
        <f t="shared" si="3"/>
        <v>0.19600000000000001</v>
      </c>
      <c r="H8">
        <f t="shared" si="4"/>
        <v>296.35199999999998</v>
      </c>
      <c r="I8">
        <f t="shared" si="5"/>
        <v>705.6</v>
      </c>
      <c r="J8">
        <f t="shared" si="6"/>
        <v>504</v>
      </c>
      <c r="K8">
        <f t="shared" si="7"/>
        <v>211.68</v>
      </c>
      <c r="L8">
        <f t="shared" si="8"/>
        <v>16.29936</v>
      </c>
      <c r="M8">
        <f t="shared" si="9"/>
        <v>15.664320000000002</v>
      </c>
      <c r="N8">
        <f t="shared" si="10"/>
        <v>12.48912</v>
      </c>
      <c r="O8">
        <f t="shared" si="11"/>
        <v>11.505430588235296</v>
      </c>
      <c r="P8">
        <f t="shared" si="12"/>
        <v>5.0799136069114477</v>
      </c>
      <c r="Q8">
        <f t="shared" si="13"/>
        <v>58.800000000000004</v>
      </c>
      <c r="R8">
        <f t="shared" si="14"/>
        <v>1008</v>
      </c>
      <c r="S8">
        <f t="shared" si="15"/>
        <v>421.68</v>
      </c>
      <c r="T8">
        <f t="shared" si="16"/>
        <v>82.320000000000007</v>
      </c>
      <c r="U8">
        <f>I8*E8/'[1]Inverter Analysis'!$L$2</f>
        <v>710.14937864051603</v>
      </c>
      <c r="V8">
        <f t="shared" si="17"/>
        <v>158.73015873015873</v>
      </c>
      <c r="W8">
        <f t="shared" si="18"/>
        <v>189.71732119142479</v>
      </c>
      <c r="X8">
        <f t="shared" si="19"/>
        <v>113.37868480725623</v>
      </c>
      <c r="Y8">
        <f t="shared" si="20"/>
        <v>0.25194863372035164</v>
      </c>
      <c r="Z8">
        <f t="shared" si="21"/>
        <v>13.402731938399999</v>
      </c>
    </row>
    <row r="9" spans="1:26" hidden="1">
      <c r="A9">
        <v>13</v>
      </c>
      <c r="B9" s="1">
        <v>6</v>
      </c>
      <c r="C9" s="1">
        <v>12</v>
      </c>
      <c r="D9">
        <f t="shared" si="0"/>
        <v>840</v>
      </c>
      <c r="E9">
        <f t="shared" si="1"/>
        <v>420</v>
      </c>
      <c r="F9">
        <f t="shared" si="2"/>
        <v>62.712000000000003</v>
      </c>
      <c r="G9">
        <f t="shared" si="3"/>
        <v>0.18200000000000002</v>
      </c>
      <c r="H9">
        <f t="shared" si="4"/>
        <v>275.18400000000003</v>
      </c>
      <c r="I9">
        <f t="shared" si="5"/>
        <v>655.20000000000005</v>
      </c>
      <c r="J9">
        <f t="shared" si="6"/>
        <v>468</v>
      </c>
      <c r="K9">
        <f t="shared" si="7"/>
        <v>196.56</v>
      </c>
      <c r="L9">
        <f t="shared" si="8"/>
        <v>15.135120000000002</v>
      </c>
      <c r="M9">
        <f t="shared" si="9"/>
        <v>14.545440000000003</v>
      </c>
      <c r="N9">
        <f t="shared" si="10"/>
        <v>11.597040000000002</v>
      </c>
      <c r="O9">
        <f t="shared" si="11"/>
        <v>10.68361411764706</v>
      </c>
      <c r="P9">
        <f t="shared" si="12"/>
        <v>4.7170626349892011</v>
      </c>
      <c r="Q9">
        <f t="shared" si="13"/>
        <v>54.6</v>
      </c>
      <c r="R9">
        <f t="shared" si="14"/>
        <v>936</v>
      </c>
      <c r="S9">
        <f t="shared" si="15"/>
        <v>391.56</v>
      </c>
      <c r="T9">
        <f t="shared" si="16"/>
        <v>76.440000000000012</v>
      </c>
      <c r="U9">
        <f>I9*E9/'[1]Inverter Analysis'!$L$2</f>
        <v>659.42442302333632</v>
      </c>
      <c r="V9">
        <f t="shared" si="17"/>
        <v>170.94017094017093</v>
      </c>
      <c r="W9">
        <f t="shared" si="18"/>
        <v>204.31096128307283</v>
      </c>
      <c r="X9">
        <f t="shared" si="19"/>
        <v>122.10012210012209</v>
      </c>
      <c r="Y9">
        <f t="shared" si="20"/>
        <v>0.29220078230289298</v>
      </c>
      <c r="Z9">
        <f t="shared" si="21"/>
        <v>10.730977430271428</v>
      </c>
    </row>
    <row r="10" spans="1:26" hidden="1">
      <c r="A10">
        <v>12</v>
      </c>
      <c r="B10" s="1">
        <v>6</v>
      </c>
      <c r="C10" s="1">
        <v>12</v>
      </c>
      <c r="D10">
        <f t="shared" si="0"/>
        <v>840</v>
      </c>
      <c r="E10">
        <f t="shared" si="1"/>
        <v>420</v>
      </c>
      <c r="F10">
        <f t="shared" si="2"/>
        <v>57.887999999999998</v>
      </c>
      <c r="G10">
        <f t="shared" si="3"/>
        <v>0.16800000000000004</v>
      </c>
      <c r="H10">
        <f t="shared" si="4"/>
        <v>254.01600000000002</v>
      </c>
      <c r="I10">
        <f t="shared" si="5"/>
        <v>604.80000000000007</v>
      </c>
      <c r="J10">
        <f t="shared" si="6"/>
        <v>432</v>
      </c>
      <c r="K10">
        <f t="shared" si="7"/>
        <v>181.44</v>
      </c>
      <c r="L10">
        <f t="shared" si="8"/>
        <v>13.970880000000003</v>
      </c>
      <c r="M10">
        <f t="shared" si="9"/>
        <v>13.426560000000002</v>
      </c>
      <c r="N10">
        <f t="shared" si="10"/>
        <v>10.704960000000003</v>
      </c>
      <c r="O10">
        <f t="shared" si="11"/>
        <v>9.8617976470588253</v>
      </c>
      <c r="P10">
        <f t="shared" si="12"/>
        <v>4.3542116630669545</v>
      </c>
      <c r="Q10">
        <f t="shared" si="13"/>
        <v>50.400000000000006</v>
      </c>
      <c r="R10">
        <f t="shared" si="14"/>
        <v>864</v>
      </c>
      <c r="S10">
        <f t="shared" si="15"/>
        <v>361.44</v>
      </c>
      <c r="T10">
        <f t="shared" si="16"/>
        <v>70.560000000000016</v>
      </c>
      <c r="U10">
        <f>I10*E10/'[1]Inverter Analysis'!$L$2</f>
        <v>608.6994674061566</v>
      </c>
      <c r="V10">
        <f t="shared" si="17"/>
        <v>185.18518518518519</v>
      </c>
      <c r="W10">
        <f t="shared" si="18"/>
        <v>221.33687472332892</v>
      </c>
      <c r="X10">
        <f t="shared" si="19"/>
        <v>132.27513227513225</v>
      </c>
      <c r="Y10">
        <f t="shared" si="20"/>
        <v>0.34293008478603415</v>
      </c>
      <c r="Z10">
        <f t="shared" si="21"/>
        <v>8.4402043693714273</v>
      </c>
    </row>
    <row r="11" spans="1:26" hidden="1">
      <c r="A11">
        <v>11</v>
      </c>
      <c r="B11" s="1">
        <v>6</v>
      </c>
      <c r="C11" s="1">
        <v>12</v>
      </c>
      <c r="D11">
        <f t="shared" si="0"/>
        <v>840</v>
      </c>
      <c r="E11">
        <f t="shared" si="1"/>
        <v>420</v>
      </c>
      <c r="F11">
        <f t="shared" si="2"/>
        <v>53.064</v>
      </c>
      <c r="G11">
        <f t="shared" si="3"/>
        <v>0.154</v>
      </c>
      <c r="H11">
        <f t="shared" si="4"/>
        <v>232.84800000000001</v>
      </c>
      <c r="I11">
        <f t="shared" si="5"/>
        <v>554.4</v>
      </c>
      <c r="J11">
        <f t="shared" si="6"/>
        <v>396</v>
      </c>
      <c r="K11">
        <f t="shared" si="7"/>
        <v>166.32</v>
      </c>
      <c r="L11">
        <f t="shared" si="8"/>
        <v>12.80664</v>
      </c>
      <c r="M11">
        <f t="shared" si="9"/>
        <v>12.30768</v>
      </c>
      <c r="N11">
        <f t="shared" si="10"/>
        <v>9.8128800000000016</v>
      </c>
      <c r="O11">
        <f t="shared" si="11"/>
        <v>9.0399811764705884</v>
      </c>
      <c r="P11">
        <f t="shared" si="12"/>
        <v>3.9913606911447079</v>
      </c>
      <c r="Q11">
        <f t="shared" si="13"/>
        <v>46.199999999999996</v>
      </c>
      <c r="R11">
        <f t="shared" si="14"/>
        <v>792</v>
      </c>
      <c r="S11">
        <f t="shared" si="15"/>
        <v>331.32</v>
      </c>
      <c r="T11">
        <f t="shared" si="16"/>
        <v>64.679999999999993</v>
      </c>
      <c r="U11">
        <f>I11*E11/'[1]Inverter Analysis'!$L$2</f>
        <v>557.97451178897688</v>
      </c>
      <c r="V11">
        <f t="shared" si="17"/>
        <v>202.02020202020202</v>
      </c>
      <c r="W11">
        <f t="shared" si="18"/>
        <v>241.45840878908609</v>
      </c>
      <c r="X11">
        <f t="shared" si="19"/>
        <v>144.3001443001443</v>
      </c>
      <c r="Y11">
        <f t="shared" si="20"/>
        <v>0.40811514222470185</v>
      </c>
      <c r="Z11">
        <f t="shared" si="21"/>
        <v>6.5011064905285707</v>
      </c>
    </row>
    <row r="12" spans="1:26" hidden="1">
      <c r="A12">
        <v>10</v>
      </c>
      <c r="B12" s="1">
        <v>6</v>
      </c>
      <c r="C12" s="1">
        <v>12</v>
      </c>
      <c r="D12">
        <f t="shared" si="0"/>
        <v>840</v>
      </c>
      <c r="E12">
        <f t="shared" si="1"/>
        <v>420</v>
      </c>
      <c r="F12">
        <f t="shared" si="2"/>
        <v>48.24</v>
      </c>
      <c r="G12">
        <f t="shared" si="3"/>
        <v>0.14000000000000001</v>
      </c>
      <c r="H12">
        <f t="shared" si="4"/>
        <v>211.68</v>
      </c>
      <c r="I12">
        <f t="shared" si="5"/>
        <v>504</v>
      </c>
      <c r="J12">
        <f t="shared" si="6"/>
        <v>360</v>
      </c>
      <c r="K12">
        <f t="shared" si="7"/>
        <v>151.19999999999999</v>
      </c>
      <c r="L12">
        <f t="shared" si="8"/>
        <v>11.642400000000002</v>
      </c>
      <c r="M12">
        <f t="shared" si="9"/>
        <v>11.188800000000001</v>
      </c>
      <c r="N12">
        <f t="shared" si="10"/>
        <v>8.9208000000000016</v>
      </c>
      <c r="O12">
        <f t="shared" si="11"/>
        <v>8.218164705882355</v>
      </c>
      <c r="P12">
        <f t="shared" si="12"/>
        <v>3.6285097192224622</v>
      </c>
      <c r="Q12">
        <f t="shared" si="13"/>
        <v>42</v>
      </c>
      <c r="R12">
        <f t="shared" si="14"/>
        <v>720</v>
      </c>
      <c r="S12">
        <f t="shared" si="15"/>
        <v>301.2</v>
      </c>
      <c r="T12">
        <f t="shared" si="16"/>
        <v>58.800000000000004</v>
      </c>
      <c r="U12">
        <f>I12*E12/'[1]Inverter Analysis'!$L$2</f>
        <v>507.24955617179717</v>
      </c>
      <c r="V12">
        <f t="shared" si="17"/>
        <v>222.22222222222223</v>
      </c>
      <c r="W12">
        <f t="shared" si="18"/>
        <v>265.60424966799468</v>
      </c>
      <c r="X12">
        <f t="shared" si="19"/>
        <v>158.73015873015873</v>
      </c>
      <c r="Y12">
        <f t="shared" si="20"/>
        <v>0.49381932209188922</v>
      </c>
      <c r="Z12">
        <f t="shared" si="21"/>
        <v>4.884377528571429</v>
      </c>
    </row>
    <row r="13" spans="1:26" hidden="1">
      <c r="A13" s="8">
        <v>16</v>
      </c>
      <c r="B13" s="9">
        <v>5</v>
      </c>
      <c r="C13" s="9">
        <v>12</v>
      </c>
      <c r="D13">
        <f t="shared" si="0"/>
        <v>700</v>
      </c>
      <c r="E13">
        <f t="shared" si="1"/>
        <v>350</v>
      </c>
      <c r="F13">
        <f t="shared" si="2"/>
        <v>64.319999999999993</v>
      </c>
      <c r="G13">
        <f t="shared" si="3"/>
        <v>0.26879999999999998</v>
      </c>
      <c r="H13">
        <f t="shared" si="4"/>
        <v>282.24000000000007</v>
      </c>
      <c r="I13">
        <f t="shared" si="5"/>
        <v>806.40000000000009</v>
      </c>
      <c r="J13">
        <f t="shared" si="6"/>
        <v>576</v>
      </c>
      <c r="K13">
        <f t="shared" si="7"/>
        <v>201.6</v>
      </c>
      <c r="L13">
        <f t="shared" si="8"/>
        <v>15.523200000000001</v>
      </c>
      <c r="M13">
        <f t="shared" si="9"/>
        <v>14.918400000000002</v>
      </c>
      <c r="N13">
        <f t="shared" si="10"/>
        <v>11.894400000000003</v>
      </c>
      <c r="O13">
        <f t="shared" si="11"/>
        <v>10.957552941176472</v>
      </c>
      <c r="P13">
        <f t="shared" si="12"/>
        <v>4.8380129589632839</v>
      </c>
      <c r="Q13">
        <f t="shared" si="13"/>
        <v>67.2</v>
      </c>
      <c r="R13">
        <f t="shared" si="14"/>
        <v>960</v>
      </c>
      <c r="S13">
        <f t="shared" si="15"/>
        <v>481.92</v>
      </c>
      <c r="T13">
        <f t="shared" si="16"/>
        <v>94.08</v>
      </c>
      <c r="U13">
        <f>I13*E13/'[1]Inverter Analysis'!$L$2</f>
        <v>676.33274156239634</v>
      </c>
      <c r="V13">
        <f t="shared" si="17"/>
        <v>138.88888888888889</v>
      </c>
      <c r="W13">
        <f t="shared" si="18"/>
        <v>166.00265604249668</v>
      </c>
      <c r="X13">
        <f t="shared" si="19"/>
        <v>99.206349206349202</v>
      </c>
      <c r="Y13">
        <f t="shared" si="20"/>
        <v>0.19289817269214424</v>
      </c>
      <c r="Z13">
        <f t="shared" si="21"/>
        <v>16.672008630857139</v>
      </c>
    </row>
    <row r="14" spans="1:26" hidden="1">
      <c r="A14" s="8">
        <v>15</v>
      </c>
      <c r="B14" s="9">
        <v>5</v>
      </c>
      <c r="C14" s="9">
        <v>12</v>
      </c>
      <c r="D14">
        <f t="shared" si="0"/>
        <v>700</v>
      </c>
      <c r="E14">
        <f t="shared" si="1"/>
        <v>350</v>
      </c>
      <c r="F14">
        <f t="shared" si="2"/>
        <v>60.3</v>
      </c>
      <c r="G14">
        <f t="shared" si="3"/>
        <v>0.252</v>
      </c>
      <c r="H14">
        <f t="shared" si="4"/>
        <v>264.60000000000002</v>
      </c>
      <c r="I14">
        <f t="shared" si="5"/>
        <v>756</v>
      </c>
      <c r="J14">
        <f t="shared" si="6"/>
        <v>540</v>
      </c>
      <c r="K14">
        <f t="shared" si="7"/>
        <v>189</v>
      </c>
      <c r="L14">
        <f t="shared" si="8"/>
        <v>14.553000000000001</v>
      </c>
      <c r="M14">
        <f t="shared" si="9"/>
        <v>13.986000000000002</v>
      </c>
      <c r="N14">
        <f t="shared" si="10"/>
        <v>11.151000000000002</v>
      </c>
      <c r="O14">
        <f t="shared" si="11"/>
        <v>10.272705882352943</v>
      </c>
      <c r="P14">
        <f t="shared" si="12"/>
        <v>4.5356371490280774</v>
      </c>
      <c r="Q14">
        <f t="shared" si="13"/>
        <v>63</v>
      </c>
      <c r="R14">
        <f t="shared" si="14"/>
        <v>900</v>
      </c>
      <c r="S14">
        <f t="shared" si="15"/>
        <v>451.8</v>
      </c>
      <c r="T14">
        <f t="shared" si="16"/>
        <v>88.2</v>
      </c>
      <c r="U14">
        <f>I14*E14/'[1]Inverter Analysis'!$L$2</f>
        <v>634.0619452147464</v>
      </c>
      <c r="V14">
        <f t="shared" si="17"/>
        <v>148.14814814814815</v>
      </c>
      <c r="W14">
        <f t="shared" si="18"/>
        <v>177.06949977866313</v>
      </c>
      <c r="X14">
        <f t="shared" si="19"/>
        <v>105.82010582010582</v>
      </c>
      <c r="Y14">
        <f t="shared" si="20"/>
        <v>0.21947525426306186</v>
      </c>
      <c r="Z14">
        <f t="shared" si="21"/>
        <v>13.737311799107143</v>
      </c>
    </row>
    <row r="15" spans="1:26" hidden="1">
      <c r="A15">
        <v>14</v>
      </c>
      <c r="B15" s="9">
        <v>5</v>
      </c>
      <c r="C15">
        <v>12</v>
      </c>
      <c r="D15">
        <f t="shared" si="0"/>
        <v>700</v>
      </c>
      <c r="E15">
        <f t="shared" si="1"/>
        <v>350</v>
      </c>
      <c r="F15">
        <f t="shared" si="2"/>
        <v>56.28</v>
      </c>
      <c r="G15">
        <f t="shared" si="3"/>
        <v>0.23519999999999999</v>
      </c>
      <c r="H15">
        <f t="shared" si="4"/>
        <v>246.96</v>
      </c>
      <c r="I15">
        <f t="shared" si="5"/>
        <v>705.6</v>
      </c>
      <c r="J15">
        <f t="shared" si="6"/>
        <v>504</v>
      </c>
      <c r="K15">
        <f t="shared" si="7"/>
        <v>176.4</v>
      </c>
      <c r="L15">
        <f t="shared" si="8"/>
        <v>13.582799999999999</v>
      </c>
      <c r="M15">
        <f t="shared" si="9"/>
        <v>13.053600000000003</v>
      </c>
      <c r="N15">
        <f t="shared" si="10"/>
        <v>10.4076</v>
      </c>
      <c r="O15">
        <f t="shared" si="11"/>
        <v>9.5878588235294124</v>
      </c>
      <c r="P15">
        <f t="shared" si="12"/>
        <v>4.2332613390928726</v>
      </c>
      <c r="Q15">
        <f t="shared" si="13"/>
        <v>58.800000000000004</v>
      </c>
      <c r="R15">
        <f t="shared" si="14"/>
        <v>840</v>
      </c>
      <c r="S15">
        <f t="shared" si="15"/>
        <v>421.68</v>
      </c>
      <c r="T15">
        <f t="shared" si="16"/>
        <v>82.32</v>
      </c>
      <c r="U15">
        <f>I15*E15/'[1]Inverter Analysis'!$L$2</f>
        <v>591.79114886709669</v>
      </c>
      <c r="V15">
        <f t="shared" si="17"/>
        <v>158.73015873015873</v>
      </c>
      <c r="W15">
        <f t="shared" si="18"/>
        <v>189.71732119142479</v>
      </c>
      <c r="X15">
        <f t="shared" si="19"/>
        <v>113.37868480725623</v>
      </c>
      <c r="Y15">
        <f t="shared" si="20"/>
        <v>0.25194863372035164</v>
      </c>
      <c r="Z15">
        <f t="shared" si="21"/>
        <v>11.168943281999999</v>
      </c>
    </row>
    <row r="16" spans="1:26" hidden="1">
      <c r="A16">
        <v>13</v>
      </c>
      <c r="B16" s="9">
        <v>5</v>
      </c>
      <c r="C16">
        <v>12</v>
      </c>
      <c r="D16">
        <f t="shared" si="0"/>
        <v>700</v>
      </c>
      <c r="E16">
        <f t="shared" si="1"/>
        <v>350</v>
      </c>
      <c r="F16">
        <f t="shared" si="2"/>
        <v>52.26</v>
      </c>
      <c r="G16">
        <f t="shared" si="3"/>
        <v>0.21840000000000001</v>
      </c>
      <c r="H16">
        <f t="shared" si="4"/>
        <v>229.32000000000002</v>
      </c>
      <c r="I16">
        <f t="shared" si="5"/>
        <v>655.20000000000005</v>
      </c>
      <c r="J16">
        <f t="shared" si="6"/>
        <v>468</v>
      </c>
      <c r="K16">
        <f t="shared" si="7"/>
        <v>163.80000000000001</v>
      </c>
      <c r="L16">
        <f t="shared" si="8"/>
        <v>12.612600000000002</v>
      </c>
      <c r="M16">
        <f t="shared" si="9"/>
        <v>12.1212</v>
      </c>
      <c r="N16">
        <f t="shared" si="10"/>
        <v>9.664200000000001</v>
      </c>
      <c r="O16">
        <f t="shared" si="11"/>
        <v>8.9030117647058837</v>
      </c>
      <c r="P16">
        <f t="shared" si="12"/>
        <v>3.930885529157667</v>
      </c>
      <c r="Q16">
        <f t="shared" si="13"/>
        <v>54.6</v>
      </c>
      <c r="R16">
        <f t="shared" si="14"/>
        <v>780</v>
      </c>
      <c r="S16">
        <f t="shared" si="15"/>
        <v>391.56</v>
      </c>
      <c r="T16">
        <f t="shared" si="16"/>
        <v>76.44</v>
      </c>
      <c r="U16">
        <f>I16*E16/'[1]Inverter Analysis'!$L$2</f>
        <v>549.52035251944699</v>
      </c>
      <c r="V16">
        <f t="shared" si="17"/>
        <v>170.94017094017093</v>
      </c>
      <c r="W16">
        <f t="shared" si="18"/>
        <v>204.31096128307283</v>
      </c>
      <c r="X16">
        <f t="shared" si="19"/>
        <v>122.10012210012209</v>
      </c>
      <c r="Y16">
        <f t="shared" si="20"/>
        <v>0.29220078230289298</v>
      </c>
      <c r="Z16">
        <f t="shared" si="21"/>
        <v>8.942481191892858</v>
      </c>
    </row>
    <row r="17" spans="1:26" hidden="1">
      <c r="A17">
        <v>12</v>
      </c>
      <c r="B17" s="9">
        <v>5</v>
      </c>
      <c r="C17">
        <v>12</v>
      </c>
      <c r="D17">
        <f t="shared" si="0"/>
        <v>700</v>
      </c>
      <c r="E17">
        <f t="shared" si="1"/>
        <v>350</v>
      </c>
      <c r="F17">
        <f t="shared" si="2"/>
        <v>48.24</v>
      </c>
      <c r="G17">
        <f t="shared" si="3"/>
        <v>0.2016</v>
      </c>
      <c r="H17">
        <f t="shared" si="4"/>
        <v>211.68000000000004</v>
      </c>
      <c r="I17">
        <f t="shared" si="5"/>
        <v>604.80000000000007</v>
      </c>
      <c r="J17">
        <f t="shared" si="6"/>
        <v>432</v>
      </c>
      <c r="K17">
        <f t="shared" si="7"/>
        <v>151.19999999999999</v>
      </c>
      <c r="L17">
        <f t="shared" si="8"/>
        <v>11.642400000000002</v>
      </c>
      <c r="M17">
        <f t="shared" si="9"/>
        <v>11.188800000000001</v>
      </c>
      <c r="N17">
        <f t="shared" si="10"/>
        <v>8.9208000000000016</v>
      </c>
      <c r="O17">
        <f t="shared" si="11"/>
        <v>8.218164705882355</v>
      </c>
      <c r="P17">
        <f t="shared" si="12"/>
        <v>3.6285097192224627</v>
      </c>
      <c r="Q17">
        <f t="shared" si="13"/>
        <v>50.400000000000006</v>
      </c>
      <c r="R17">
        <f t="shared" si="14"/>
        <v>720</v>
      </c>
      <c r="S17">
        <f t="shared" si="15"/>
        <v>361.44</v>
      </c>
      <c r="T17">
        <f t="shared" si="16"/>
        <v>70.56</v>
      </c>
      <c r="U17">
        <f>I17*E17/'[1]Inverter Analysis'!$L$2</f>
        <v>507.24955617179722</v>
      </c>
      <c r="V17">
        <f t="shared" si="17"/>
        <v>185.18518518518519</v>
      </c>
      <c r="W17">
        <f t="shared" si="18"/>
        <v>221.33687472332892</v>
      </c>
      <c r="X17">
        <f t="shared" si="19"/>
        <v>132.27513227513225</v>
      </c>
      <c r="Y17">
        <f t="shared" si="20"/>
        <v>0.34293008478603415</v>
      </c>
      <c r="Z17">
        <f t="shared" si="21"/>
        <v>7.0335036411428575</v>
      </c>
    </row>
    <row r="18" spans="1:26" hidden="1">
      <c r="A18">
        <v>11</v>
      </c>
      <c r="B18" s="9">
        <v>5</v>
      </c>
      <c r="C18">
        <v>12</v>
      </c>
      <c r="D18">
        <f t="shared" si="0"/>
        <v>700</v>
      </c>
      <c r="E18">
        <f t="shared" si="1"/>
        <v>350</v>
      </c>
      <c r="F18">
        <f t="shared" si="2"/>
        <v>44.22</v>
      </c>
      <c r="G18">
        <f t="shared" si="3"/>
        <v>0.18480000000000002</v>
      </c>
      <c r="H18">
        <f t="shared" si="4"/>
        <v>194.04</v>
      </c>
      <c r="I18">
        <f t="shared" si="5"/>
        <v>554.4</v>
      </c>
      <c r="J18">
        <f t="shared" si="6"/>
        <v>396</v>
      </c>
      <c r="K18">
        <f t="shared" si="7"/>
        <v>138.6</v>
      </c>
      <c r="L18">
        <f t="shared" si="8"/>
        <v>10.6722</v>
      </c>
      <c r="M18">
        <f t="shared" si="9"/>
        <v>10.256400000000001</v>
      </c>
      <c r="N18">
        <f t="shared" si="10"/>
        <v>8.1774000000000004</v>
      </c>
      <c r="O18">
        <f t="shared" si="11"/>
        <v>7.5333176470588237</v>
      </c>
      <c r="P18">
        <f t="shared" si="12"/>
        <v>3.3261339092872571</v>
      </c>
      <c r="Q18">
        <f t="shared" si="13"/>
        <v>46.199999999999996</v>
      </c>
      <c r="R18">
        <f t="shared" si="14"/>
        <v>660</v>
      </c>
      <c r="S18">
        <f t="shared" si="15"/>
        <v>331.32</v>
      </c>
      <c r="T18">
        <f t="shared" si="16"/>
        <v>64.680000000000007</v>
      </c>
      <c r="U18">
        <f>I18*E18/'[1]Inverter Analysis'!$L$2</f>
        <v>464.9787598241474</v>
      </c>
      <c r="V18">
        <f t="shared" si="17"/>
        <v>202.02020202020202</v>
      </c>
      <c r="W18">
        <f t="shared" si="18"/>
        <v>241.45840878908609</v>
      </c>
      <c r="X18">
        <f t="shared" si="19"/>
        <v>144.3001443001443</v>
      </c>
      <c r="Y18">
        <f t="shared" si="20"/>
        <v>0.40811514222470185</v>
      </c>
      <c r="Z18">
        <f t="shared" si="21"/>
        <v>5.4175887421071423</v>
      </c>
    </row>
    <row r="19" spans="1:26" hidden="1">
      <c r="A19">
        <v>10</v>
      </c>
      <c r="B19" s="9">
        <v>5</v>
      </c>
      <c r="C19">
        <v>12</v>
      </c>
      <c r="D19">
        <f t="shared" si="0"/>
        <v>700</v>
      </c>
      <c r="E19">
        <f t="shared" si="1"/>
        <v>350</v>
      </c>
      <c r="F19">
        <f t="shared" si="2"/>
        <v>40.200000000000003</v>
      </c>
      <c r="G19">
        <f t="shared" si="3"/>
        <v>0.16800000000000001</v>
      </c>
      <c r="H19">
        <f t="shared" si="4"/>
        <v>176.4</v>
      </c>
      <c r="I19">
        <f t="shared" si="5"/>
        <v>504</v>
      </c>
      <c r="J19">
        <f t="shared" si="6"/>
        <v>360</v>
      </c>
      <c r="K19">
        <f t="shared" si="7"/>
        <v>126</v>
      </c>
      <c r="L19">
        <f t="shared" si="8"/>
        <v>9.702</v>
      </c>
      <c r="M19">
        <f t="shared" si="9"/>
        <v>9.3239999999999998</v>
      </c>
      <c r="N19">
        <f t="shared" si="10"/>
        <v>7.4340000000000011</v>
      </c>
      <c r="O19">
        <f t="shared" si="11"/>
        <v>6.8484705882352941</v>
      </c>
      <c r="P19">
        <f t="shared" si="12"/>
        <v>3.0237580993520514</v>
      </c>
      <c r="Q19">
        <f t="shared" si="13"/>
        <v>42</v>
      </c>
      <c r="R19">
        <f t="shared" si="14"/>
        <v>600</v>
      </c>
      <c r="S19">
        <f t="shared" si="15"/>
        <v>301.2</v>
      </c>
      <c r="T19">
        <f t="shared" si="16"/>
        <v>58.800000000000004</v>
      </c>
      <c r="U19">
        <f>I19*E19/'[1]Inverter Analysis'!$L$2</f>
        <v>422.70796347649764</v>
      </c>
      <c r="V19">
        <f t="shared" si="17"/>
        <v>222.22222222222223</v>
      </c>
      <c r="W19">
        <f t="shared" si="18"/>
        <v>265.60424966799468</v>
      </c>
      <c r="X19">
        <f t="shared" si="19"/>
        <v>158.73015873015873</v>
      </c>
      <c r="Y19">
        <f t="shared" si="20"/>
        <v>0.49381932209188922</v>
      </c>
      <c r="Z19">
        <f t="shared" si="21"/>
        <v>4.0703146071428566</v>
      </c>
    </row>
    <row r="20" spans="1:26" hidden="1">
      <c r="A20">
        <v>16</v>
      </c>
      <c r="B20">
        <v>4</v>
      </c>
      <c r="C20">
        <v>12</v>
      </c>
      <c r="D20">
        <f t="shared" si="0"/>
        <v>560</v>
      </c>
      <c r="E20">
        <f t="shared" si="1"/>
        <v>280</v>
      </c>
      <c r="F20">
        <f t="shared" si="2"/>
        <v>51.456000000000003</v>
      </c>
      <c r="G20">
        <f t="shared" si="3"/>
        <v>0.33600000000000002</v>
      </c>
      <c r="H20">
        <f t="shared" si="4"/>
        <v>225.79200000000003</v>
      </c>
      <c r="I20">
        <f t="shared" si="5"/>
        <v>806.40000000000009</v>
      </c>
      <c r="J20">
        <f t="shared" si="6"/>
        <v>576</v>
      </c>
      <c r="K20">
        <f t="shared" si="7"/>
        <v>161.28</v>
      </c>
      <c r="L20">
        <f t="shared" si="8"/>
        <v>12.418560000000001</v>
      </c>
      <c r="M20">
        <f t="shared" si="9"/>
        <v>11.93472</v>
      </c>
      <c r="N20">
        <f t="shared" si="10"/>
        <v>9.5155200000000022</v>
      </c>
      <c r="O20">
        <f t="shared" si="11"/>
        <v>8.7660423529411773</v>
      </c>
      <c r="P20">
        <f t="shared" si="12"/>
        <v>3.8704103671706265</v>
      </c>
      <c r="Q20">
        <f t="shared" si="13"/>
        <v>67.2</v>
      </c>
      <c r="R20">
        <f t="shared" si="14"/>
        <v>768</v>
      </c>
      <c r="S20">
        <f t="shared" si="15"/>
        <v>481.91999999999996</v>
      </c>
      <c r="T20">
        <f t="shared" si="16"/>
        <v>94.080000000000013</v>
      </c>
      <c r="U20">
        <f>I20*E20/'[1]Inverter Analysis'!$L$2</f>
        <v>541.06619324991698</v>
      </c>
      <c r="V20">
        <f t="shared" si="17"/>
        <v>138.88888888888889</v>
      </c>
      <c r="W20">
        <f t="shared" si="18"/>
        <v>166.00265604249668</v>
      </c>
      <c r="X20">
        <f t="shared" si="19"/>
        <v>99.206349206349202</v>
      </c>
      <c r="Y20">
        <f t="shared" si="20"/>
        <v>0.19289817269214424</v>
      </c>
      <c r="Z20">
        <f t="shared" si="21"/>
        <v>13.337606904685714</v>
      </c>
    </row>
    <row r="21" spans="1:26" hidden="1">
      <c r="A21">
        <v>15</v>
      </c>
      <c r="B21">
        <v>4</v>
      </c>
      <c r="C21">
        <v>12</v>
      </c>
      <c r="D21">
        <f t="shared" si="0"/>
        <v>560</v>
      </c>
      <c r="E21">
        <f t="shared" si="1"/>
        <v>280</v>
      </c>
      <c r="F21">
        <f t="shared" si="2"/>
        <v>48.24</v>
      </c>
      <c r="G21">
        <f t="shared" si="3"/>
        <v>0.315</v>
      </c>
      <c r="H21">
        <f t="shared" si="4"/>
        <v>211.68</v>
      </c>
      <c r="I21">
        <f t="shared" si="5"/>
        <v>756</v>
      </c>
      <c r="J21">
        <f t="shared" si="6"/>
        <v>540</v>
      </c>
      <c r="K21">
        <f t="shared" si="7"/>
        <v>151.19999999999999</v>
      </c>
      <c r="L21">
        <f t="shared" si="8"/>
        <v>11.6424</v>
      </c>
      <c r="M21">
        <f t="shared" si="9"/>
        <v>11.188800000000001</v>
      </c>
      <c r="N21">
        <f t="shared" si="10"/>
        <v>8.9208000000000016</v>
      </c>
      <c r="O21">
        <f t="shared" si="11"/>
        <v>8.2181647058823533</v>
      </c>
      <c r="P21">
        <f t="shared" si="12"/>
        <v>3.6285097192224622</v>
      </c>
      <c r="Q21">
        <f t="shared" si="13"/>
        <v>63</v>
      </c>
      <c r="R21">
        <f t="shared" si="14"/>
        <v>720</v>
      </c>
      <c r="S21">
        <f t="shared" si="15"/>
        <v>451.8</v>
      </c>
      <c r="T21">
        <f t="shared" si="16"/>
        <v>88.2</v>
      </c>
      <c r="U21">
        <f>I21*E21/'[1]Inverter Analysis'!$L$2</f>
        <v>507.24955617179717</v>
      </c>
      <c r="V21">
        <f t="shared" si="17"/>
        <v>148.14814814814815</v>
      </c>
      <c r="W21">
        <f t="shared" si="18"/>
        <v>177.06949977866313</v>
      </c>
      <c r="X21">
        <f t="shared" si="19"/>
        <v>105.82010582010582</v>
      </c>
      <c r="Y21">
        <f t="shared" si="20"/>
        <v>0.21947525426306186</v>
      </c>
      <c r="Z21">
        <f t="shared" si="21"/>
        <v>10.989849439285715</v>
      </c>
    </row>
    <row r="22" spans="1:26" hidden="1">
      <c r="A22">
        <v>14</v>
      </c>
      <c r="B22">
        <v>4</v>
      </c>
      <c r="C22">
        <v>12</v>
      </c>
      <c r="D22">
        <f t="shared" si="0"/>
        <v>560</v>
      </c>
      <c r="E22">
        <f t="shared" si="1"/>
        <v>280</v>
      </c>
      <c r="F22">
        <f t="shared" si="2"/>
        <v>45.024000000000001</v>
      </c>
      <c r="G22">
        <f t="shared" si="3"/>
        <v>0.29400000000000004</v>
      </c>
      <c r="H22">
        <f t="shared" si="4"/>
        <v>197.56800000000001</v>
      </c>
      <c r="I22">
        <f t="shared" si="5"/>
        <v>705.6</v>
      </c>
      <c r="J22">
        <f t="shared" si="6"/>
        <v>504</v>
      </c>
      <c r="K22">
        <f t="shared" si="7"/>
        <v>141.12</v>
      </c>
      <c r="L22">
        <f t="shared" si="8"/>
        <v>10.866239999999999</v>
      </c>
      <c r="M22">
        <f t="shared" si="9"/>
        <v>10.442880000000001</v>
      </c>
      <c r="N22">
        <f t="shared" si="10"/>
        <v>8.3260799999999993</v>
      </c>
      <c r="O22">
        <f t="shared" si="11"/>
        <v>7.6702870588235292</v>
      </c>
      <c r="P22">
        <f t="shared" si="12"/>
        <v>3.386609071274298</v>
      </c>
      <c r="Q22">
        <f t="shared" si="13"/>
        <v>58.800000000000004</v>
      </c>
      <c r="R22">
        <f t="shared" si="14"/>
        <v>672</v>
      </c>
      <c r="S22">
        <f t="shared" si="15"/>
        <v>421.68</v>
      </c>
      <c r="T22">
        <f t="shared" si="16"/>
        <v>82.320000000000007</v>
      </c>
      <c r="U22">
        <f>I22*E22/'[1]Inverter Analysis'!$L$2</f>
        <v>473.43291909367736</v>
      </c>
      <c r="V22">
        <f t="shared" si="17"/>
        <v>158.73015873015873</v>
      </c>
      <c r="W22">
        <f t="shared" si="18"/>
        <v>189.71732119142479</v>
      </c>
      <c r="X22">
        <f t="shared" si="19"/>
        <v>113.37868480725623</v>
      </c>
      <c r="Y22">
        <f t="shared" si="20"/>
        <v>0.25194863372035164</v>
      </c>
      <c r="Z22">
        <f t="shared" si="21"/>
        <v>8.935154625600001</v>
      </c>
    </row>
    <row r="23" spans="1:26" hidden="1">
      <c r="A23">
        <v>13</v>
      </c>
      <c r="B23">
        <v>4</v>
      </c>
      <c r="C23">
        <v>12</v>
      </c>
      <c r="D23">
        <f t="shared" si="0"/>
        <v>560</v>
      </c>
      <c r="E23">
        <f t="shared" si="1"/>
        <v>280</v>
      </c>
      <c r="F23">
        <f t="shared" si="2"/>
        <v>41.808</v>
      </c>
      <c r="G23">
        <f t="shared" si="3"/>
        <v>0.27300000000000002</v>
      </c>
      <c r="H23">
        <f t="shared" si="4"/>
        <v>183.45599999999999</v>
      </c>
      <c r="I23">
        <f t="shared" si="5"/>
        <v>655.20000000000005</v>
      </c>
      <c r="J23">
        <f t="shared" si="6"/>
        <v>468</v>
      </c>
      <c r="K23">
        <f t="shared" si="7"/>
        <v>131.04</v>
      </c>
      <c r="L23">
        <f t="shared" si="8"/>
        <v>10.090080000000002</v>
      </c>
      <c r="M23">
        <f t="shared" si="9"/>
        <v>9.6969600000000007</v>
      </c>
      <c r="N23">
        <f t="shared" si="10"/>
        <v>7.7313600000000005</v>
      </c>
      <c r="O23">
        <f t="shared" si="11"/>
        <v>7.1224094117647079</v>
      </c>
      <c r="P23">
        <f t="shared" si="12"/>
        <v>3.1447084233261342</v>
      </c>
      <c r="Q23">
        <f t="shared" si="13"/>
        <v>54.6</v>
      </c>
      <c r="R23">
        <f t="shared" si="14"/>
        <v>624</v>
      </c>
      <c r="S23">
        <f t="shared" si="15"/>
        <v>391.56</v>
      </c>
      <c r="T23">
        <f t="shared" si="16"/>
        <v>76.440000000000012</v>
      </c>
      <c r="U23">
        <f>I23*E23/'[1]Inverter Analysis'!$L$2</f>
        <v>439.61628201555754</v>
      </c>
      <c r="V23">
        <f t="shared" si="17"/>
        <v>170.94017094017093</v>
      </c>
      <c r="W23">
        <f t="shared" si="18"/>
        <v>204.31096128307283</v>
      </c>
      <c r="X23">
        <f t="shared" si="19"/>
        <v>122.10012210012209</v>
      </c>
      <c r="Y23">
        <f t="shared" si="20"/>
        <v>0.29220078230289298</v>
      </c>
      <c r="Z23">
        <f t="shared" si="21"/>
        <v>7.1539849535142856</v>
      </c>
    </row>
    <row r="24" spans="1:26" hidden="1">
      <c r="A24">
        <v>12</v>
      </c>
      <c r="B24">
        <v>4</v>
      </c>
      <c r="C24">
        <v>12</v>
      </c>
      <c r="D24">
        <f t="shared" si="0"/>
        <v>560</v>
      </c>
      <c r="E24">
        <f t="shared" si="1"/>
        <v>280</v>
      </c>
      <c r="F24">
        <f t="shared" si="2"/>
        <v>38.591999999999999</v>
      </c>
      <c r="G24">
        <f t="shared" si="3"/>
        <v>0.252</v>
      </c>
      <c r="H24">
        <f t="shared" si="4"/>
        <v>169.34400000000002</v>
      </c>
      <c r="I24">
        <f t="shared" si="5"/>
        <v>604.80000000000007</v>
      </c>
      <c r="J24">
        <f t="shared" si="6"/>
        <v>432</v>
      </c>
      <c r="K24">
        <f t="shared" si="7"/>
        <v>120.96</v>
      </c>
      <c r="L24">
        <f t="shared" si="8"/>
        <v>9.3139200000000013</v>
      </c>
      <c r="M24">
        <f t="shared" si="9"/>
        <v>8.9510400000000008</v>
      </c>
      <c r="N24">
        <f t="shared" si="10"/>
        <v>7.1366400000000016</v>
      </c>
      <c r="O24">
        <f t="shared" si="11"/>
        <v>6.5745317647058839</v>
      </c>
      <c r="P24">
        <f t="shared" si="12"/>
        <v>2.9028077753779704</v>
      </c>
      <c r="Q24">
        <f t="shared" si="13"/>
        <v>50.400000000000006</v>
      </c>
      <c r="R24">
        <f t="shared" si="14"/>
        <v>576</v>
      </c>
      <c r="S24">
        <f t="shared" si="15"/>
        <v>361.44</v>
      </c>
      <c r="T24">
        <f t="shared" si="16"/>
        <v>70.56</v>
      </c>
      <c r="U24">
        <f>I24*E24/'[1]Inverter Analysis'!$L$2</f>
        <v>405.79964493743779</v>
      </c>
      <c r="V24">
        <f t="shared" si="17"/>
        <v>185.18518518518519</v>
      </c>
      <c r="W24">
        <f t="shared" si="18"/>
        <v>221.33687472332892</v>
      </c>
      <c r="X24">
        <f t="shared" si="19"/>
        <v>132.27513227513225</v>
      </c>
      <c r="Y24">
        <f t="shared" si="20"/>
        <v>0.34293008478603415</v>
      </c>
      <c r="Z24">
        <f t="shared" si="21"/>
        <v>5.6268029129142851</v>
      </c>
    </row>
    <row r="25" spans="1:26" hidden="1">
      <c r="A25">
        <v>11</v>
      </c>
      <c r="B25">
        <v>4</v>
      </c>
      <c r="C25">
        <v>12</v>
      </c>
      <c r="D25">
        <f t="shared" si="0"/>
        <v>560</v>
      </c>
      <c r="E25">
        <f t="shared" si="1"/>
        <v>280</v>
      </c>
      <c r="F25">
        <f t="shared" si="2"/>
        <v>35.375999999999998</v>
      </c>
      <c r="G25">
        <f t="shared" si="3"/>
        <v>0.23099999999999998</v>
      </c>
      <c r="H25">
        <f t="shared" si="4"/>
        <v>155.232</v>
      </c>
      <c r="I25">
        <f t="shared" si="5"/>
        <v>554.4</v>
      </c>
      <c r="J25">
        <f t="shared" si="6"/>
        <v>396</v>
      </c>
      <c r="K25">
        <f t="shared" si="7"/>
        <v>110.88</v>
      </c>
      <c r="L25">
        <f t="shared" si="8"/>
        <v>8.5377600000000005</v>
      </c>
      <c r="M25">
        <f t="shared" si="9"/>
        <v>8.2051200000000009</v>
      </c>
      <c r="N25">
        <f t="shared" si="10"/>
        <v>6.5419200000000002</v>
      </c>
      <c r="O25">
        <f t="shared" si="11"/>
        <v>6.0266541176470598</v>
      </c>
      <c r="P25">
        <f t="shared" si="12"/>
        <v>2.6609071274298053</v>
      </c>
      <c r="Q25">
        <f t="shared" si="13"/>
        <v>46.199999999999996</v>
      </c>
      <c r="R25">
        <f t="shared" si="14"/>
        <v>528</v>
      </c>
      <c r="S25">
        <f t="shared" si="15"/>
        <v>331.32</v>
      </c>
      <c r="T25">
        <f t="shared" si="16"/>
        <v>64.679999999999993</v>
      </c>
      <c r="U25">
        <f>I25*E25/'[1]Inverter Analysis'!$L$2</f>
        <v>371.98300785931792</v>
      </c>
      <c r="V25">
        <f t="shared" si="17"/>
        <v>202.02020202020202</v>
      </c>
      <c r="W25">
        <f t="shared" si="18"/>
        <v>241.45840878908609</v>
      </c>
      <c r="X25">
        <f t="shared" si="19"/>
        <v>144.3001443001443</v>
      </c>
      <c r="Y25">
        <f t="shared" si="20"/>
        <v>0.40811514222470185</v>
      </c>
      <c r="Z25">
        <f t="shared" si="21"/>
        <v>4.3340709936857138</v>
      </c>
    </row>
    <row r="26" spans="1:26" hidden="1">
      <c r="A26">
        <v>10</v>
      </c>
      <c r="B26">
        <v>4</v>
      </c>
      <c r="C26">
        <v>12</v>
      </c>
      <c r="D26">
        <f t="shared" si="0"/>
        <v>560</v>
      </c>
      <c r="E26">
        <f t="shared" si="1"/>
        <v>280</v>
      </c>
      <c r="F26">
        <f t="shared" si="2"/>
        <v>32.159999999999997</v>
      </c>
      <c r="G26">
        <f t="shared" si="3"/>
        <v>0.21000000000000002</v>
      </c>
      <c r="H26">
        <f t="shared" si="4"/>
        <v>141.12</v>
      </c>
      <c r="I26">
        <f t="shared" si="5"/>
        <v>504</v>
      </c>
      <c r="J26">
        <f t="shared" si="6"/>
        <v>360</v>
      </c>
      <c r="K26">
        <f t="shared" si="7"/>
        <v>100.8</v>
      </c>
      <c r="L26">
        <f t="shared" si="8"/>
        <v>7.7616000000000005</v>
      </c>
      <c r="M26">
        <f t="shared" si="9"/>
        <v>7.4592000000000009</v>
      </c>
      <c r="N26">
        <f t="shared" si="10"/>
        <v>5.9472000000000005</v>
      </c>
      <c r="O26">
        <f t="shared" si="11"/>
        <v>5.4787764705882358</v>
      </c>
      <c r="P26">
        <f t="shared" si="12"/>
        <v>2.4190064794816415</v>
      </c>
      <c r="Q26">
        <f t="shared" si="13"/>
        <v>42</v>
      </c>
      <c r="R26">
        <f t="shared" si="14"/>
        <v>480</v>
      </c>
      <c r="S26">
        <f t="shared" si="15"/>
        <v>301.2</v>
      </c>
      <c r="T26">
        <f t="shared" si="16"/>
        <v>58.800000000000004</v>
      </c>
      <c r="U26">
        <f>I26*E26/'[1]Inverter Analysis'!$L$2</f>
        <v>338.16637078119811</v>
      </c>
      <c r="V26">
        <f t="shared" si="17"/>
        <v>222.22222222222223</v>
      </c>
      <c r="W26">
        <f t="shared" si="18"/>
        <v>265.60424966799468</v>
      </c>
      <c r="X26">
        <f t="shared" si="19"/>
        <v>158.73015873015873</v>
      </c>
      <c r="Y26">
        <f t="shared" si="20"/>
        <v>0.49381932209188922</v>
      </c>
      <c r="Z26">
        <f t="shared" si="21"/>
        <v>3.2562516857142851</v>
      </c>
    </row>
    <row r="27" spans="1:26" hidden="1">
      <c r="A27">
        <v>16</v>
      </c>
      <c r="B27">
        <v>3</v>
      </c>
      <c r="C27">
        <v>12</v>
      </c>
      <c r="D27">
        <f t="shared" si="0"/>
        <v>420</v>
      </c>
      <c r="E27">
        <f t="shared" si="1"/>
        <v>210</v>
      </c>
      <c r="F27">
        <f t="shared" si="2"/>
        <v>38.591999999999999</v>
      </c>
      <c r="G27">
        <f t="shared" si="3"/>
        <v>0.44800000000000006</v>
      </c>
      <c r="H27">
        <f t="shared" si="4"/>
        <v>169.34400000000002</v>
      </c>
      <c r="I27">
        <f t="shared" si="5"/>
        <v>806.40000000000009</v>
      </c>
      <c r="J27">
        <f t="shared" si="6"/>
        <v>576</v>
      </c>
      <c r="K27">
        <f t="shared" si="7"/>
        <v>120.96</v>
      </c>
      <c r="L27">
        <f t="shared" si="8"/>
        <v>9.3139200000000013</v>
      </c>
      <c r="M27">
        <f t="shared" si="9"/>
        <v>8.9510400000000008</v>
      </c>
      <c r="N27">
        <f t="shared" si="10"/>
        <v>7.1366400000000016</v>
      </c>
      <c r="O27">
        <f t="shared" si="11"/>
        <v>6.5745317647058839</v>
      </c>
      <c r="P27">
        <f t="shared" si="12"/>
        <v>2.9028077753779704</v>
      </c>
      <c r="Q27">
        <f t="shared" si="13"/>
        <v>67.2</v>
      </c>
      <c r="R27">
        <f t="shared" si="14"/>
        <v>576</v>
      </c>
      <c r="S27">
        <f t="shared" si="15"/>
        <v>481.91999999999996</v>
      </c>
      <c r="T27">
        <f t="shared" si="16"/>
        <v>94.080000000000013</v>
      </c>
      <c r="U27">
        <f>I27*E27/'[1]Inverter Analysis'!$L$2</f>
        <v>405.79964493743779</v>
      </c>
      <c r="V27">
        <f t="shared" si="17"/>
        <v>138.88888888888889</v>
      </c>
      <c r="W27">
        <f t="shared" si="18"/>
        <v>166.00265604249668</v>
      </c>
      <c r="X27">
        <f t="shared" si="19"/>
        <v>99.206349206349202</v>
      </c>
      <c r="Y27">
        <f t="shared" si="20"/>
        <v>0.19289817269214424</v>
      </c>
      <c r="Z27">
        <f t="shared" si="21"/>
        <v>10.003205178514282</v>
      </c>
    </row>
    <row r="28" spans="1:26" hidden="1">
      <c r="A28">
        <v>15</v>
      </c>
      <c r="B28">
        <v>3</v>
      </c>
      <c r="C28">
        <v>12</v>
      </c>
      <c r="D28">
        <f t="shared" si="0"/>
        <v>420</v>
      </c>
      <c r="E28">
        <f t="shared" si="1"/>
        <v>210</v>
      </c>
      <c r="F28">
        <f t="shared" si="2"/>
        <v>36.18</v>
      </c>
      <c r="G28">
        <f t="shared" si="3"/>
        <v>0.42000000000000004</v>
      </c>
      <c r="H28">
        <f t="shared" si="4"/>
        <v>158.76</v>
      </c>
      <c r="I28">
        <f t="shared" si="5"/>
        <v>756</v>
      </c>
      <c r="J28">
        <f t="shared" si="6"/>
        <v>540</v>
      </c>
      <c r="K28">
        <f t="shared" si="7"/>
        <v>113.4</v>
      </c>
      <c r="L28">
        <f t="shared" si="8"/>
        <v>8.7317999999999998</v>
      </c>
      <c r="M28">
        <f t="shared" si="9"/>
        <v>8.3916000000000004</v>
      </c>
      <c r="N28">
        <f t="shared" si="10"/>
        <v>6.6906000000000008</v>
      </c>
      <c r="O28">
        <f t="shared" si="11"/>
        <v>6.1636235294117654</v>
      </c>
      <c r="P28">
        <f t="shared" si="12"/>
        <v>2.7213822894168467</v>
      </c>
      <c r="Q28">
        <f t="shared" si="13"/>
        <v>63</v>
      </c>
      <c r="R28">
        <f t="shared" si="14"/>
        <v>540</v>
      </c>
      <c r="S28">
        <f t="shared" si="15"/>
        <v>451.8</v>
      </c>
      <c r="T28">
        <f t="shared" si="16"/>
        <v>88.2</v>
      </c>
      <c r="U28">
        <f>I28*E28/'[1]Inverter Analysis'!$L$2</f>
        <v>380.43716712884788</v>
      </c>
      <c r="V28">
        <f t="shared" si="17"/>
        <v>148.14814814814815</v>
      </c>
      <c r="W28">
        <f t="shared" si="18"/>
        <v>177.06949977866313</v>
      </c>
      <c r="X28">
        <f t="shared" si="19"/>
        <v>105.82010582010582</v>
      </c>
      <c r="Y28">
        <f t="shared" si="20"/>
        <v>0.21947525426306186</v>
      </c>
      <c r="Z28">
        <f t="shared" si="21"/>
        <v>8.2423870794642866</v>
      </c>
    </row>
    <row r="29" spans="1:26" hidden="1">
      <c r="A29">
        <v>14</v>
      </c>
      <c r="B29">
        <v>3</v>
      </c>
      <c r="C29">
        <v>12</v>
      </c>
      <c r="D29">
        <f t="shared" si="0"/>
        <v>420</v>
      </c>
      <c r="E29">
        <f t="shared" si="1"/>
        <v>210</v>
      </c>
      <c r="F29">
        <f t="shared" si="2"/>
        <v>33.768000000000001</v>
      </c>
      <c r="G29">
        <f t="shared" si="3"/>
        <v>0.39200000000000002</v>
      </c>
      <c r="H29">
        <f t="shared" si="4"/>
        <v>148.17599999999999</v>
      </c>
      <c r="I29">
        <f t="shared" si="5"/>
        <v>705.6</v>
      </c>
      <c r="J29">
        <f t="shared" si="6"/>
        <v>504</v>
      </c>
      <c r="K29">
        <f t="shared" si="7"/>
        <v>105.84</v>
      </c>
      <c r="L29">
        <f t="shared" si="8"/>
        <v>8.14968</v>
      </c>
      <c r="M29">
        <f t="shared" si="9"/>
        <v>7.8321600000000009</v>
      </c>
      <c r="N29">
        <f t="shared" si="10"/>
        <v>6.2445599999999999</v>
      </c>
      <c r="O29">
        <f t="shared" si="11"/>
        <v>5.7527152941176478</v>
      </c>
      <c r="P29">
        <f t="shared" si="12"/>
        <v>2.5399568034557238</v>
      </c>
      <c r="Q29">
        <f t="shared" si="13"/>
        <v>58.800000000000004</v>
      </c>
      <c r="R29">
        <f t="shared" si="14"/>
        <v>504</v>
      </c>
      <c r="S29">
        <f t="shared" si="15"/>
        <v>421.68</v>
      </c>
      <c r="T29">
        <f t="shared" si="16"/>
        <v>82.320000000000007</v>
      </c>
      <c r="U29">
        <f>I29*E29/'[1]Inverter Analysis'!$L$2</f>
        <v>355.07468932025802</v>
      </c>
      <c r="V29">
        <f t="shared" si="17"/>
        <v>158.73015873015873</v>
      </c>
      <c r="W29">
        <f t="shared" si="18"/>
        <v>189.71732119142479</v>
      </c>
      <c r="X29">
        <f t="shared" si="19"/>
        <v>113.37868480725623</v>
      </c>
      <c r="Y29">
        <f t="shared" si="20"/>
        <v>0.25194863372035164</v>
      </c>
      <c r="Z29">
        <f t="shared" si="21"/>
        <v>6.7013659691999994</v>
      </c>
    </row>
    <row r="30" spans="1:26" hidden="1">
      <c r="A30">
        <v>13</v>
      </c>
      <c r="B30">
        <v>3</v>
      </c>
      <c r="C30">
        <v>12</v>
      </c>
      <c r="D30">
        <f t="shared" si="0"/>
        <v>420</v>
      </c>
      <c r="E30">
        <f t="shared" si="1"/>
        <v>210</v>
      </c>
      <c r="F30">
        <f t="shared" si="2"/>
        <v>31.356000000000002</v>
      </c>
      <c r="G30">
        <f t="shared" si="3"/>
        <v>0.36400000000000005</v>
      </c>
      <c r="H30">
        <f t="shared" si="4"/>
        <v>137.59200000000001</v>
      </c>
      <c r="I30">
        <f t="shared" si="5"/>
        <v>655.20000000000005</v>
      </c>
      <c r="J30">
        <f t="shared" si="6"/>
        <v>468</v>
      </c>
      <c r="K30">
        <f t="shared" si="7"/>
        <v>98.28</v>
      </c>
      <c r="L30">
        <f t="shared" si="8"/>
        <v>7.5675600000000012</v>
      </c>
      <c r="M30">
        <f t="shared" si="9"/>
        <v>7.2727200000000014</v>
      </c>
      <c r="N30">
        <f t="shared" si="10"/>
        <v>5.7985200000000008</v>
      </c>
      <c r="O30">
        <f t="shared" si="11"/>
        <v>5.3418070588235302</v>
      </c>
      <c r="P30">
        <f t="shared" si="12"/>
        <v>2.3585313174946005</v>
      </c>
      <c r="Q30">
        <f t="shared" si="13"/>
        <v>54.6</v>
      </c>
      <c r="R30">
        <f t="shared" si="14"/>
        <v>468</v>
      </c>
      <c r="S30">
        <f t="shared" si="15"/>
        <v>391.56</v>
      </c>
      <c r="T30">
        <f t="shared" si="16"/>
        <v>76.440000000000012</v>
      </c>
      <c r="U30">
        <f>I30*E30/'[1]Inverter Analysis'!$L$2</f>
        <v>329.71221151166816</v>
      </c>
      <c r="V30">
        <f t="shared" si="17"/>
        <v>170.94017094017093</v>
      </c>
      <c r="W30">
        <f t="shared" si="18"/>
        <v>204.31096128307283</v>
      </c>
      <c r="X30">
        <f t="shared" si="19"/>
        <v>122.10012210012209</v>
      </c>
      <c r="Y30">
        <f t="shared" si="20"/>
        <v>0.29220078230289298</v>
      </c>
      <c r="Z30">
        <f t="shared" si="21"/>
        <v>5.3654887151357142</v>
      </c>
    </row>
    <row r="31" spans="1:26" hidden="1">
      <c r="A31">
        <v>12</v>
      </c>
      <c r="B31">
        <v>3</v>
      </c>
      <c r="C31">
        <v>12</v>
      </c>
      <c r="D31">
        <f t="shared" si="0"/>
        <v>420</v>
      </c>
      <c r="E31">
        <f t="shared" si="1"/>
        <v>210</v>
      </c>
      <c r="F31">
        <f t="shared" si="2"/>
        <v>28.943999999999999</v>
      </c>
      <c r="G31">
        <f t="shared" si="3"/>
        <v>0.33600000000000008</v>
      </c>
      <c r="H31">
        <f t="shared" si="4"/>
        <v>127.00800000000001</v>
      </c>
      <c r="I31">
        <f t="shared" si="5"/>
        <v>604.80000000000007</v>
      </c>
      <c r="J31">
        <f t="shared" si="6"/>
        <v>432</v>
      </c>
      <c r="K31">
        <f t="shared" si="7"/>
        <v>90.72</v>
      </c>
      <c r="L31">
        <f t="shared" si="8"/>
        <v>6.9854400000000014</v>
      </c>
      <c r="M31">
        <f t="shared" si="9"/>
        <v>6.713280000000001</v>
      </c>
      <c r="N31">
        <f t="shared" si="10"/>
        <v>5.3524800000000017</v>
      </c>
      <c r="O31">
        <f t="shared" si="11"/>
        <v>4.9308988235294127</v>
      </c>
      <c r="P31">
        <f t="shared" si="12"/>
        <v>2.1771058315334773</v>
      </c>
      <c r="Q31">
        <f t="shared" si="13"/>
        <v>50.400000000000006</v>
      </c>
      <c r="R31">
        <f t="shared" si="14"/>
        <v>432</v>
      </c>
      <c r="S31">
        <f t="shared" si="15"/>
        <v>361.44</v>
      </c>
      <c r="T31">
        <f t="shared" si="16"/>
        <v>70.560000000000016</v>
      </c>
      <c r="U31">
        <f>I31*E31/'[1]Inverter Analysis'!$L$2</f>
        <v>304.3497337030783</v>
      </c>
      <c r="V31">
        <f t="shared" si="17"/>
        <v>185.18518518518519</v>
      </c>
      <c r="W31">
        <f t="shared" si="18"/>
        <v>221.33687472332892</v>
      </c>
      <c r="X31">
        <f t="shared" si="19"/>
        <v>132.27513227513225</v>
      </c>
      <c r="Y31">
        <f t="shared" si="20"/>
        <v>0.34293008478603415</v>
      </c>
      <c r="Z31">
        <f t="shared" si="21"/>
        <v>4.2201021846857136</v>
      </c>
    </row>
    <row r="32" spans="1:26" hidden="1">
      <c r="A32">
        <v>11</v>
      </c>
      <c r="B32">
        <v>3</v>
      </c>
      <c r="C32">
        <v>12</v>
      </c>
      <c r="D32">
        <f t="shared" si="0"/>
        <v>420</v>
      </c>
      <c r="E32">
        <f t="shared" si="1"/>
        <v>210</v>
      </c>
      <c r="F32">
        <f t="shared" si="2"/>
        <v>26.532</v>
      </c>
      <c r="G32">
        <f t="shared" si="3"/>
        <v>0.308</v>
      </c>
      <c r="H32">
        <f t="shared" si="4"/>
        <v>116.42400000000001</v>
      </c>
      <c r="I32">
        <f t="shared" si="5"/>
        <v>554.4</v>
      </c>
      <c r="J32">
        <f t="shared" si="6"/>
        <v>396</v>
      </c>
      <c r="K32">
        <f t="shared" si="7"/>
        <v>83.16</v>
      </c>
      <c r="L32">
        <f t="shared" si="8"/>
        <v>6.4033199999999999</v>
      </c>
      <c r="M32">
        <f t="shared" si="9"/>
        <v>6.1538399999999998</v>
      </c>
      <c r="N32">
        <f t="shared" si="10"/>
        <v>4.9064400000000008</v>
      </c>
      <c r="O32">
        <f t="shared" si="11"/>
        <v>4.5199905882352942</v>
      </c>
      <c r="P32">
        <f t="shared" si="12"/>
        <v>1.995680345572354</v>
      </c>
      <c r="Q32">
        <f t="shared" si="13"/>
        <v>46.199999999999996</v>
      </c>
      <c r="R32">
        <f t="shared" si="14"/>
        <v>396</v>
      </c>
      <c r="S32">
        <f t="shared" si="15"/>
        <v>331.32</v>
      </c>
      <c r="T32">
        <f t="shared" si="16"/>
        <v>64.679999999999993</v>
      </c>
      <c r="U32">
        <f>I32*E32/'[1]Inverter Analysis'!$L$2</f>
        <v>278.98725589448844</v>
      </c>
      <c r="V32">
        <f t="shared" si="17"/>
        <v>202.02020202020202</v>
      </c>
      <c r="W32">
        <f t="shared" si="18"/>
        <v>241.45840878908609</v>
      </c>
      <c r="X32">
        <f t="shared" si="19"/>
        <v>144.3001443001443</v>
      </c>
      <c r="Y32">
        <f t="shared" si="20"/>
        <v>0.40811514222470185</v>
      </c>
      <c r="Z32">
        <f t="shared" si="21"/>
        <v>3.2505532452642854</v>
      </c>
    </row>
    <row r="33" spans="1:26" hidden="1">
      <c r="A33">
        <v>10</v>
      </c>
      <c r="B33">
        <v>3</v>
      </c>
      <c r="C33">
        <v>12</v>
      </c>
      <c r="D33">
        <f t="shared" si="0"/>
        <v>420</v>
      </c>
      <c r="E33">
        <f t="shared" si="1"/>
        <v>210</v>
      </c>
      <c r="F33">
        <f t="shared" si="2"/>
        <v>24.12</v>
      </c>
      <c r="G33">
        <f t="shared" si="3"/>
        <v>0.28000000000000003</v>
      </c>
      <c r="H33">
        <f t="shared" si="4"/>
        <v>105.84</v>
      </c>
      <c r="I33">
        <f t="shared" si="5"/>
        <v>504</v>
      </c>
      <c r="J33">
        <f t="shared" si="6"/>
        <v>360</v>
      </c>
      <c r="K33">
        <f t="shared" si="7"/>
        <v>75.599999999999994</v>
      </c>
      <c r="L33">
        <f t="shared" si="8"/>
        <v>5.821200000000001</v>
      </c>
      <c r="M33">
        <f t="shared" si="9"/>
        <v>5.5944000000000003</v>
      </c>
      <c r="N33">
        <f t="shared" si="10"/>
        <v>4.4604000000000008</v>
      </c>
      <c r="O33">
        <f t="shared" si="11"/>
        <v>4.1090823529411775</v>
      </c>
      <c r="P33">
        <f t="shared" si="12"/>
        <v>1.8142548596112311</v>
      </c>
      <c r="Q33">
        <f t="shared" si="13"/>
        <v>42</v>
      </c>
      <c r="R33">
        <f t="shared" si="14"/>
        <v>360</v>
      </c>
      <c r="S33">
        <f t="shared" si="15"/>
        <v>301.2</v>
      </c>
      <c r="T33">
        <f t="shared" si="16"/>
        <v>58.800000000000004</v>
      </c>
      <c r="U33">
        <f>I33*E33/'[1]Inverter Analysis'!$L$2</f>
        <v>253.62477808589858</v>
      </c>
      <c r="V33">
        <f t="shared" si="17"/>
        <v>222.22222222222223</v>
      </c>
      <c r="W33">
        <f t="shared" si="18"/>
        <v>265.60424966799468</v>
      </c>
      <c r="X33">
        <f t="shared" si="19"/>
        <v>158.73015873015873</v>
      </c>
      <c r="Y33">
        <f t="shared" si="20"/>
        <v>0.49381932209188922</v>
      </c>
      <c r="Z33">
        <f t="shared" si="21"/>
        <v>2.4421887642857145</v>
      </c>
    </row>
    <row r="34" spans="1:26" hidden="1">
      <c r="A34">
        <v>16</v>
      </c>
      <c r="B34">
        <v>2</v>
      </c>
      <c r="C34">
        <v>12</v>
      </c>
      <c r="D34">
        <f t="shared" si="0"/>
        <v>280</v>
      </c>
      <c r="E34">
        <f t="shared" si="1"/>
        <v>140</v>
      </c>
      <c r="F34">
        <f t="shared" si="2"/>
        <v>25.728000000000002</v>
      </c>
      <c r="G34">
        <f t="shared" si="3"/>
        <v>0.67200000000000004</v>
      </c>
      <c r="H34">
        <f t="shared" si="4"/>
        <v>112.89600000000002</v>
      </c>
      <c r="I34">
        <f t="shared" si="5"/>
        <v>806.40000000000009</v>
      </c>
      <c r="J34">
        <f t="shared" si="6"/>
        <v>576</v>
      </c>
      <c r="K34">
        <f t="shared" si="7"/>
        <v>80.64</v>
      </c>
      <c r="L34">
        <f t="shared" si="8"/>
        <v>6.2092800000000006</v>
      </c>
      <c r="M34">
        <f t="shared" si="9"/>
        <v>5.9673600000000002</v>
      </c>
      <c r="N34">
        <f t="shared" si="10"/>
        <v>4.7577600000000011</v>
      </c>
      <c r="O34">
        <f t="shared" si="11"/>
        <v>4.3830211764705886</v>
      </c>
      <c r="P34">
        <f t="shared" si="12"/>
        <v>1.9352051835853132</v>
      </c>
      <c r="Q34">
        <f t="shared" si="13"/>
        <v>67.2</v>
      </c>
      <c r="R34">
        <f t="shared" si="14"/>
        <v>384</v>
      </c>
      <c r="S34">
        <f t="shared" si="15"/>
        <v>481.91999999999996</v>
      </c>
      <c r="T34">
        <f t="shared" si="16"/>
        <v>94.080000000000013</v>
      </c>
      <c r="U34">
        <f>I34*E34/'[1]Inverter Analysis'!$L$2</f>
        <v>270.53309662495849</v>
      </c>
      <c r="V34">
        <f t="shared" si="17"/>
        <v>138.88888888888889</v>
      </c>
      <c r="W34">
        <f t="shared" si="18"/>
        <v>166.00265604249668</v>
      </c>
      <c r="X34">
        <f t="shared" si="19"/>
        <v>99.206349206349202</v>
      </c>
      <c r="Y34">
        <f t="shared" si="20"/>
        <v>0.19289817269214424</v>
      </c>
      <c r="Z34">
        <f t="shared" si="21"/>
        <v>6.668803452342857</v>
      </c>
    </row>
    <row r="35" spans="1:26" hidden="1">
      <c r="A35">
        <v>15</v>
      </c>
      <c r="B35">
        <v>2</v>
      </c>
      <c r="C35">
        <v>12</v>
      </c>
      <c r="D35">
        <f t="shared" si="0"/>
        <v>280</v>
      </c>
      <c r="E35">
        <f t="shared" si="1"/>
        <v>140</v>
      </c>
      <c r="F35">
        <f t="shared" si="2"/>
        <v>24.12</v>
      </c>
      <c r="G35">
        <f t="shared" si="3"/>
        <v>0.63</v>
      </c>
      <c r="H35">
        <f t="shared" si="4"/>
        <v>105.84</v>
      </c>
      <c r="I35">
        <f t="shared" si="5"/>
        <v>756</v>
      </c>
      <c r="J35">
        <f t="shared" si="6"/>
        <v>540</v>
      </c>
      <c r="K35">
        <f t="shared" si="7"/>
        <v>75.599999999999994</v>
      </c>
      <c r="L35">
        <f t="shared" si="8"/>
        <v>5.8212000000000002</v>
      </c>
      <c r="M35">
        <f t="shared" si="9"/>
        <v>5.5944000000000003</v>
      </c>
      <c r="N35">
        <f t="shared" si="10"/>
        <v>4.4604000000000008</v>
      </c>
      <c r="O35">
        <f t="shared" si="11"/>
        <v>4.1090823529411766</v>
      </c>
      <c r="P35">
        <f t="shared" si="12"/>
        <v>1.8142548596112311</v>
      </c>
      <c r="Q35">
        <f t="shared" si="13"/>
        <v>63</v>
      </c>
      <c r="R35">
        <f t="shared" si="14"/>
        <v>360</v>
      </c>
      <c r="S35">
        <f t="shared" si="15"/>
        <v>451.8</v>
      </c>
      <c r="T35">
        <f t="shared" si="16"/>
        <v>88.2</v>
      </c>
      <c r="U35">
        <f>I35*E35/'[1]Inverter Analysis'!$L$2</f>
        <v>253.62477808589858</v>
      </c>
      <c r="V35">
        <f t="shared" si="17"/>
        <v>148.14814814814815</v>
      </c>
      <c r="W35">
        <f t="shared" si="18"/>
        <v>177.06949977866313</v>
      </c>
      <c r="X35">
        <f t="shared" si="19"/>
        <v>105.82010582010582</v>
      </c>
      <c r="Y35">
        <f t="shared" si="20"/>
        <v>0.21947525426306186</v>
      </c>
      <c r="Z35">
        <f t="shared" si="21"/>
        <v>5.4949247196428574</v>
      </c>
    </row>
    <row r="36" spans="1:26" hidden="1">
      <c r="A36">
        <v>14</v>
      </c>
      <c r="B36">
        <v>2</v>
      </c>
      <c r="C36">
        <v>12</v>
      </c>
      <c r="D36">
        <f t="shared" si="0"/>
        <v>280</v>
      </c>
      <c r="E36">
        <f t="shared" si="1"/>
        <v>140</v>
      </c>
      <c r="F36">
        <f t="shared" si="2"/>
        <v>22.512</v>
      </c>
      <c r="G36">
        <f t="shared" si="3"/>
        <v>0.58800000000000008</v>
      </c>
      <c r="H36">
        <f t="shared" si="4"/>
        <v>98.784000000000006</v>
      </c>
      <c r="I36">
        <f t="shared" si="5"/>
        <v>705.6</v>
      </c>
      <c r="J36">
        <f t="shared" si="6"/>
        <v>504</v>
      </c>
      <c r="K36">
        <f t="shared" si="7"/>
        <v>70.56</v>
      </c>
      <c r="L36">
        <f t="shared" si="8"/>
        <v>5.4331199999999997</v>
      </c>
      <c r="M36">
        <f t="shared" si="9"/>
        <v>5.2214400000000003</v>
      </c>
      <c r="N36">
        <f t="shared" si="10"/>
        <v>4.1630399999999996</v>
      </c>
      <c r="O36">
        <f t="shared" si="11"/>
        <v>3.8351435294117646</v>
      </c>
      <c r="P36">
        <f t="shared" si="12"/>
        <v>1.693304535637149</v>
      </c>
      <c r="Q36">
        <f t="shared" si="13"/>
        <v>58.800000000000004</v>
      </c>
      <c r="R36">
        <f t="shared" si="14"/>
        <v>336</v>
      </c>
      <c r="S36">
        <f t="shared" si="15"/>
        <v>421.68</v>
      </c>
      <c r="T36">
        <f t="shared" si="16"/>
        <v>82.320000000000007</v>
      </c>
      <c r="U36">
        <f>I36*E36/'[1]Inverter Analysis'!$L$2</f>
        <v>236.71645954683868</v>
      </c>
      <c r="V36">
        <f t="shared" si="17"/>
        <v>158.73015873015873</v>
      </c>
      <c r="W36">
        <f t="shared" si="18"/>
        <v>189.71732119142479</v>
      </c>
      <c r="X36">
        <f t="shared" si="19"/>
        <v>113.37868480725623</v>
      </c>
      <c r="Y36">
        <f t="shared" si="20"/>
        <v>0.25194863372035164</v>
      </c>
      <c r="Z36">
        <f t="shared" si="21"/>
        <v>4.4675773128000005</v>
      </c>
    </row>
    <row r="37" spans="1:26" hidden="1">
      <c r="A37">
        <v>13</v>
      </c>
      <c r="B37">
        <v>2</v>
      </c>
      <c r="C37">
        <v>12</v>
      </c>
      <c r="D37">
        <f t="shared" si="0"/>
        <v>280</v>
      </c>
      <c r="E37">
        <f t="shared" si="1"/>
        <v>140</v>
      </c>
      <c r="F37">
        <f t="shared" si="2"/>
        <v>20.904</v>
      </c>
      <c r="G37">
        <f t="shared" si="3"/>
        <v>0.54600000000000004</v>
      </c>
      <c r="H37">
        <f t="shared" si="4"/>
        <v>91.727999999999994</v>
      </c>
      <c r="I37">
        <f t="shared" si="5"/>
        <v>655.20000000000005</v>
      </c>
      <c r="J37">
        <f t="shared" si="6"/>
        <v>468</v>
      </c>
      <c r="K37">
        <f t="shared" si="7"/>
        <v>65.52</v>
      </c>
      <c r="L37">
        <f t="shared" si="8"/>
        <v>5.0450400000000011</v>
      </c>
      <c r="M37">
        <f t="shared" si="9"/>
        <v>4.8484800000000003</v>
      </c>
      <c r="N37">
        <f t="shared" si="10"/>
        <v>3.8656800000000002</v>
      </c>
      <c r="O37">
        <f t="shared" si="11"/>
        <v>3.5612047058823539</v>
      </c>
      <c r="P37">
        <f t="shared" si="12"/>
        <v>1.5723542116630671</v>
      </c>
      <c r="Q37">
        <f t="shared" si="13"/>
        <v>54.6</v>
      </c>
      <c r="R37">
        <f t="shared" si="14"/>
        <v>312</v>
      </c>
      <c r="S37">
        <f t="shared" si="15"/>
        <v>391.56</v>
      </c>
      <c r="T37">
        <f t="shared" si="16"/>
        <v>76.440000000000012</v>
      </c>
      <c r="U37">
        <f>I37*E37/'[1]Inverter Analysis'!$L$2</f>
        <v>219.80814100777877</v>
      </c>
      <c r="V37">
        <f t="shared" si="17"/>
        <v>170.94017094017093</v>
      </c>
      <c r="W37">
        <f t="shared" si="18"/>
        <v>204.31096128307283</v>
      </c>
      <c r="X37">
        <f t="shared" si="19"/>
        <v>122.10012210012209</v>
      </c>
      <c r="Y37">
        <f t="shared" si="20"/>
        <v>0.29220078230289298</v>
      </c>
      <c r="Z37">
        <f t="shared" si="21"/>
        <v>3.5769924767571428</v>
      </c>
    </row>
    <row r="38" spans="1:26" hidden="1">
      <c r="A38">
        <v>12</v>
      </c>
      <c r="B38">
        <v>2</v>
      </c>
      <c r="C38">
        <v>12</v>
      </c>
      <c r="D38">
        <f t="shared" si="0"/>
        <v>280</v>
      </c>
      <c r="E38">
        <f t="shared" si="1"/>
        <v>140</v>
      </c>
      <c r="F38">
        <f t="shared" si="2"/>
        <v>19.295999999999999</v>
      </c>
      <c r="G38">
        <f t="shared" si="3"/>
        <v>0.504</v>
      </c>
      <c r="H38">
        <f t="shared" si="4"/>
        <v>84.672000000000011</v>
      </c>
      <c r="I38">
        <f t="shared" si="5"/>
        <v>604.80000000000007</v>
      </c>
      <c r="J38">
        <f t="shared" si="6"/>
        <v>432</v>
      </c>
      <c r="K38">
        <f t="shared" si="7"/>
        <v>60.48</v>
      </c>
      <c r="L38">
        <f t="shared" si="8"/>
        <v>4.6569600000000007</v>
      </c>
      <c r="M38">
        <f t="shared" si="9"/>
        <v>4.4755200000000004</v>
      </c>
      <c r="N38">
        <f t="shared" si="10"/>
        <v>3.5683200000000008</v>
      </c>
      <c r="O38">
        <f t="shared" si="11"/>
        <v>3.2872658823529419</v>
      </c>
      <c r="P38">
        <f t="shared" si="12"/>
        <v>1.4514038876889852</v>
      </c>
      <c r="Q38">
        <f t="shared" si="13"/>
        <v>50.400000000000006</v>
      </c>
      <c r="R38">
        <f t="shared" si="14"/>
        <v>288</v>
      </c>
      <c r="S38">
        <f t="shared" si="15"/>
        <v>361.44</v>
      </c>
      <c r="T38">
        <f t="shared" si="16"/>
        <v>70.56</v>
      </c>
      <c r="U38">
        <f>I38*E38/'[1]Inverter Analysis'!$L$2</f>
        <v>202.8998224687189</v>
      </c>
      <c r="V38">
        <f t="shared" si="17"/>
        <v>185.18518518518519</v>
      </c>
      <c r="W38">
        <f t="shared" si="18"/>
        <v>221.33687472332892</v>
      </c>
      <c r="X38">
        <f t="shared" si="19"/>
        <v>132.27513227513225</v>
      </c>
      <c r="Y38">
        <f t="shared" si="20"/>
        <v>0.34293008478603415</v>
      </c>
      <c r="Z38">
        <f t="shared" si="21"/>
        <v>2.8134014564571426</v>
      </c>
    </row>
    <row r="39" spans="1:26" hidden="1">
      <c r="A39">
        <v>11</v>
      </c>
      <c r="B39">
        <v>2</v>
      </c>
      <c r="C39">
        <v>12</v>
      </c>
      <c r="D39">
        <f t="shared" si="0"/>
        <v>280</v>
      </c>
      <c r="E39">
        <f t="shared" si="1"/>
        <v>140</v>
      </c>
      <c r="F39">
        <f t="shared" si="2"/>
        <v>17.687999999999999</v>
      </c>
      <c r="G39">
        <f t="shared" si="3"/>
        <v>0.46199999999999997</v>
      </c>
      <c r="H39">
        <f t="shared" si="4"/>
        <v>77.616</v>
      </c>
      <c r="I39">
        <f t="shared" si="5"/>
        <v>554.4</v>
      </c>
      <c r="J39">
        <f t="shared" si="6"/>
        <v>396</v>
      </c>
      <c r="K39">
        <f t="shared" si="7"/>
        <v>55.44</v>
      </c>
      <c r="L39">
        <f t="shared" si="8"/>
        <v>4.2688800000000002</v>
      </c>
      <c r="M39">
        <f t="shared" si="9"/>
        <v>4.1025600000000004</v>
      </c>
      <c r="N39">
        <f t="shared" si="10"/>
        <v>3.2709600000000001</v>
      </c>
      <c r="O39">
        <f t="shared" si="11"/>
        <v>3.0133270588235299</v>
      </c>
      <c r="P39">
        <f t="shared" si="12"/>
        <v>1.3304535637149026</v>
      </c>
      <c r="Q39">
        <f t="shared" si="13"/>
        <v>46.199999999999996</v>
      </c>
      <c r="R39">
        <f t="shared" si="14"/>
        <v>264</v>
      </c>
      <c r="S39">
        <f t="shared" si="15"/>
        <v>331.32</v>
      </c>
      <c r="T39">
        <f t="shared" si="16"/>
        <v>64.679999999999993</v>
      </c>
      <c r="U39">
        <f>I39*E39/'[1]Inverter Analysis'!$L$2</f>
        <v>185.99150392965896</v>
      </c>
      <c r="V39">
        <f t="shared" si="17"/>
        <v>202.02020202020202</v>
      </c>
      <c r="W39">
        <f t="shared" si="18"/>
        <v>241.45840878908609</v>
      </c>
      <c r="X39">
        <f t="shared" si="19"/>
        <v>144.3001443001443</v>
      </c>
      <c r="Y39">
        <f t="shared" si="20"/>
        <v>0.40811514222470185</v>
      </c>
      <c r="Z39">
        <f t="shared" si="21"/>
        <v>2.1670354968428569</v>
      </c>
    </row>
    <row r="40" spans="1:26" hidden="1">
      <c r="A40">
        <v>10</v>
      </c>
      <c r="B40">
        <v>2</v>
      </c>
      <c r="C40">
        <v>12</v>
      </c>
      <c r="D40">
        <f t="shared" si="0"/>
        <v>280</v>
      </c>
      <c r="E40">
        <f t="shared" si="1"/>
        <v>140</v>
      </c>
      <c r="F40">
        <f t="shared" si="2"/>
        <v>16.079999999999998</v>
      </c>
      <c r="G40">
        <f t="shared" si="3"/>
        <v>0.42000000000000004</v>
      </c>
      <c r="H40">
        <f t="shared" si="4"/>
        <v>70.56</v>
      </c>
      <c r="I40">
        <f t="shared" si="5"/>
        <v>504</v>
      </c>
      <c r="J40">
        <f t="shared" si="6"/>
        <v>360</v>
      </c>
      <c r="K40">
        <f t="shared" si="7"/>
        <v>50.4</v>
      </c>
      <c r="L40">
        <f t="shared" si="8"/>
        <v>3.8808000000000002</v>
      </c>
      <c r="M40">
        <f t="shared" si="9"/>
        <v>3.7296000000000005</v>
      </c>
      <c r="N40">
        <f t="shared" si="10"/>
        <v>2.9736000000000002</v>
      </c>
      <c r="O40">
        <f t="shared" si="11"/>
        <v>2.7393882352941179</v>
      </c>
      <c r="P40">
        <f t="shared" si="12"/>
        <v>1.2095032397408207</v>
      </c>
      <c r="Q40">
        <f t="shared" si="13"/>
        <v>42</v>
      </c>
      <c r="R40">
        <f t="shared" si="14"/>
        <v>240</v>
      </c>
      <c r="S40">
        <f t="shared" si="15"/>
        <v>301.2</v>
      </c>
      <c r="T40">
        <f t="shared" si="16"/>
        <v>58.800000000000004</v>
      </c>
      <c r="U40">
        <f>I40*E40/'[1]Inverter Analysis'!$L$2</f>
        <v>169.08318539059906</v>
      </c>
      <c r="V40">
        <f t="shared" si="17"/>
        <v>222.22222222222223</v>
      </c>
      <c r="W40">
        <f t="shared" si="18"/>
        <v>265.60424966799468</v>
      </c>
      <c r="X40">
        <f t="shared" si="19"/>
        <v>158.73015873015873</v>
      </c>
      <c r="Y40">
        <f t="shared" si="20"/>
        <v>0.49381932209188922</v>
      </c>
      <c r="Z40">
        <f t="shared" si="21"/>
        <v>1.6281258428571426</v>
      </c>
    </row>
    <row r="41" spans="1:26" hidden="1">
      <c r="A41" s="8">
        <v>16</v>
      </c>
      <c r="B41" s="1">
        <v>6</v>
      </c>
      <c r="C41" s="1">
        <v>11</v>
      </c>
      <c r="D41">
        <f t="shared" si="0"/>
        <v>840</v>
      </c>
      <c r="E41">
        <f t="shared" si="1"/>
        <v>420</v>
      </c>
      <c r="F41">
        <f t="shared" si="2"/>
        <v>70.751999999999995</v>
      </c>
      <c r="G41">
        <f t="shared" si="3"/>
        <v>0.20533333333333334</v>
      </c>
      <c r="H41">
        <f t="shared" si="4"/>
        <v>310.464</v>
      </c>
      <c r="I41">
        <f t="shared" si="5"/>
        <v>739.2</v>
      </c>
      <c r="J41">
        <f t="shared" si="6"/>
        <v>528</v>
      </c>
      <c r="K41">
        <f t="shared" si="7"/>
        <v>221.76</v>
      </c>
      <c r="L41">
        <f t="shared" si="8"/>
        <v>17.075520000000001</v>
      </c>
      <c r="M41">
        <f t="shared" si="9"/>
        <v>16.410240000000002</v>
      </c>
      <c r="N41">
        <f t="shared" si="10"/>
        <v>13.083840000000002</v>
      </c>
      <c r="O41">
        <f t="shared" si="11"/>
        <v>12.05330823529412</v>
      </c>
      <c r="P41">
        <f t="shared" si="12"/>
        <v>5.8056155507559399</v>
      </c>
      <c r="Q41">
        <f t="shared" si="13"/>
        <v>67.2</v>
      </c>
      <c r="R41">
        <f t="shared" si="14"/>
        <v>1056</v>
      </c>
      <c r="S41">
        <f t="shared" si="15"/>
        <v>441.76</v>
      </c>
      <c r="T41">
        <f t="shared" si="16"/>
        <v>86.240000000000009</v>
      </c>
      <c r="U41">
        <f>I41*E41/'[1]Inverter Analysis'!$L$2</f>
        <v>743.96601571863584</v>
      </c>
      <c r="V41">
        <f t="shared" si="17"/>
        <v>151.5151515151515</v>
      </c>
      <c r="W41">
        <f t="shared" si="18"/>
        <v>181.09380659181457</v>
      </c>
      <c r="X41">
        <f t="shared" si="19"/>
        <v>108.22510822510822</v>
      </c>
      <c r="Y41">
        <f t="shared" si="20"/>
        <v>0.22956476750139482</v>
      </c>
      <c r="Z41">
        <f t="shared" si="21"/>
        <v>15.410030199771425</v>
      </c>
    </row>
    <row r="42" spans="1:26" hidden="1">
      <c r="A42" s="8">
        <v>15</v>
      </c>
      <c r="B42" s="1">
        <v>6</v>
      </c>
      <c r="C42" s="1">
        <v>11</v>
      </c>
      <c r="D42">
        <f t="shared" si="0"/>
        <v>840</v>
      </c>
      <c r="E42">
        <f t="shared" si="1"/>
        <v>420</v>
      </c>
      <c r="F42">
        <f t="shared" si="2"/>
        <v>66.33</v>
      </c>
      <c r="G42">
        <f t="shared" si="3"/>
        <v>0.1925</v>
      </c>
      <c r="H42">
        <f t="shared" si="4"/>
        <v>291.06</v>
      </c>
      <c r="I42">
        <f t="shared" si="5"/>
        <v>693</v>
      </c>
      <c r="J42">
        <f t="shared" si="6"/>
        <v>495</v>
      </c>
      <c r="K42">
        <f t="shared" si="7"/>
        <v>207.9</v>
      </c>
      <c r="L42">
        <f t="shared" si="8"/>
        <v>16.008300000000002</v>
      </c>
      <c r="M42">
        <f t="shared" si="9"/>
        <v>15.384599999999999</v>
      </c>
      <c r="N42">
        <f t="shared" si="10"/>
        <v>12.2661</v>
      </c>
      <c r="O42">
        <f t="shared" si="11"/>
        <v>11.299976470588238</v>
      </c>
      <c r="P42">
        <f t="shared" si="12"/>
        <v>5.4427645788336925</v>
      </c>
      <c r="Q42">
        <f t="shared" si="13"/>
        <v>63</v>
      </c>
      <c r="R42">
        <f t="shared" si="14"/>
        <v>990</v>
      </c>
      <c r="S42">
        <f t="shared" si="15"/>
        <v>414.15</v>
      </c>
      <c r="T42">
        <f t="shared" si="16"/>
        <v>80.850000000000009</v>
      </c>
      <c r="U42">
        <f>I42*E42/'[1]Inverter Analysis'!$L$2</f>
        <v>697.46813973622102</v>
      </c>
      <c r="V42">
        <f t="shared" si="17"/>
        <v>161.61616161616161</v>
      </c>
      <c r="W42">
        <f t="shared" si="18"/>
        <v>193.16672703126886</v>
      </c>
      <c r="X42">
        <f t="shared" si="19"/>
        <v>115.44011544011543</v>
      </c>
      <c r="Y42">
        <f t="shared" si="20"/>
        <v>0.26119369102380913</v>
      </c>
      <c r="Z42">
        <f t="shared" si="21"/>
        <v>12.697473614313616</v>
      </c>
    </row>
    <row r="43" spans="1:26" hidden="1">
      <c r="A43">
        <v>14</v>
      </c>
      <c r="B43" s="1">
        <v>6</v>
      </c>
      <c r="C43" s="1">
        <v>11</v>
      </c>
      <c r="D43">
        <f t="shared" si="0"/>
        <v>840</v>
      </c>
      <c r="E43">
        <f t="shared" si="1"/>
        <v>420</v>
      </c>
      <c r="F43">
        <f t="shared" si="2"/>
        <v>61.908000000000001</v>
      </c>
      <c r="G43">
        <f t="shared" si="3"/>
        <v>0.1796666666666667</v>
      </c>
      <c r="H43">
        <f t="shared" si="4"/>
        <v>271.65600000000001</v>
      </c>
      <c r="I43">
        <f t="shared" si="5"/>
        <v>646.80000000000007</v>
      </c>
      <c r="J43">
        <f t="shared" si="6"/>
        <v>462</v>
      </c>
      <c r="K43">
        <f t="shared" si="7"/>
        <v>194.04</v>
      </c>
      <c r="L43">
        <f t="shared" si="8"/>
        <v>14.941080000000001</v>
      </c>
      <c r="M43">
        <f t="shared" si="9"/>
        <v>14.358960000000003</v>
      </c>
      <c r="N43">
        <f t="shared" si="10"/>
        <v>11.448360000000003</v>
      </c>
      <c r="O43">
        <f t="shared" si="11"/>
        <v>10.546644705882354</v>
      </c>
      <c r="P43">
        <f t="shared" si="12"/>
        <v>5.0799136069114477</v>
      </c>
      <c r="Q43">
        <f t="shared" si="13"/>
        <v>58.800000000000004</v>
      </c>
      <c r="R43">
        <f t="shared" si="14"/>
        <v>924</v>
      </c>
      <c r="S43">
        <f t="shared" si="15"/>
        <v>386.53999999999996</v>
      </c>
      <c r="T43">
        <f t="shared" si="16"/>
        <v>75.460000000000008</v>
      </c>
      <c r="U43">
        <f>I43*E43/'[1]Inverter Analysis'!$L$2</f>
        <v>650.97026375380631</v>
      </c>
      <c r="V43">
        <f t="shared" si="17"/>
        <v>173.16017316017317</v>
      </c>
      <c r="W43">
        <f t="shared" si="18"/>
        <v>206.96435039064522</v>
      </c>
      <c r="X43">
        <f t="shared" si="19"/>
        <v>123.68583797155225</v>
      </c>
      <c r="Y43">
        <f t="shared" si="20"/>
        <v>0.29983969632835239</v>
      </c>
      <c r="Z43">
        <f t="shared" si="21"/>
        <v>10.323516325237501</v>
      </c>
    </row>
    <row r="44" spans="1:26" hidden="1">
      <c r="A44">
        <v>13</v>
      </c>
      <c r="B44" s="1">
        <v>6</v>
      </c>
      <c r="C44" s="1">
        <v>11</v>
      </c>
      <c r="D44">
        <f t="shared" si="0"/>
        <v>840</v>
      </c>
      <c r="E44">
        <f t="shared" si="1"/>
        <v>420</v>
      </c>
      <c r="F44">
        <f t="shared" si="2"/>
        <v>57.485999999999997</v>
      </c>
      <c r="G44">
        <f t="shared" si="3"/>
        <v>0.16683333333333336</v>
      </c>
      <c r="H44">
        <f t="shared" si="4"/>
        <v>252.25200000000001</v>
      </c>
      <c r="I44">
        <f t="shared" si="5"/>
        <v>600.6</v>
      </c>
      <c r="J44">
        <f t="shared" si="6"/>
        <v>429</v>
      </c>
      <c r="K44">
        <f t="shared" si="7"/>
        <v>180.18</v>
      </c>
      <c r="L44">
        <f t="shared" si="8"/>
        <v>13.873860000000001</v>
      </c>
      <c r="M44">
        <f t="shared" si="9"/>
        <v>13.333320000000002</v>
      </c>
      <c r="N44">
        <f t="shared" si="10"/>
        <v>10.63062</v>
      </c>
      <c r="O44">
        <f t="shared" si="11"/>
        <v>9.7933129411764721</v>
      </c>
      <c r="P44">
        <f t="shared" si="12"/>
        <v>4.7170626349892011</v>
      </c>
      <c r="Q44">
        <f t="shared" si="13"/>
        <v>54.6</v>
      </c>
      <c r="R44">
        <f t="shared" si="14"/>
        <v>858</v>
      </c>
      <c r="S44">
        <f t="shared" si="15"/>
        <v>358.93</v>
      </c>
      <c r="T44">
        <f t="shared" si="16"/>
        <v>70.070000000000007</v>
      </c>
      <c r="U44">
        <f>I44*E44/'[1]Inverter Analysis'!$L$2</f>
        <v>604.4723877713916</v>
      </c>
      <c r="V44">
        <f t="shared" si="17"/>
        <v>186.48018648018649</v>
      </c>
      <c r="W44">
        <f t="shared" si="18"/>
        <v>222.88468503607945</v>
      </c>
      <c r="X44">
        <f t="shared" si="19"/>
        <v>133.20013320013319</v>
      </c>
      <c r="Y44">
        <f t="shared" si="20"/>
        <v>0.3477430797654264</v>
      </c>
      <c r="Z44">
        <f t="shared" si="21"/>
        <v>8.2655850461176339</v>
      </c>
    </row>
    <row r="45" spans="1:26" hidden="1">
      <c r="A45">
        <v>12</v>
      </c>
      <c r="B45" s="1">
        <v>6</v>
      </c>
      <c r="C45" s="1">
        <v>11</v>
      </c>
      <c r="D45">
        <f t="shared" si="0"/>
        <v>840</v>
      </c>
      <c r="E45">
        <f t="shared" si="1"/>
        <v>420</v>
      </c>
      <c r="F45">
        <f t="shared" si="2"/>
        <v>53.064</v>
      </c>
      <c r="G45">
        <f t="shared" si="3"/>
        <v>0.15400000000000003</v>
      </c>
      <c r="H45">
        <f t="shared" si="4"/>
        <v>232.84800000000001</v>
      </c>
      <c r="I45">
        <f t="shared" si="5"/>
        <v>554.4</v>
      </c>
      <c r="J45">
        <f t="shared" si="6"/>
        <v>396</v>
      </c>
      <c r="K45">
        <f t="shared" si="7"/>
        <v>166.32</v>
      </c>
      <c r="L45">
        <f t="shared" si="8"/>
        <v>12.80664</v>
      </c>
      <c r="M45">
        <f t="shared" si="9"/>
        <v>12.30768</v>
      </c>
      <c r="N45">
        <f t="shared" si="10"/>
        <v>9.8128800000000016</v>
      </c>
      <c r="O45">
        <f t="shared" si="11"/>
        <v>9.0399811764705884</v>
      </c>
      <c r="P45">
        <f t="shared" si="12"/>
        <v>4.3542116630669545</v>
      </c>
      <c r="Q45">
        <f t="shared" si="13"/>
        <v>50.4</v>
      </c>
      <c r="R45">
        <f t="shared" si="14"/>
        <v>792</v>
      </c>
      <c r="S45">
        <f t="shared" si="15"/>
        <v>331.32</v>
      </c>
      <c r="T45">
        <f t="shared" si="16"/>
        <v>64.680000000000007</v>
      </c>
      <c r="U45">
        <f>I45*E45/'[1]Inverter Analysis'!$L$2</f>
        <v>557.97451178897688</v>
      </c>
      <c r="V45">
        <f t="shared" si="17"/>
        <v>202.02020202020202</v>
      </c>
      <c r="W45">
        <f t="shared" si="18"/>
        <v>241.45840878908609</v>
      </c>
      <c r="X45">
        <f t="shared" si="19"/>
        <v>144.3001443001443</v>
      </c>
      <c r="Y45">
        <f t="shared" si="20"/>
        <v>0.40811514222470185</v>
      </c>
      <c r="Z45">
        <f t="shared" si="21"/>
        <v>6.5011064905285707</v>
      </c>
    </row>
    <row r="46" spans="1:26" hidden="1">
      <c r="A46">
        <v>11</v>
      </c>
      <c r="B46" s="1">
        <v>6</v>
      </c>
      <c r="C46" s="1">
        <v>11</v>
      </c>
      <c r="D46">
        <f t="shared" si="0"/>
        <v>840</v>
      </c>
      <c r="E46">
        <f t="shared" si="1"/>
        <v>420</v>
      </c>
      <c r="F46">
        <f t="shared" si="2"/>
        <v>48.642000000000003</v>
      </c>
      <c r="G46">
        <f t="shared" si="3"/>
        <v>0.14116666666666666</v>
      </c>
      <c r="H46">
        <f t="shared" si="4"/>
        <v>213.44400000000002</v>
      </c>
      <c r="I46">
        <f t="shared" si="5"/>
        <v>508.20000000000005</v>
      </c>
      <c r="J46">
        <f t="shared" si="6"/>
        <v>363</v>
      </c>
      <c r="K46">
        <f t="shared" si="7"/>
        <v>152.46</v>
      </c>
      <c r="L46">
        <f t="shared" si="8"/>
        <v>11.739420000000003</v>
      </c>
      <c r="M46">
        <f t="shared" si="9"/>
        <v>11.28204</v>
      </c>
      <c r="N46">
        <f t="shared" si="10"/>
        <v>8.995140000000001</v>
      </c>
      <c r="O46">
        <f t="shared" si="11"/>
        <v>8.2866494117647083</v>
      </c>
      <c r="P46">
        <f t="shared" si="12"/>
        <v>3.9913606911447088</v>
      </c>
      <c r="Q46">
        <f t="shared" si="13"/>
        <v>46.2</v>
      </c>
      <c r="R46">
        <f t="shared" si="14"/>
        <v>726</v>
      </c>
      <c r="S46">
        <f t="shared" si="15"/>
        <v>303.70999999999998</v>
      </c>
      <c r="T46">
        <f t="shared" si="16"/>
        <v>59.29</v>
      </c>
      <c r="U46">
        <f>I46*E46/'[1]Inverter Analysis'!$L$2</f>
        <v>511.47663580656217</v>
      </c>
      <c r="V46">
        <f t="shared" si="17"/>
        <v>220.38567493112947</v>
      </c>
      <c r="W46">
        <f t="shared" si="18"/>
        <v>263.40917322445756</v>
      </c>
      <c r="X46">
        <f t="shared" si="19"/>
        <v>157.41833923652104</v>
      </c>
      <c r="Y46">
        <f t="shared" si="20"/>
        <v>0.48569074777154608</v>
      </c>
      <c r="Z46">
        <f t="shared" si="21"/>
        <v>5.0075073720448646</v>
      </c>
    </row>
    <row r="47" spans="1:26" hidden="1">
      <c r="A47">
        <v>10</v>
      </c>
      <c r="B47" s="1">
        <v>6</v>
      </c>
      <c r="C47" s="1">
        <v>11</v>
      </c>
      <c r="D47">
        <f t="shared" si="0"/>
        <v>840</v>
      </c>
      <c r="E47">
        <f t="shared" si="1"/>
        <v>420</v>
      </c>
      <c r="F47">
        <f t="shared" si="2"/>
        <v>44.22</v>
      </c>
      <c r="G47">
        <f t="shared" si="3"/>
        <v>0.12833333333333333</v>
      </c>
      <c r="H47">
        <f t="shared" si="4"/>
        <v>194.04</v>
      </c>
      <c r="I47">
        <f t="shared" si="5"/>
        <v>462</v>
      </c>
      <c r="J47">
        <f t="shared" si="6"/>
        <v>330</v>
      </c>
      <c r="K47">
        <f t="shared" si="7"/>
        <v>138.6</v>
      </c>
      <c r="L47">
        <f t="shared" si="8"/>
        <v>10.6722</v>
      </c>
      <c r="M47">
        <f t="shared" si="9"/>
        <v>10.256400000000001</v>
      </c>
      <c r="N47">
        <f t="shared" si="10"/>
        <v>8.1774000000000004</v>
      </c>
      <c r="O47">
        <f t="shared" si="11"/>
        <v>7.5333176470588237</v>
      </c>
      <c r="P47">
        <f t="shared" si="12"/>
        <v>3.6285097192224622</v>
      </c>
      <c r="Q47">
        <f t="shared" si="13"/>
        <v>42</v>
      </c>
      <c r="R47">
        <f t="shared" si="14"/>
        <v>660</v>
      </c>
      <c r="S47">
        <f t="shared" si="15"/>
        <v>276.10000000000002</v>
      </c>
      <c r="T47">
        <f t="shared" si="16"/>
        <v>53.9</v>
      </c>
      <c r="U47">
        <f>I47*E47/'[1]Inverter Analysis'!$L$2</f>
        <v>464.9787598241474</v>
      </c>
      <c r="V47">
        <f t="shared" si="17"/>
        <v>242.42424242424244</v>
      </c>
      <c r="W47">
        <f t="shared" si="18"/>
        <v>289.75009054690327</v>
      </c>
      <c r="X47">
        <f t="shared" si="19"/>
        <v>173.16017316017317</v>
      </c>
      <c r="Y47">
        <f t="shared" si="20"/>
        <v>0.58768580480357047</v>
      </c>
      <c r="Z47">
        <f t="shared" si="21"/>
        <v>3.7622144042410719</v>
      </c>
    </row>
    <row r="48" spans="1:26" hidden="1">
      <c r="A48" s="8">
        <v>16</v>
      </c>
      <c r="B48" s="9">
        <v>5</v>
      </c>
      <c r="C48" s="1">
        <v>11</v>
      </c>
      <c r="D48">
        <f t="shared" si="0"/>
        <v>700</v>
      </c>
      <c r="E48">
        <f t="shared" si="1"/>
        <v>350</v>
      </c>
      <c r="F48">
        <f t="shared" si="2"/>
        <v>58.96</v>
      </c>
      <c r="G48">
        <f t="shared" si="3"/>
        <v>0.24640000000000001</v>
      </c>
      <c r="H48">
        <f t="shared" si="4"/>
        <v>258.72000000000003</v>
      </c>
      <c r="I48">
        <f t="shared" si="5"/>
        <v>739.2</v>
      </c>
      <c r="J48">
        <f t="shared" si="6"/>
        <v>528</v>
      </c>
      <c r="K48">
        <f t="shared" si="7"/>
        <v>184.8</v>
      </c>
      <c r="L48">
        <f t="shared" si="8"/>
        <v>14.2296</v>
      </c>
      <c r="M48">
        <f t="shared" si="9"/>
        <v>13.675200000000002</v>
      </c>
      <c r="N48">
        <f t="shared" si="10"/>
        <v>10.9032</v>
      </c>
      <c r="O48">
        <f t="shared" si="11"/>
        <v>10.044423529411764</v>
      </c>
      <c r="P48">
        <f t="shared" si="12"/>
        <v>4.838012958963283</v>
      </c>
      <c r="Q48">
        <f t="shared" si="13"/>
        <v>67.2</v>
      </c>
      <c r="R48">
        <f t="shared" si="14"/>
        <v>880</v>
      </c>
      <c r="S48">
        <f t="shared" si="15"/>
        <v>441.76</v>
      </c>
      <c r="T48">
        <f t="shared" si="16"/>
        <v>86.240000000000009</v>
      </c>
      <c r="U48">
        <f>I48*E48/'[1]Inverter Analysis'!$L$2</f>
        <v>619.97167976552987</v>
      </c>
      <c r="V48">
        <f t="shared" si="17"/>
        <v>151.5151515151515</v>
      </c>
      <c r="W48">
        <f t="shared" si="18"/>
        <v>181.09380659181457</v>
      </c>
      <c r="X48">
        <f t="shared" si="19"/>
        <v>108.22510822510822</v>
      </c>
      <c r="Y48">
        <f t="shared" si="20"/>
        <v>0.22956476750139482</v>
      </c>
      <c r="Z48">
        <f t="shared" si="21"/>
        <v>12.841691833142853</v>
      </c>
    </row>
    <row r="49" spans="1:26" hidden="1">
      <c r="A49" s="8">
        <v>15</v>
      </c>
      <c r="B49" s="9">
        <v>5</v>
      </c>
      <c r="C49" s="1">
        <v>11</v>
      </c>
      <c r="D49">
        <f t="shared" si="0"/>
        <v>700</v>
      </c>
      <c r="E49">
        <f t="shared" si="1"/>
        <v>350</v>
      </c>
      <c r="F49">
        <f t="shared" si="2"/>
        <v>55.274999999999999</v>
      </c>
      <c r="G49">
        <f t="shared" si="3"/>
        <v>0.23100000000000001</v>
      </c>
      <c r="H49">
        <f t="shared" si="4"/>
        <v>242.55</v>
      </c>
      <c r="I49">
        <f t="shared" si="5"/>
        <v>693</v>
      </c>
      <c r="J49">
        <f t="shared" si="6"/>
        <v>495</v>
      </c>
      <c r="K49">
        <f t="shared" si="7"/>
        <v>173.25</v>
      </c>
      <c r="L49">
        <f t="shared" si="8"/>
        <v>13.340249999999999</v>
      </c>
      <c r="M49">
        <f t="shared" si="9"/>
        <v>12.820499999999999</v>
      </c>
      <c r="N49">
        <f t="shared" si="10"/>
        <v>10.22175</v>
      </c>
      <c r="O49">
        <f t="shared" si="11"/>
        <v>9.4166470588235303</v>
      </c>
      <c r="P49">
        <f t="shared" si="12"/>
        <v>4.5356371490280774</v>
      </c>
      <c r="Q49">
        <f t="shared" si="13"/>
        <v>63</v>
      </c>
      <c r="R49">
        <f t="shared" si="14"/>
        <v>825</v>
      </c>
      <c r="S49">
        <f t="shared" si="15"/>
        <v>414.15</v>
      </c>
      <c r="T49">
        <f t="shared" si="16"/>
        <v>80.850000000000009</v>
      </c>
      <c r="U49">
        <f>I49*E49/'[1]Inverter Analysis'!$L$2</f>
        <v>581.22344978018418</v>
      </c>
      <c r="V49">
        <f t="shared" si="17"/>
        <v>161.61616161616161</v>
      </c>
      <c r="W49">
        <f t="shared" si="18"/>
        <v>193.16672703126886</v>
      </c>
      <c r="X49">
        <f t="shared" si="19"/>
        <v>115.44011544011543</v>
      </c>
      <c r="Y49">
        <f t="shared" si="20"/>
        <v>0.26119369102380913</v>
      </c>
      <c r="Z49">
        <f t="shared" si="21"/>
        <v>10.581228011928015</v>
      </c>
    </row>
    <row r="50" spans="1:26" hidden="1">
      <c r="A50">
        <v>14</v>
      </c>
      <c r="B50" s="9">
        <v>5</v>
      </c>
      <c r="C50" s="1">
        <v>11</v>
      </c>
      <c r="D50">
        <f t="shared" si="0"/>
        <v>700</v>
      </c>
      <c r="E50">
        <f t="shared" si="1"/>
        <v>350</v>
      </c>
      <c r="F50">
        <f t="shared" si="2"/>
        <v>51.59</v>
      </c>
      <c r="G50">
        <f t="shared" si="3"/>
        <v>0.21559999999999999</v>
      </c>
      <c r="H50">
        <f t="shared" si="4"/>
        <v>226.38000000000002</v>
      </c>
      <c r="I50">
        <f t="shared" si="5"/>
        <v>646.80000000000007</v>
      </c>
      <c r="J50">
        <f t="shared" si="6"/>
        <v>462</v>
      </c>
      <c r="K50">
        <f t="shared" si="7"/>
        <v>161.69999999999999</v>
      </c>
      <c r="L50">
        <f t="shared" si="8"/>
        <v>12.450900000000001</v>
      </c>
      <c r="M50">
        <f t="shared" si="9"/>
        <v>11.965800000000002</v>
      </c>
      <c r="N50">
        <f t="shared" si="10"/>
        <v>9.5403000000000038</v>
      </c>
      <c r="O50">
        <f t="shared" si="11"/>
        <v>8.7888705882352944</v>
      </c>
      <c r="P50">
        <f t="shared" si="12"/>
        <v>4.2332613390928735</v>
      </c>
      <c r="Q50">
        <f t="shared" si="13"/>
        <v>58.800000000000004</v>
      </c>
      <c r="R50">
        <f t="shared" si="14"/>
        <v>770</v>
      </c>
      <c r="S50">
        <f t="shared" si="15"/>
        <v>386.54</v>
      </c>
      <c r="T50">
        <f t="shared" si="16"/>
        <v>75.459999999999994</v>
      </c>
      <c r="U50">
        <f>I50*E50/'[1]Inverter Analysis'!$L$2</f>
        <v>542.47521979483872</v>
      </c>
      <c r="V50">
        <f t="shared" si="17"/>
        <v>173.16017316017317</v>
      </c>
      <c r="W50">
        <f t="shared" si="18"/>
        <v>206.96435039064519</v>
      </c>
      <c r="X50">
        <f t="shared" si="19"/>
        <v>123.68583797155225</v>
      </c>
      <c r="Y50">
        <f t="shared" si="20"/>
        <v>0.29983969632835228</v>
      </c>
      <c r="Z50">
        <f t="shared" si="21"/>
        <v>8.6029302710312532</v>
      </c>
    </row>
    <row r="51" spans="1:26" hidden="1">
      <c r="A51">
        <v>13</v>
      </c>
      <c r="B51" s="9">
        <v>5</v>
      </c>
      <c r="C51" s="1">
        <v>11</v>
      </c>
      <c r="D51">
        <f t="shared" si="0"/>
        <v>700</v>
      </c>
      <c r="E51">
        <f t="shared" si="1"/>
        <v>350</v>
      </c>
      <c r="F51">
        <f t="shared" si="2"/>
        <v>47.905000000000001</v>
      </c>
      <c r="G51">
        <f t="shared" si="3"/>
        <v>0.20020000000000002</v>
      </c>
      <c r="H51">
        <f t="shared" si="4"/>
        <v>210.21</v>
      </c>
      <c r="I51">
        <f t="shared" si="5"/>
        <v>600.6</v>
      </c>
      <c r="J51">
        <f t="shared" si="6"/>
        <v>429</v>
      </c>
      <c r="K51">
        <f t="shared" si="7"/>
        <v>150.15</v>
      </c>
      <c r="L51">
        <f t="shared" si="8"/>
        <v>11.561549999999999</v>
      </c>
      <c r="M51">
        <f t="shared" si="9"/>
        <v>11.111100000000002</v>
      </c>
      <c r="N51">
        <f t="shared" si="10"/>
        <v>8.8588500000000003</v>
      </c>
      <c r="O51">
        <f t="shared" si="11"/>
        <v>8.1610941176470586</v>
      </c>
      <c r="P51">
        <f t="shared" si="12"/>
        <v>3.9308855291576674</v>
      </c>
      <c r="Q51">
        <f t="shared" si="13"/>
        <v>54.6</v>
      </c>
      <c r="R51">
        <f t="shared" si="14"/>
        <v>715</v>
      </c>
      <c r="S51">
        <f t="shared" si="15"/>
        <v>358.93</v>
      </c>
      <c r="T51">
        <f t="shared" si="16"/>
        <v>70.070000000000007</v>
      </c>
      <c r="U51">
        <f>I51*E51/'[1]Inverter Analysis'!$L$2</f>
        <v>503.72698980949298</v>
      </c>
      <c r="V51">
        <f t="shared" si="17"/>
        <v>186.48018648018649</v>
      </c>
      <c r="W51">
        <f t="shared" si="18"/>
        <v>222.88468503607945</v>
      </c>
      <c r="X51">
        <f t="shared" si="19"/>
        <v>133.20013320013319</v>
      </c>
      <c r="Y51">
        <f t="shared" si="20"/>
        <v>0.3477430797654264</v>
      </c>
      <c r="Z51">
        <f t="shared" si="21"/>
        <v>6.8879875384313616</v>
      </c>
    </row>
    <row r="52" spans="1:26" hidden="1">
      <c r="A52">
        <v>12</v>
      </c>
      <c r="B52" s="9">
        <v>5</v>
      </c>
      <c r="C52" s="1">
        <v>11</v>
      </c>
      <c r="D52">
        <f t="shared" si="0"/>
        <v>700</v>
      </c>
      <c r="E52">
        <f t="shared" si="1"/>
        <v>350</v>
      </c>
      <c r="F52">
        <f t="shared" si="2"/>
        <v>44.22</v>
      </c>
      <c r="G52">
        <f t="shared" si="3"/>
        <v>0.18479999999999999</v>
      </c>
      <c r="H52">
        <f t="shared" si="4"/>
        <v>194.04</v>
      </c>
      <c r="I52">
        <f t="shared" si="5"/>
        <v>554.4</v>
      </c>
      <c r="J52">
        <f t="shared" si="6"/>
        <v>396</v>
      </c>
      <c r="K52">
        <f t="shared" si="7"/>
        <v>138.6</v>
      </c>
      <c r="L52">
        <f t="shared" si="8"/>
        <v>10.6722</v>
      </c>
      <c r="M52">
        <f t="shared" si="9"/>
        <v>10.256400000000001</v>
      </c>
      <c r="N52">
        <f t="shared" si="10"/>
        <v>8.1774000000000004</v>
      </c>
      <c r="O52">
        <f t="shared" si="11"/>
        <v>7.5333176470588237</v>
      </c>
      <c r="P52">
        <f t="shared" si="12"/>
        <v>3.6285097192224622</v>
      </c>
      <c r="Q52">
        <f t="shared" si="13"/>
        <v>50.4</v>
      </c>
      <c r="R52">
        <f t="shared" si="14"/>
        <v>660</v>
      </c>
      <c r="S52">
        <f t="shared" si="15"/>
        <v>331.32</v>
      </c>
      <c r="T52">
        <f t="shared" si="16"/>
        <v>64.679999999999993</v>
      </c>
      <c r="U52">
        <f>I52*E52/'[1]Inverter Analysis'!$L$2</f>
        <v>464.9787598241474</v>
      </c>
      <c r="V52">
        <f t="shared" si="17"/>
        <v>202.02020202020202</v>
      </c>
      <c r="W52">
        <f t="shared" si="18"/>
        <v>241.45840878908609</v>
      </c>
      <c r="X52">
        <f t="shared" si="19"/>
        <v>144.3001443001443</v>
      </c>
      <c r="Y52">
        <f t="shared" si="20"/>
        <v>0.40811514222470185</v>
      </c>
      <c r="Z52">
        <f t="shared" si="21"/>
        <v>5.4175887421071423</v>
      </c>
    </row>
    <row r="53" spans="1:26" hidden="1">
      <c r="A53">
        <v>11</v>
      </c>
      <c r="B53" s="9">
        <v>5</v>
      </c>
      <c r="C53" s="1">
        <v>11</v>
      </c>
      <c r="D53">
        <f t="shared" si="0"/>
        <v>700</v>
      </c>
      <c r="E53">
        <f t="shared" si="1"/>
        <v>350</v>
      </c>
      <c r="F53">
        <f t="shared" si="2"/>
        <v>40.534999999999997</v>
      </c>
      <c r="G53">
        <f t="shared" si="3"/>
        <v>0.1694</v>
      </c>
      <c r="H53">
        <f t="shared" si="4"/>
        <v>177.87000000000003</v>
      </c>
      <c r="I53">
        <f t="shared" si="5"/>
        <v>508.20000000000005</v>
      </c>
      <c r="J53">
        <f t="shared" si="6"/>
        <v>363</v>
      </c>
      <c r="K53">
        <f t="shared" si="7"/>
        <v>127.05</v>
      </c>
      <c r="L53">
        <f t="shared" si="8"/>
        <v>9.7828499999999998</v>
      </c>
      <c r="M53">
        <f t="shared" si="9"/>
        <v>9.4016999999999999</v>
      </c>
      <c r="N53">
        <f t="shared" si="10"/>
        <v>7.4959500000000014</v>
      </c>
      <c r="O53">
        <f t="shared" si="11"/>
        <v>6.9055411764705887</v>
      </c>
      <c r="P53">
        <f t="shared" si="12"/>
        <v>3.3261339092872571</v>
      </c>
      <c r="Q53">
        <f t="shared" si="13"/>
        <v>46.2</v>
      </c>
      <c r="R53">
        <f t="shared" si="14"/>
        <v>605</v>
      </c>
      <c r="S53">
        <f t="shared" si="15"/>
        <v>303.70999999999998</v>
      </c>
      <c r="T53">
        <f t="shared" si="16"/>
        <v>59.29</v>
      </c>
      <c r="U53">
        <f>I53*E53/'[1]Inverter Analysis'!$L$2</f>
        <v>426.23052983880183</v>
      </c>
      <c r="V53">
        <f t="shared" si="17"/>
        <v>220.38567493112947</v>
      </c>
      <c r="W53">
        <f t="shared" si="18"/>
        <v>263.40917322445756</v>
      </c>
      <c r="X53">
        <f t="shared" si="19"/>
        <v>157.41833923652104</v>
      </c>
      <c r="Y53">
        <f t="shared" si="20"/>
        <v>0.48569074777154608</v>
      </c>
      <c r="Z53">
        <f t="shared" si="21"/>
        <v>4.1729228100373872</v>
      </c>
    </row>
    <row r="54" spans="1:26" hidden="1">
      <c r="A54">
        <v>10</v>
      </c>
      <c r="B54" s="9">
        <v>5</v>
      </c>
      <c r="C54" s="1">
        <v>11</v>
      </c>
      <c r="D54">
        <f t="shared" si="0"/>
        <v>700</v>
      </c>
      <c r="E54">
        <f t="shared" si="1"/>
        <v>350</v>
      </c>
      <c r="F54">
        <f t="shared" si="2"/>
        <v>36.85</v>
      </c>
      <c r="G54">
        <f t="shared" si="3"/>
        <v>0.154</v>
      </c>
      <c r="H54">
        <f t="shared" si="4"/>
        <v>161.69999999999999</v>
      </c>
      <c r="I54">
        <f t="shared" si="5"/>
        <v>462</v>
      </c>
      <c r="J54">
        <f t="shared" si="6"/>
        <v>330</v>
      </c>
      <c r="K54">
        <f t="shared" si="7"/>
        <v>115.5</v>
      </c>
      <c r="L54">
        <f t="shared" si="8"/>
        <v>8.8934999999999995</v>
      </c>
      <c r="M54">
        <f t="shared" si="9"/>
        <v>8.5470000000000006</v>
      </c>
      <c r="N54">
        <f t="shared" si="10"/>
        <v>6.8144999999999998</v>
      </c>
      <c r="O54">
        <f t="shared" si="11"/>
        <v>6.2777647058823529</v>
      </c>
      <c r="P54">
        <f t="shared" si="12"/>
        <v>3.0237580993520514</v>
      </c>
      <c r="Q54">
        <f t="shared" si="13"/>
        <v>42</v>
      </c>
      <c r="R54">
        <f t="shared" si="14"/>
        <v>550</v>
      </c>
      <c r="S54">
        <f t="shared" si="15"/>
        <v>276.10000000000002</v>
      </c>
      <c r="T54">
        <f t="shared" si="16"/>
        <v>53.9</v>
      </c>
      <c r="U54">
        <f>I54*E54/'[1]Inverter Analysis'!$L$2</f>
        <v>387.48229985345614</v>
      </c>
      <c r="V54">
        <f t="shared" si="17"/>
        <v>242.42424242424244</v>
      </c>
      <c r="W54">
        <f t="shared" si="18"/>
        <v>289.75009054690327</v>
      </c>
      <c r="X54">
        <f t="shared" si="19"/>
        <v>173.16017316017317</v>
      </c>
      <c r="Y54">
        <f t="shared" si="20"/>
        <v>0.58768580480357047</v>
      </c>
      <c r="Z54">
        <f t="shared" si="21"/>
        <v>3.1351786702008937</v>
      </c>
    </row>
    <row r="55" spans="1:26" hidden="1">
      <c r="A55">
        <v>16</v>
      </c>
      <c r="B55">
        <v>4</v>
      </c>
      <c r="C55" s="1">
        <v>11</v>
      </c>
      <c r="D55">
        <f t="shared" si="0"/>
        <v>560</v>
      </c>
      <c r="E55">
        <f t="shared" si="1"/>
        <v>280</v>
      </c>
      <c r="F55">
        <f t="shared" si="2"/>
        <v>47.167999999999999</v>
      </c>
      <c r="G55">
        <f t="shared" si="3"/>
        <v>0.308</v>
      </c>
      <c r="H55">
        <f t="shared" si="4"/>
        <v>206.976</v>
      </c>
      <c r="I55">
        <f t="shared" si="5"/>
        <v>739.2</v>
      </c>
      <c r="J55">
        <f t="shared" si="6"/>
        <v>528</v>
      </c>
      <c r="K55">
        <f t="shared" si="7"/>
        <v>147.84</v>
      </c>
      <c r="L55">
        <f t="shared" si="8"/>
        <v>11.38368</v>
      </c>
      <c r="M55">
        <f t="shared" si="9"/>
        <v>10.940160000000002</v>
      </c>
      <c r="N55">
        <f t="shared" si="10"/>
        <v>8.7225600000000014</v>
      </c>
      <c r="O55">
        <f t="shared" si="11"/>
        <v>8.0355388235294125</v>
      </c>
      <c r="P55">
        <f t="shared" si="12"/>
        <v>3.8704103671706265</v>
      </c>
      <c r="Q55">
        <f t="shared" si="13"/>
        <v>67.2</v>
      </c>
      <c r="R55">
        <f t="shared" si="14"/>
        <v>704</v>
      </c>
      <c r="S55">
        <f t="shared" si="15"/>
        <v>441.76</v>
      </c>
      <c r="T55">
        <f t="shared" si="16"/>
        <v>86.24</v>
      </c>
      <c r="U55">
        <f>I55*E55/'[1]Inverter Analysis'!$L$2</f>
        <v>495.9773438124239</v>
      </c>
      <c r="V55">
        <f t="shared" si="17"/>
        <v>151.5151515151515</v>
      </c>
      <c r="W55">
        <f t="shared" si="18"/>
        <v>181.09380659181457</v>
      </c>
      <c r="X55">
        <f t="shared" si="19"/>
        <v>108.22510822510822</v>
      </c>
      <c r="Y55">
        <f t="shared" si="20"/>
        <v>0.22956476750139482</v>
      </c>
      <c r="Z55">
        <f t="shared" si="21"/>
        <v>10.273353466514283</v>
      </c>
    </row>
    <row r="56" spans="1:26" hidden="1">
      <c r="A56">
        <v>15</v>
      </c>
      <c r="B56">
        <v>4</v>
      </c>
      <c r="C56" s="1">
        <v>11</v>
      </c>
      <c r="D56">
        <f t="shared" si="0"/>
        <v>560</v>
      </c>
      <c r="E56">
        <f t="shared" si="1"/>
        <v>280</v>
      </c>
      <c r="F56">
        <f t="shared" si="2"/>
        <v>44.22</v>
      </c>
      <c r="G56">
        <f t="shared" si="3"/>
        <v>0.28875000000000001</v>
      </c>
      <c r="H56">
        <f t="shared" si="4"/>
        <v>194.04</v>
      </c>
      <c r="I56">
        <f t="shared" si="5"/>
        <v>693</v>
      </c>
      <c r="J56">
        <f t="shared" si="6"/>
        <v>495</v>
      </c>
      <c r="K56">
        <f t="shared" si="7"/>
        <v>138.6</v>
      </c>
      <c r="L56">
        <f t="shared" si="8"/>
        <v>10.6722</v>
      </c>
      <c r="M56">
        <f t="shared" si="9"/>
        <v>10.256399999999999</v>
      </c>
      <c r="N56">
        <f t="shared" si="10"/>
        <v>8.1774000000000004</v>
      </c>
      <c r="O56">
        <f t="shared" si="11"/>
        <v>7.5333176470588237</v>
      </c>
      <c r="P56">
        <f t="shared" si="12"/>
        <v>3.6285097192224622</v>
      </c>
      <c r="Q56">
        <f t="shared" si="13"/>
        <v>63</v>
      </c>
      <c r="R56">
        <f t="shared" si="14"/>
        <v>660</v>
      </c>
      <c r="S56">
        <f t="shared" si="15"/>
        <v>414.15</v>
      </c>
      <c r="T56">
        <f t="shared" si="16"/>
        <v>80.850000000000009</v>
      </c>
      <c r="U56">
        <f>I56*E56/'[1]Inverter Analysis'!$L$2</f>
        <v>464.9787598241474</v>
      </c>
      <c r="V56">
        <f t="shared" si="17"/>
        <v>161.61616161616161</v>
      </c>
      <c r="W56">
        <f t="shared" si="18"/>
        <v>193.16672703126886</v>
      </c>
      <c r="X56">
        <f t="shared" si="19"/>
        <v>115.44011544011543</v>
      </c>
      <c r="Y56">
        <f t="shared" si="20"/>
        <v>0.26119369102380913</v>
      </c>
      <c r="Z56">
        <f t="shared" si="21"/>
        <v>8.4649824095424115</v>
      </c>
    </row>
    <row r="57" spans="1:26" hidden="1">
      <c r="A57">
        <v>14</v>
      </c>
      <c r="B57">
        <v>4</v>
      </c>
      <c r="C57" s="1">
        <v>11</v>
      </c>
      <c r="D57">
        <f t="shared" si="0"/>
        <v>560</v>
      </c>
      <c r="E57">
        <f t="shared" si="1"/>
        <v>280</v>
      </c>
      <c r="F57">
        <f t="shared" si="2"/>
        <v>41.271999999999998</v>
      </c>
      <c r="G57">
        <f t="shared" si="3"/>
        <v>0.26950000000000002</v>
      </c>
      <c r="H57">
        <f t="shared" si="4"/>
        <v>181.10400000000004</v>
      </c>
      <c r="I57">
        <f t="shared" si="5"/>
        <v>646.80000000000007</v>
      </c>
      <c r="J57">
        <f t="shared" si="6"/>
        <v>462</v>
      </c>
      <c r="K57">
        <f t="shared" si="7"/>
        <v>129.36000000000001</v>
      </c>
      <c r="L57">
        <f t="shared" si="8"/>
        <v>9.960720000000002</v>
      </c>
      <c r="M57">
        <f t="shared" si="9"/>
        <v>9.5726400000000016</v>
      </c>
      <c r="N57">
        <f t="shared" si="10"/>
        <v>7.6322400000000012</v>
      </c>
      <c r="O57">
        <f t="shared" si="11"/>
        <v>7.0310964705882375</v>
      </c>
      <c r="P57">
        <f t="shared" si="12"/>
        <v>3.3866090712742984</v>
      </c>
      <c r="Q57">
        <f t="shared" si="13"/>
        <v>58.800000000000004</v>
      </c>
      <c r="R57">
        <f t="shared" si="14"/>
        <v>616</v>
      </c>
      <c r="S57">
        <f t="shared" si="15"/>
        <v>386.53999999999996</v>
      </c>
      <c r="T57">
        <f t="shared" si="16"/>
        <v>75.460000000000008</v>
      </c>
      <c r="U57">
        <f>I57*E57/'[1]Inverter Analysis'!$L$2</f>
        <v>433.98017583587097</v>
      </c>
      <c r="V57">
        <f t="shared" si="17"/>
        <v>173.16017316017317</v>
      </c>
      <c r="W57">
        <f t="shared" si="18"/>
        <v>206.96435039064522</v>
      </c>
      <c r="X57">
        <f t="shared" si="19"/>
        <v>123.68583797155225</v>
      </c>
      <c r="Y57">
        <f t="shared" si="20"/>
        <v>0.29983969632835239</v>
      </c>
      <c r="Z57">
        <f t="shared" si="21"/>
        <v>6.8823442168249995</v>
      </c>
    </row>
    <row r="58" spans="1:26" hidden="1">
      <c r="A58">
        <v>13</v>
      </c>
      <c r="B58">
        <v>4</v>
      </c>
      <c r="C58" s="1">
        <v>11</v>
      </c>
      <c r="D58">
        <f t="shared" si="0"/>
        <v>560</v>
      </c>
      <c r="E58">
        <f t="shared" si="1"/>
        <v>280</v>
      </c>
      <c r="F58">
        <f t="shared" si="2"/>
        <v>38.323999999999998</v>
      </c>
      <c r="G58">
        <f t="shared" si="3"/>
        <v>0.25024999999999997</v>
      </c>
      <c r="H58">
        <f t="shared" si="4"/>
        <v>168.16800000000001</v>
      </c>
      <c r="I58">
        <f t="shared" si="5"/>
        <v>600.6</v>
      </c>
      <c r="J58">
        <f t="shared" si="6"/>
        <v>429</v>
      </c>
      <c r="K58">
        <f t="shared" si="7"/>
        <v>120.12</v>
      </c>
      <c r="L58">
        <f t="shared" si="8"/>
        <v>9.2492400000000004</v>
      </c>
      <c r="M58">
        <f t="shared" si="9"/>
        <v>8.8888800000000003</v>
      </c>
      <c r="N58">
        <f t="shared" si="10"/>
        <v>7.0870800000000012</v>
      </c>
      <c r="O58">
        <f t="shared" si="11"/>
        <v>6.5288752941176478</v>
      </c>
      <c r="P58">
        <f t="shared" si="12"/>
        <v>3.1447084233261338</v>
      </c>
      <c r="Q58">
        <f t="shared" si="13"/>
        <v>54.6</v>
      </c>
      <c r="R58">
        <f t="shared" si="14"/>
        <v>572</v>
      </c>
      <c r="S58">
        <f t="shared" si="15"/>
        <v>358.93</v>
      </c>
      <c r="T58">
        <f t="shared" si="16"/>
        <v>70.069999999999993</v>
      </c>
      <c r="U58">
        <f>I58*E58/'[1]Inverter Analysis'!$L$2</f>
        <v>402.98159184759442</v>
      </c>
      <c r="V58">
        <f t="shared" si="17"/>
        <v>186.48018648018649</v>
      </c>
      <c r="W58">
        <f t="shared" si="18"/>
        <v>222.88468503607945</v>
      </c>
      <c r="X58">
        <f t="shared" si="19"/>
        <v>133.20013320013319</v>
      </c>
      <c r="Y58">
        <f t="shared" si="20"/>
        <v>0.3477430797654264</v>
      </c>
      <c r="Z58">
        <f t="shared" si="21"/>
        <v>5.5103900307450893</v>
      </c>
    </row>
    <row r="59" spans="1:26" hidden="1">
      <c r="A59">
        <v>12</v>
      </c>
      <c r="B59">
        <v>4</v>
      </c>
      <c r="C59" s="1">
        <v>11</v>
      </c>
      <c r="D59">
        <f t="shared" si="0"/>
        <v>560</v>
      </c>
      <c r="E59">
        <f t="shared" si="1"/>
        <v>280</v>
      </c>
      <c r="F59">
        <f t="shared" si="2"/>
        <v>35.375999999999998</v>
      </c>
      <c r="G59">
        <f t="shared" si="3"/>
        <v>0.23100000000000001</v>
      </c>
      <c r="H59">
        <f t="shared" si="4"/>
        <v>155.232</v>
      </c>
      <c r="I59">
        <f t="shared" si="5"/>
        <v>554.4</v>
      </c>
      <c r="J59">
        <f t="shared" si="6"/>
        <v>396</v>
      </c>
      <c r="K59">
        <f t="shared" si="7"/>
        <v>110.88</v>
      </c>
      <c r="L59">
        <f t="shared" si="8"/>
        <v>8.5377600000000005</v>
      </c>
      <c r="M59">
        <f t="shared" si="9"/>
        <v>8.2051200000000009</v>
      </c>
      <c r="N59">
        <f t="shared" si="10"/>
        <v>6.5419200000000002</v>
      </c>
      <c r="O59">
        <f t="shared" si="11"/>
        <v>6.0266541176470598</v>
      </c>
      <c r="P59">
        <f t="shared" si="12"/>
        <v>2.9028077753779695</v>
      </c>
      <c r="Q59">
        <f t="shared" si="13"/>
        <v>50.4</v>
      </c>
      <c r="R59">
        <f t="shared" si="14"/>
        <v>528</v>
      </c>
      <c r="S59">
        <f t="shared" si="15"/>
        <v>331.32</v>
      </c>
      <c r="T59">
        <f t="shared" si="16"/>
        <v>64.680000000000007</v>
      </c>
      <c r="U59">
        <f>I59*E59/'[1]Inverter Analysis'!$L$2</f>
        <v>371.98300785931792</v>
      </c>
      <c r="V59">
        <f t="shared" si="17"/>
        <v>202.02020202020202</v>
      </c>
      <c r="W59">
        <f t="shared" si="18"/>
        <v>241.45840878908609</v>
      </c>
      <c r="X59">
        <f t="shared" si="19"/>
        <v>144.3001443001443</v>
      </c>
      <c r="Y59">
        <f t="shared" si="20"/>
        <v>0.40811514222470185</v>
      </c>
      <c r="Z59">
        <f t="shared" si="21"/>
        <v>4.3340709936857138</v>
      </c>
    </row>
    <row r="60" spans="1:26" hidden="1">
      <c r="A60">
        <v>11</v>
      </c>
      <c r="B60">
        <v>4</v>
      </c>
      <c r="C60" s="1">
        <v>11</v>
      </c>
      <c r="D60">
        <f t="shared" si="0"/>
        <v>560</v>
      </c>
      <c r="E60">
        <f t="shared" si="1"/>
        <v>280</v>
      </c>
      <c r="F60">
        <f t="shared" si="2"/>
        <v>32.427999999999997</v>
      </c>
      <c r="G60">
        <f t="shared" si="3"/>
        <v>0.21174999999999999</v>
      </c>
      <c r="H60">
        <f t="shared" si="4"/>
        <v>142.29599999999999</v>
      </c>
      <c r="I60">
        <f t="shared" si="5"/>
        <v>508.20000000000005</v>
      </c>
      <c r="J60">
        <f t="shared" si="6"/>
        <v>363</v>
      </c>
      <c r="K60">
        <f t="shared" si="7"/>
        <v>101.64</v>
      </c>
      <c r="L60">
        <f t="shared" si="8"/>
        <v>7.8262800000000006</v>
      </c>
      <c r="M60">
        <f t="shared" si="9"/>
        <v>7.5213600000000005</v>
      </c>
      <c r="N60">
        <f t="shared" si="10"/>
        <v>5.996760000000001</v>
      </c>
      <c r="O60">
        <f t="shared" si="11"/>
        <v>5.524432941176471</v>
      </c>
      <c r="P60">
        <f t="shared" si="12"/>
        <v>2.6609071274298057</v>
      </c>
      <c r="Q60">
        <f t="shared" si="13"/>
        <v>46.2</v>
      </c>
      <c r="R60">
        <f t="shared" si="14"/>
        <v>484</v>
      </c>
      <c r="S60">
        <f t="shared" si="15"/>
        <v>303.70999999999998</v>
      </c>
      <c r="T60">
        <f t="shared" si="16"/>
        <v>59.29</v>
      </c>
      <c r="U60">
        <f>I60*E60/'[1]Inverter Analysis'!$L$2</f>
        <v>340.98442387104143</v>
      </c>
      <c r="V60">
        <f t="shared" si="17"/>
        <v>220.38567493112947</v>
      </c>
      <c r="W60">
        <f t="shared" si="18"/>
        <v>263.40917322445756</v>
      </c>
      <c r="X60">
        <f t="shared" si="19"/>
        <v>157.41833923652104</v>
      </c>
      <c r="Y60">
        <f t="shared" si="20"/>
        <v>0.48569074777154608</v>
      </c>
      <c r="Z60">
        <f t="shared" si="21"/>
        <v>3.3383382480299097</v>
      </c>
    </row>
    <row r="61" spans="1:26" hidden="1">
      <c r="A61">
        <v>10</v>
      </c>
      <c r="B61">
        <v>4</v>
      </c>
      <c r="C61" s="1">
        <v>11</v>
      </c>
      <c r="D61">
        <f t="shared" si="0"/>
        <v>560</v>
      </c>
      <c r="E61">
        <f t="shared" si="1"/>
        <v>280</v>
      </c>
      <c r="F61">
        <f t="shared" si="2"/>
        <v>29.48</v>
      </c>
      <c r="G61">
        <f t="shared" si="3"/>
        <v>0.1925</v>
      </c>
      <c r="H61">
        <f t="shared" si="4"/>
        <v>129.36000000000001</v>
      </c>
      <c r="I61">
        <f t="shared" si="5"/>
        <v>462</v>
      </c>
      <c r="J61">
        <f t="shared" si="6"/>
        <v>330</v>
      </c>
      <c r="K61">
        <f t="shared" si="7"/>
        <v>92.4</v>
      </c>
      <c r="L61">
        <f t="shared" si="8"/>
        <v>7.1147999999999998</v>
      </c>
      <c r="M61">
        <f t="shared" si="9"/>
        <v>6.8376000000000001</v>
      </c>
      <c r="N61">
        <f t="shared" si="10"/>
        <v>5.4516</v>
      </c>
      <c r="O61">
        <f t="shared" si="11"/>
        <v>5.0222117647058822</v>
      </c>
      <c r="P61">
        <f t="shared" si="12"/>
        <v>2.4190064794816415</v>
      </c>
      <c r="Q61">
        <f t="shared" si="13"/>
        <v>42</v>
      </c>
      <c r="R61">
        <f t="shared" si="14"/>
        <v>440</v>
      </c>
      <c r="S61">
        <f t="shared" si="15"/>
        <v>276.10000000000002</v>
      </c>
      <c r="T61">
        <f t="shared" si="16"/>
        <v>53.9</v>
      </c>
      <c r="U61">
        <f>I61*E61/'[1]Inverter Analysis'!$L$2</f>
        <v>309.98583988276494</v>
      </c>
      <c r="V61">
        <f t="shared" si="17"/>
        <v>242.42424242424244</v>
      </c>
      <c r="W61">
        <f t="shared" si="18"/>
        <v>289.75009054690327</v>
      </c>
      <c r="X61">
        <f t="shared" si="19"/>
        <v>173.16017316017317</v>
      </c>
      <c r="Y61">
        <f t="shared" si="20"/>
        <v>0.58768580480357047</v>
      </c>
      <c r="Z61">
        <f t="shared" si="21"/>
        <v>2.508142936160715</v>
      </c>
    </row>
    <row r="62" spans="1:26" hidden="1">
      <c r="A62">
        <v>16</v>
      </c>
      <c r="B62">
        <v>3</v>
      </c>
      <c r="C62" s="1">
        <v>11</v>
      </c>
      <c r="D62">
        <f t="shared" si="0"/>
        <v>420</v>
      </c>
      <c r="E62">
        <f t="shared" si="1"/>
        <v>210</v>
      </c>
      <c r="F62">
        <f t="shared" si="2"/>
        <v>35.375999999999998</v>
      </c>
      <c r="G62">
        <f t="shared" si="3"/>
        <v>0.41066666666666668</v>
      </c>
      <c r="H62">
        <f t="shared" si="4"/>
        <v>155.232</v>
      </c>
      <c r="I62">
        <f t="shared" si="5"/>
        <v>739.2</v>
      </c>
      <c r="J62">
        <f t="shared" si="6"/>
        <v>528</v>
      </c>
      <c r="K62">
        <f t="shared" si="7"/>
        <v>110.88</v>
      </c>
      <c r="L62">
        <f t="shared" si="8"/>
        <v>8.5377600000000005</v>
      </c>
      <c r="M62">
        <f t="shared" si="9"/>
        <v>8.2051200000000009</v>
      </c>
      <c r="N62">
        <f t="shared" si="10"/>
        <v>6.5419200000000011</v>
      </c>
      <c r="O62">
        <f t="shared" si="11"/>
        <v>6.0266541176470598</v>
      </c>
      <c r="P62">
        <f t="shared" si="12"/>
        <v>2.90280777537797</v>
      </c>
      <c r="Q62">
        <f t="shared" si="13"/>
        <v>67.2</v>
      </c>
      <c r="R62">
        <f t="shared" si="14"/>
        <v>528</v>
      </c>
      <c r="S62">
        <f t="shared" si="15"/>
        <v>441.76</v>
      </c>
      <c r="T62">
        <f t="shared" si="16"/>
        <v>86.240000000000009</v>
      </c>
      <c r="U62">
        <f>I62*E62/'[1]Inverter Analysis'!$L$2</f>
        <v>371.98300785931792</v>
      </c>
      <c r="V62">
        <f t="shared" si="17"/>
        <v>151.5151515151515</v>
      </c>
      <c r="W62">
        <f t="shared" si="18"/>
        <v>181.09380659181457</v>
      </c>
      <c r="X62">
        <f t="shared" si="19"/>
        <v>108.22510822510822</v>
      </c>
      <c r="Y62">
        <f t="shared" si="20"/>
        <v>0.22956476750139482</v>
      </c>
      <c r="Z62">
        <f t="shared" si="21"/>
        <v>7.7050150998857125</v>
      </c>
    </row>
    <row r="63" spans="1:26" hidden="1">
      <c r="A63">
        <v>15</v>
      </c>
      <c r="B63">
        <v>3</v>
      </c>
      <c r="C63" s="1">
        <v>11</v>
      </c>
      <c r="D63">
        <f t="shared" si="0"/>
        <v>420</v>
      </c>
      <c r="E63">
        <f t="shared" si="1"/>
        <v>210</v>
      </c>
      <c r="F63">
        <f t="shared" si="2"/>
        <v>33.164999999999999</v>
      </c>
      <c r="G63">
        <f t="shared" si="3"/>
        <v>0.38500000000000001</v>
      </c>
      <c r="H63">
        <f t="shared" si="4"/>
        <v>145.53</v>
      </c>
      <c r="I63">
        <f t="shared" si="5"/>
        <v>693</v>
      </c>
      <c r="J63">
        <f t="shared" si="6"/>
        <v>495</v>
      </c>
      <c r="K63">
        <f t="shared" si="7"/>
        <v>103.95</v>
      </c>
      <c r="L63">
        <f t="shared" si="8"/>
        <v>8.004150000000001</v>
      </c>
      <c r="M63">
        <f t="shared" si="9"/>
        <v>7.6922999999999995</v>
      </c>
      <c r="N63">
        <f t="shared" si="10"/>
        <v>6.1330499999999999</v>
      </c>
      <c r="O63">
        <f t="shared" si="11"/>
        <v>5.6499882352941189</v>
      </c>
      <c r="P63">
        <f t="shared" si="12"/>
        <v>2.7213822894168462</v>
      </c>
      <c r="Q63">
        <f t="shared" si="13"/>
        <v>63</v>
      </c>
      <c r="R63">
        <f t="shared" si="14"/>
        <v>495</v>
      </c>
      <c r="S63">
        <f t="shared" si="15"/>
        <v>414.15</v>
      </c>
      <c r="T63">
        <f t="shared" si="16"/>
        <v>80.850000000000009</v>
      </c>
      <c r="U63">
        <f>I63*E63/'[1]Inverter Analysis'!$L$2</f>
        <v>348.73406986811051</v>
      </c>
      <c r="V63">
        <f t="shared" si="17"/>
        <v>161.61616161616161</v>
      </c>
      <c r="W63">
        <f t="shared" si="18"/>
        <v>193.16672703126886</v>
      </c>
      <c r="X63">
        <f t="shared" si="19"/>
        <v>115.44011544011543</v>
      </c>
      <c r="Y63">
        <f t="shared" si="20"/>
        <v>0.26119369102380913</v>
      </c>
      <c r="Z63">
        <f t="shared" si="21"/>
        <v>6.3487368071568078</v>
      </c>
    </row>
    <row r="64" spans="1:26" hidden="1">
      <c r="A64">
        <v>14</v>
      </c>
      <c r="B64">
        <v>3</v>
      </c>
      <c r="C64" s="1">
        <v>11</v>
      </c>
      <c r="D64">
        <f t="shared" si="0"/>
        <v>420</v>
      </c>
      <c r="E64">
        <f t="shared" si="1"/>
        <v>210</v>
      </c>
      <c r="F64">
        <f t="shared" si="2"/>
        <v>30.954000000000001</v>
      </c>
      <c r="G64">
        <f t="shared" si="3"/>
        <v>0.35933333333333339</v>
      </c>
      <c r="H64">
        <f t="shared" si="4"/>
        <v>135.828</v>
      </c>
      <c r="I64">
        <f t="shared" si="5"/>
        <v>646.80000000000007</v>
      </c>
      <c r="J64">
        <f t="shared" si="6"/>
        <v>462</v>
      </c>
      <c r="K64">
        <f t="shared" si="7"/>
        <v>97.02</v>
      </c>
      <c r="L64">
        <f t="shared" si="8"/>
        <v>7.4705400000000006</v>
      </c>
      <c r="M64">
        <f t="shared" si="9"/>
        <v>7.1794800000000016</v>
      </c>
      <c r="N64">
        <f t="shared" si="10"/>
        <v>5.7241800000000014</v>
      </c>
      <c r="O64">
        <f t="shared" si="11"/>
        <v>5.273322352941177</v>
      </c>
      <c r="P64">
        <f t="shared" si="12"/>
        <v>2.5399568034557238</v>
      </c>
      <c r="Q64">
        <f t="shared" si="13"/>
        <v>58.800000000000004</v>
      </c>
      <c r="R64">
        <f t="shared" si="14"/>
        <v>462</v>
      </c>
      <c r="S64">
        <f t="shared" si="15"/>
        <v>386.53999999999996</v>
      </c>
      <c r="T64">
        <f t="shared" si="16"/>
        <v>75.460000000000008</v>
      </c>
      <c r="U64">
        <f>I64*E64/'[1]Inverter Analysis'!$L$2</f>
        <v>325.48513187690315</v>
      </c>
      <c r="V64">
        <f t="shared" si="17"/>
        <v>173.16017316017317</v>
      </c>
      <c r="W64">
        <f t="shared" si="18"/>
        <v>206.96435039064522</v>
      </c>
      <c r="X64">
        <f t="shared" si="19"/>
        <v>123.68583797155225</v>
      </c>
      <c r="Y64">
        <f t="shared" si="20"/>
        <v>0.29983969632835239</v>
      </c>
      <c r="Z64">
        <f t="shared" si="21"/>
        <v>5.1617581626187503</v>
      </c>
    </row>
    <row r="65" spans="1:26" hidden="1">
      <c r="A65">
        <v>13</v>
      </c>
      <c r="B65">
        <v>3</v>
      </c>
      <c r="C65" s="1">
        <v>11</v>
      </c>
      <c r="D65">
        <f t="shared" si="0"/>
        <v>420</v>
      </c>
      <c r="E65">
        <f t="shared" si="1"/>
        <v>210</v>
      </c>
      <c r="F65">
        <f t="shared" si="2"/>
        <v>28.742999999999999</v>
      </c>
      <c r="G65">
        <f t="shared" si="3"/>
        <v>0.33366666666666672</v>
      </c>
      <c r="H65">
        <f t="shared" si="4"/>
        <v>126.126</v>
      </c>
      <c r="I65">
        <f t="shared" si="5"/>
        <v>600.6</v>
      </c>
      <c r="J65">
        <f t="shared" si="6"/>
        <v>429</v>
      </c>
      <c r="K65">
        <f t="shared" si="7"/>
        <v>90.09</v>
      </c>
      <c r="L65">
        <f t="shared" si="8"/>
        <v>6.9369300000000003</v>
      </c>
      <c r="M65">
        <f t="shared" si="9"/>
        <v>6.6666600000000011</v>
      </c>
      <c r="N65">
        <f t="shared" si="10"/>
        <v>5.3153100000000002</v>
      </c>
      <c r="O65">
        <f t="shared" si="11"/>
        <v>4.8966564705882361</v>
      </c>
      <c r="P65">
        <f t="shared" si="12"/>
        <v>2.3585313174946005</v>
      </c>
      <c r="Q65">
        <f t="shared" si="13"/>
        <v>54.6</v>
      </c>
      <c r="R65">
        <f t="shared" si="14"/>
        <v>429</v>
      </c>
      <c r="S65">
        <f t="shared" si="15"/>
        <v>358.93</v>
      </c>
      <c r="T65">
        <f t="shared" si="16"/>
        <v>70.070000000000007</v>
      </c>
      <c r="U65">
        <f>I65*E65/'[1]Inverter Analysis'!$L$2</f>
        <v>302.2361938856958</v>
      </c>
      <c r="V65">
        <f t="shared" si="17"/>
        <v>186.48018648018649</v>
      </c>
      <c r="W65">
        <f t="shared" si="18"/>
        <v>222.88468503607945</v>
      </c>
      <c r="X65">
        <f t="shared" si="19"/>
        <v>133.20013320013319</v>
      </c>
      <c r="Y65">
        <f t="shared" si="20"/>
        <v>0.3477430797654264</v>
      </c>
      <c r="Z65">
        <f t="shared" si="21"/>
        <v>4.1327925230588169</v>
      </c>
    </row>
    <row r="66" spans="1:26" hidden="1">
      <c r="A66">
        <v>12</v>
      </c>
      <c r="B66">
        <v>3</v>
      </c>
      <c r="C66" s="1">
        <v>11</v>
      </c>
      <c r="D66">
        <f t="shared" si="0"/>
        <v>420</v>
      </c>
      <c r="E66">
        <f t="shared" si="1"/>
        <v>210</v>
      </c>
      <c r="F66">
        <f t="shared" si="2"/>
        <v>26.532</v>
      </c>
      <c r="G66">
        <f t="shared" si="3"/>
        <v>0.30800000000000005</v>
      </c>
      <c r="H66">
        <f t="shared" si="4"/>
        <v>116.42400000000001</v>
      </c>
      <c r="I66">
        <f t="shared" si="5"/>
        <v>554.4</v>
      </c>
      <c r="J66">
        <f t="shared" si="6"/>
        <v>396</v>
      </c>
      <c r="K66">
        <f t="shared" si="7"/>
        <v>83.16</v>
      </c>
      <c r="L66">
        <f t="shared" si="8"/>
        <v>6.4033199999999999</v>
      </c>
      <c r="M66">
        <f t="shared" si="9"/>
        <v>6.1538399999999998</v>
      </c>
      <c r="N66">
        <f t="shared" si="10"/>
        <v>4.9064400000000008</v>
      </c>
      <c r="O66">
        <f t="shared" si="11"/>
        <v>4.5199905882352942</v>
      </c>
      <c r="P66">
        <f t="shared" si="12"/>
        <v>2.1771058315334773</v>
      </c>
      <c r="Q66">
        <f t="shared" si="13"/>
        <v>50.4</v>
      </c>
      <c r="R66">
        <f t="shared" si="14"/>
        <v>396</v>
      </c>
      <c r="S66">
        <f t="shared" si="15"/>
        <v>331.32</v>
      </c>
      <c r="T66">
        <f t="shared" si="16"/>
        <v>64.680000000000007</v>
      </c>
      <c r="U66">
        <f>I66*E66/'[1]Inverter Analysis'!$L$2</f>
        <v>278.98725589448844</v>
      </c>
      <c r="V66">
        <f t="shared" si="17"/>
        <v>202.02020202020202</v>
      </c>
      <c r="W66">
        <f t="shared" si="18"/>
        <v>241.45840878908609</v>
      </c>
      <c r="X66">
        <f t="shared" si="19"/>
        <v>144.3001443001443</v>
      </c>
      <c r="Y66">
        <f t="shared" si="20"/>
        <v>0.40811514222470185</v>
      </c>
      <c r="Z66">
        <f t="shared" si="21"/>
        <v>3.2505532452642854</v>
      </c>
    </row>
    <row r="67" spans="1:26" hidden="1">
      <c r="A67">
        <v>11</v>
      </c>
      <c r="B67">
        <v>3</v>
      </c>
      <c r="C67" s="1">
        <v>11</v>
      </c>
      <c r="D67">
        <f t="shared" si="0"/>
        <v>420</v>
      </c>
      <c r="E67">
        <f t="shared" si="1"/>
        <v>210</v>
      </c>
      <c r="F67">
        <f t="shared" si="2"/>
        <v>24.321000000000002</v>
      </c>
      <c r="G67">
        <f t="shared" si="3"/>
        <v>0.28233333333333333</v>
      </c>
      <c r="H67">
        <f t="shared" si="4"/>
        <v>106.72200000000001</v>
      </c>
      <c r="I67">
        <f t="shared" si="5"/>
        <v>508.20000000000005</v>
      </c>
      <c r="J67">
        <f t="shared" si="6"/>
        <v>363</v>
      </c>
      <c r="K67">
        <f t="shared" si="7"/>
        <v>76.23</v>
      </c>
      <c r="L67">
        <f t="shared" si="8"/>
        <v>5.8697100000000013</v>
      </c>
      <c r="M67">
        <f t="shared" si="9"/>
        <v>5.6410200000000001</v>
      </c>
      <c r="N67">
        <f t="shared" si="10"/>
        <v>4.4975700000000005</v>
      </c>
      <c r="O67">
        <f t="shared" si="11"/>
        <v>4.1433247058823541</v>
      </c>
      <c r="P67">
        <f t="shared" si="12"/>
        <v>1.9956803455723544</v>
      </c>
      <c r="Q67">
        <f t="shared" si="13"/>
        <v>46.2</v>
      </c>
      <c r="R67">
        <f t="shared" si="14"/>
        <v>363</v>
      </c>
      <c r="S67">
        <f t="shared" si="15"/>
        <v>303.70999999999998</v>
      </c>
      <c r="T67">
        <f t="shared" si="16"/>
        <v>59.29</v>
      </c>
      <c r="U67">
        <f>I67*E67/'[1]Inverter Analysis'!$L$2</f>
        <v>255.73831790328109</v>
      </c>
      <c r="V67">
        <f t="shared" si="17"/>
        <v>220.38567493112947</v>
      </c>
      <c r="W67">
        <f t="shared" si="18"/>
        <v>263.40917322445756</v>
      </c>
      <c r="X67">
        <f t="shared" si="19"/>
        <v>157.41833923652104</v>
      </c>
      <c r="Y67">
        <f t="shared" si="20"/>
        <v>0.48569074777154608</v>
      </c>
      <c r="Z67">
        <f t="shared" si="21"/>
        <v>2.5037536860224323</v>
      </c>
    </row>
    <row r="68" spans="1:26" hidden="1">
      <c r="A68">
        <v>10</v>
      </c>
      <c r="B68">
        <v>3</v>
      </c>
      <c r="C68" s="1">
        <v>11</v>
      </c>
      <c r="D68">
        <f t="shared" si="0"/>
        <v>420</v>
      </c>
      <c r="E68">
        <f t="shared" si="1"/>
        <v>210</v>
      </c>
      <c r="F68">
        <f t="shared" si="2"/>
        <v>22.11</v>
      </c>
      <c r="G68">
        <f t="shared" si="3"/>
        <v>0.25666666666666665</v>
      </c>
      <c r="H68">
        <f t="shared" si="4"/>
        <v>97.02</v>
      </c>
      <c r="I68">
        <f t="shared" si="5"/>
        <v>462</v>
      </c>
      <c r="J68">
        <f t="shared" si="6"/>
        <v>330</v>
      </c>
      <c r="K68">
        <f t="shared" si="7"/>
        <v>69.3</v>
      </c>
      <c r="L68">
        <f t="shared" si="8"/>
        <v>5.3361000000000001</v>
      </c>
      <c r="M68">
        <f t="shared" si="9"/>
        <v>5.1282000000000005</v>
      </c>
      <c r="N68">
        <f t="shared" si="10"/>
        <v>4.0887000000000002</v>
      </c>
      <c r="O68">
        <f t="shared" si="11"/>
        <v>3.7666588235294118</v>
      </c>
      <c r="P68">
        <f t="shared" si="12"/>
        <v>1.8142548596112311</v>
      </c>
      <c r="Q68">
        <f t="shared" si="13"/>
        <v>42</v>
      </c>
      <c r="R68">
        <f t="shared" si="14"/>
        <v>330</v>
      </c>
      <c r="S68">
        <f t="shared" si="15"/>
        <v>276.10000000000002</v>
      </c>
      <c r="T68">
        <f t="shared" si="16"/>
        <v>53.9</v>
      </c>
      <c r="U68">
        <f>I68*E68/'[1]Inverter Analysis'!$L$2</f>
        <v>232.4893799120737</v>
      </c>
      <c r="V68">
        <f t="shared" si="17"/>
        <v>242.42424242424244</v>
      </c>
      <c r="W68">
        <f t="shared" si="18"/>
        <v>289.75009054690327</v>
      </c>
      <c r="X68">
        <f t="shared" si="19"/>
        <v>173.16017316017317</v>
      </c>
      <c r="Y68">
        <f t="shared" si="20"/>
        <v>0.58768580480357047</v>
      </c>
      <c r="Z68">
        <f t="shared" si="21"/>
        <v>1.8811072021205359</v>
      </c>
    </row>
    <row r="69" spans="1:26" hidden="1">
      <c r="A69">
        <v>16</v>
      </c>
      <c r="B69">
        <v>2</v>
      </c>
      <c r="C69" s="1">
        <v>11</v>
      </c>
      <c r="D69">
        <f t="shared" si="0"/>
        <v>280</v>
      </c>
      <c r="E69">
        <f t="shared" si="1"/>
        <v>140</v>
      </c>
      <c r="F69">
        <f t="shared" si="2"/>
        <v>23.584</v>
      </c>
      <c r="G69">
        <f t="shared" si="3"/>
        <v>0.61599999999999999</v>
      </c>
      <c r="H69">
        <f t="shared" si="4"/>
        <v>103.488</v>
      </c>
      <c r="I69">
        <f t="shared" si="5"/>
        <v>739.2</v>
      </c>
      <c r="J69">
        <f t="shared" si="6"/>
        <v>528</v>
      </c>
      <c r="K69">
        <f t="shared" si="7"/>
        <v>73.92</v>
      </c>
      <c r="L69">
        <f t="shared" si="8"/>
        <v>5.69184</v>
      </c>
      <c r="M69">
        <f t="shared" si="9"/>
        <v>5.4700800000000012</v>
      </c>
      <c r="N69">
        <f t="shared" si="10"/>
        <v>4.3612800000000007</v>
      </c>
      <c r="O69">
        <f t="shared" si="11"/>
        <v>4.0177694117647063</v>
      </c>
      <c r="P69">
        <f t="shared" si="12"/>
        <v>1.9352051835853132</v>
      </c>
      <c r="Q69">
        <f t="shared" si="13"/>
        <v>67.2</v>
      </c>
      <c r="R69">
        <f t="shared" si="14"/>
        <v>352</v>
      </c>
      <c r="S69">
        <f t="shared" si="15"/>
        <v>441.76</v>
      </c>
      <c r="T69">
        <f t="shared" si="16"/>
        <v>86.24</v>
      </c>
      <c r="U69">
        <f>I69*E69/'[1]Inverter Analysis'!$L$2</f>
        <v>247.98867190621195</v>
      </c>
      <c r="V69">
        <f t="shared" si="17"/>
        <v>151.5151515151515</v>
      </c>
      <c r="W69">
        <f t="shared" si="18"/>
        <v>181.09380659181457</v>
      </c>
      <c r="X69">
        <f t="shared" si="19"/>
        <v>108.22510822510822</v>
      </c>
      <c r="Y69">
        <f t="shared" si="20"/>
        <v>0.22956476750139482</v>
      </c>
      <c r="Z69">
        <f t="shared" si="21"/>
        <v>5.1366767332571417</v>
      </c>
    </row>
    <row r="70" spans="1:26" hidden="1">
      <c r="A70">
        <v>15</v>
      </c>
      <c r="B70">
        <v>2</v>
      </c>
      <c r="C70" s="1">
        <v>11</v>
      </c>
      <c r="D70">
        <f t="shared" si="0"/>
        <v>280</v>
      </c>
      <c r="E70">
        <f t="shared" si="1"/>
        <v>140</v>
      </c>
      <c r="F70">
        <f t="shared" si="2"/>
        <v>22.11</v>
      </c>
      <c r="G70">
        <f t="shared" si="3"/>
        <v>0.57750000000000001</v>
      </c>
      <c r="H70">
        <f t="shared" si="4"/>
        <v>97.02</v>
      </c>
      <c r="I70">
        <f t="shared" si="5"/>
        <v>693</v>
      </c>
      <c r="J70">
        <f t="shared" si="6"/>
        <v>495</v>
      </c>
      <c r="K70">
        <f t="shared" si="7"/>
        <v>69.3</v>
      </c>
      <c r="L70">
        <f t="shared" si="8"/>
        <v>5.3361000000000001</v>
      </c>
      <c r="M70">
        <f t="shared" si="9"/>
        <v>5.1281999999999996</v>
      </c>
      <c r="N70">
        <f t="shared" si="10"/>
        <v>4.0887000000000002</v>
      </c>
      <c r="O70">
        <f t="shared" si="11"/>
        <v>3.7666588235294118</v>
      </c>
      <c r="P70">
        <f t="shared" si="12"/>
        <v>1.8142548596112311</v>
      </c>
      <c r="Q70">
        <f t="shared" si="13"/>
        <v>63</v>
      </c>
      <c r="R70">
        <f t="shared" si="14"/>
        <v>330</v>
      </c>
      <c r="S70">
        <f t="shared" si="15"/>
        <v>414.15</v>
      </c>
      <c r="T70">
        <f t="shared" si="16"/>
        <v>80.850000000000009</v>
      </c>
      <c r="U70">
        <f>I70*E70/'[1]Inverter Analysis'!$L$2</f>
        <v>232.4893799120737</v>
      </c>
      <c r="V70">
        <f t="shared" si="17"/>
        <v>161.61616161616161</v>
      </c>
      <c r="W70">
        <f t="shared" si="18"/>
        <v>193.16672703126886</v>
      </c>
      <c r="X70">
        <f t="shared" si="19"/>
        <v>115.44011544011543</v>
      </c>
      <c r="Y70">
        <f t="shared" si="20"/>
        <v>0.26119369102380913</v>
      </c>
      <c r="Z70">
        <f t="shared" si="21"/>
        <v>4.2324912047712058</v>
      </c>
    </row>
    <row r="71" spans="1:26" hidden="1">
      <c r="A71">
        <v>14</v>
      </c>
      <c r="B71">
        <v>2</v>
      </c>
      <c r="C71" s="1">
        <v>11</v>
      </c>
      <c r="D71">
        <f t="shared" ref="D71:D134" si="22">B71*$J$3</f>
        <v>280</v>
      </c>
      <c r="E71">
        <f t="shared" ref="E71:E134" si="23">B71*$I$3</f>
        <v>140</v>
      </c>
      <c r="F71">
        <f t="shared" ref="F71:F134" si="24">A71*B71*C71*$Q$3/1000</f>
        <v>20.635999999999999</v>
      </c>
      <c r="G71">
        <f t="shared" ref="G71:G134" si="25">((B71*$R$3^(-1))^(-1))*A71*C71</f>
        <v>0.53900000000000003</v>
      </c>
      <c r="H71">
        <f t="shared" ref="H71:H134" si="26">E71*I71/1000</f>
        <v>90.552000000000021</v>
      </c>
      <c r="I71">
        <f t="shared" ref="I71:I134" si="27">A71*C71*4.2</f>
        <v>646.80000000000007</v>
      </c>
      <c r="J71">
        <f t="shared" ref="J71:J134" si="28">C71*A71*$K$3</f>
        <v>462</v>
      </c>
      <c r="K71">
        <f t="shared" ref="K71:K134" si="29">E71*J71/1000</f>
        <v>64.680000000000007</v>
      </c>
      <c r="L71">
        <f t="shared" ref="L71:L134" si="30">$N$3/1000*I71*B71/1000</f>
        <v>4.980360000000001</v>
      </c>
      <c r="M71">
        <f t="shared" ref="M71:M134" si="31">$O$3/1000*I71*B71/1000</f>
        <v>4.7863200000000008</v>
      </c>
      <c r="N71">
        <f t="shared" ref="N71:N134" si="32">$P$3/1000*I71*B71/1000</f>
        <v>3.8161200000000006</v>
      </c>
      <c r="O71">
        <f t="shared" ref="O71:O134" si="33">L71*(($L$3-$K$3)/($L$3-$M$3))</f>
        <v>3.5155482352941188</v>
      </c>
      <c r="P71">
        <f t="shared" ref="P71:P134" si="34">$H$3/1000*B71*I71/277.8/C71</f>
        <v>1.6933045356371492</v>
      </c>
      <c r="Q71">
        <f t="shared" ref="Q71:Q134" si="35">I71/C71</f>
        <v>58.800000000000004</v>
      </c>
      <c r="R71">
        <f t="shared" ref="R71:R134" si="36">(A71*B71*C71)</f>
        <v>308</v>
      </c>
      <c r="S71">
        <f t="shared" ref="S71:S134" si="37">J71-(G71*E71)</f>
        <v>386.53999999999996</v>
      </c>
      <c r="T71">
        <f t="shared" ref="T71:T134" si="38">G71*E71</f>
        <v>75.460000000000008</v>
      </c>
      <c r="U71">
        <f>I71*E71/'[1]Inverter Analysis'!$L$2</f>
        <v>216.99008791793548</v>
      </c>
      <c r="V71">
        <f t="shared" ref="V71:V134" si="39">80000/J71</f>
        <v>173.16017316017317</v>
      </c>
      <c r="W71">
        <f t="shared" ref="W71:W134" si="40">80000/S71</f>
        <v>206.96435039064522</v>
      </c>
      <c r="X71">
        <f t="shared" ref="X71:X134" si="41">80000/I71</f>
        <v>123.68583797155225</v>
      </c>
      <c r="Y71">
        <f t="shared" ref="Y71:Y134" si="42">(MAX(V71:X71)^2)*$R$3/1000</f>
        <v>0.29983969632835239</v>
      </c>
      <c r="Z71">
        <f t="shared" ref="Z71:Z134" si="43">($S$3*F71/(Y71*1000))*10</f>
        <v>3.4411721084124998</v>
      </c>
    </row>
    <row r="72" spans="1:26" hidden="1">
      <c r="A72">
        <v>13</v>
      </c>
      <c r="B72">
        <v>2</v>
      </c>
      <c r="C72" s="1">
        <v>11</v>
      </c>
      <c r="D72">
        <f t="shared" si="22"/>
        <v>280</v>
      </c>
      <c r="E72">
        <f t="shared" si="23"/>
        <v>140</v>
      </c>
      <c r="F72">
        <f t="shared" si="24"/>
        <v>19.161999999999999</v>
      </c>
      <c r="G72">
        <f t="shared" si="25"/>
        <v>0.50049999999999994</v>
      </c>
      <c r="H72">
        <f t="shared" si="26"/>
        <v>84.084000000000003</v>
      </c>
      <c r="I72">
        <f t="shared" si="27"/>
        <v>600.6</v>
      </c>
      <c r="J72">
        <f t="shared" si="28"/>
        <v>429</v>
      </c>
      <c r="K72">
        <f t="shared" si="29"/>
        <v>60.06</v>
      </c>
      <c r="L72">
        <f t="shared" si="30"/>
        <v>4.6246200000000002</v>
      </c>
      <c r="M72">
        <f t="shared" si="31"/>
        <v>4.4444400000000002</v>
      </c>
      <c r="N72">
        <f t="shared" si="32"/>
        <v>3.5435400000000006</v>
      </c>
      <c r="O72">
        <f t="shared" si="33"/>
        <v>3.2644376470588239</v>
      </c>
      <c r="P72">
        <f t="shared" si="34"/>
        <v>1.5723542116630669</v>
      </c>
      <c r="Q72">
        <f t="shared" si="35"/>
        <v>54.6</v>
      </c>
      <c r="R72">
        <f t="shared" si="36"/>
        <v>286</v>
      </c>
      <c r="S72">
        <f t="shared" si="37"/>
        <v>358.93</v>
      </c>
      <c r="T72">
        <f t="shared" si="38"/>
        <v>70.069999999999993</v>
      </c>
      <c r="U72">
        <f>I72*E72/'[1]Inverter Analysis'!$L$2</f>
        <v>201.49079592379721</v>
      </c>
      <c r="V72">
        <f t="shared" si="39"/>
        <v>186.48018648018649</v>
      </c>
      <c r="W72">
        <f t="shared" si="40"/>
        <v>222.88468503607945</v>
      </c>
      <c r="X72">
        <f t="shared" si="41"/>
        <v>133.20013320013319</v>
      </c>
      <c r="Y72">
        <f t="shared" si="42"/>
        <v>0.3477430797654264</v>
      </c>
      <c r="Z72">
        <f t="shared" si="43"/>
        <v>2.7551950153725446</v>
      </c>
    </row>
    <row r="73" spans="1:26" hidden="1">
      <c r="A73">
        <v>12</v>
      </c>
      <c r="B73">
        <v>2</v>
      </c>
      <c r="C73" s="1">
        <v>11</v>
      </c>
      <c r="D73">
        <f t="shared" si="22"/>
        <v>280</v>
      </c>
      <c r="E73">
        <f t="shared" si="23"/>
        <v>140</v>
      </c>
      <c r="F73">
        <f t="shared" si="24"/>
        <v>17.687999999999999</v>
      </c>
      <c r="G73">
        <f t="shared" si="25"/>
        <v>0.46200000000000002</v>
      </c>
      <c r="H73">
        <f t="shared" si="26"/>
        <v>77.616</v>
      </c>
      <c r="I73">
        <f t="shared" si="27"/>
        <v>554.4</v>
      </c>
      <c r="J73">
        <f t="shared" si="28"/>
        <v>396</v>
      </c>
      <c r="K73">
        <f t="shared" si="29"/>
        <v>55.44</v>
      </c>
      <c r="L73">
        <f t="shared" si="30"/>
        <v>4.2688800000000002</v>
      </c>
      <c r="M73">
        <f t="shared" si="31"/>
        <v>4.1025600000000004</v>
      </c>
      <c r="N73">
        <f t="shared" si="32"/>
        <v>3.2709600000000001</v>
      </c>
      <c r="O73">
        <f t="shared" si="33"/>
        <v>3.0133270588235299</v>
      </c>
      <c r="P73">
        <f t="shared" si="34"/>
        <v>1.4514038876889848</v>
      </c>
      <c r="Q73">
        <f t="shared" si="35"/>
        <v>50.4</v>
      </c>
      <c r="R73">
        <f t="shared" si="36"/>
        <v>264</v>
      </c>
      <c r="S73">
        <f t="shared" si="37"/>
        <v>331.32</v>
      </c>
      <c r="T73">
        <f t="shared" si="38"/>
        <v>64.680000000000007</v>
      </c>
      <c r="U73">
        <f>I73*E73/'[1]Inverter Analysis'!$L$2</f>
        <v>185.99150392965896</v>
      </c>
      <c r="V73">
        <f t="shared" si="39"/>
        <v>202.02020202020202</v>
      </c>
      <c r="W73">
        <f t="shared" si="40"/>
        <v>241.45840878908609</v>
      </c>
      <c r="X73">
        <f t="shared" si="41"/>
        <v>144.3001443001443</v>
      </c>
      <c r="Y73">
        <f t="shared" si="42"/>
        <v>0.40811514222470185</v>
      </c>
      <c r="Z73">
        <f t="shared" si="43"/>
        <v>2.1670354968428569</v>
      </c>
    </row>
    <row r="74" spans="1:26" hidden="1">
      <c r="A74">
        <v>11</v>
      </c>
      <c r="B74">
        <v>2</v>
      </c>
      <c r="C74" s="1">
        <v>11</v>
      </c>
      <c r="D74">
        <f t="shared" si="22"/>
        <v>280</v>
      </c>
      <c r="E74">
        <f t="shared" si="23"/>
        <v>140</v>
      </c>
      <c r="F74">
        <f t="shared" si="24"/>
        <v>16.213999999999999</v>
      </c>
      <c r="G74">
        <f t="shared" si="25"/>
        <v>0.42349999999999999</v>
      </c>
      <c r="H74">
        <f t="shared" si="26"/>
        <v>71.147999999999996</v>
      </c>
      <c r="I74">
        <f t="shared" si="27"/>
        <v>508.20000000000005</v>
      </c>
      <c r="J74">
        <f t="shared" si="28"/>
        <v>363</v>
      </c>
      <c r="K74">
        <f t="shared" si="29"/>
        <v>50.82</v>
      </c>
      <c r="L74">
        <f t="shared" si="30"/>
        <v>3.9131400000000003</v>
      </c>
      <c r="M74">
        <f t="shared" si="31"/>
        <v>3.7606800000000002</v>
      </c>
      <c r="N74">
        <f t="shared" si="32"/>
        <v>2.9983800000000005</v>
      </c>
      <c r="O74">
        <f t="shared" si="33"/>
        <v>2.7622164705882355</v>
      </c>
      <c r="P74">
        <f t="shared" si="34"/>
        <v>1.3304535637149029</v>
      </c>
      <c r="Q74">
        <f t="shared" si="35"/>
        <v>46.2</v>
      </c>
      <c r="R74">
        <f t="shared" si="36"/>
        <v>242</v>
      </c>
      <c r="S74">
        <f t="shared" si="37"/>
        <v>303.70999999999998</v>
      </c>
      <c r="T74">
        <f t="shared" si="38"/>
        <v>59.29</v>
      </c>
      <c r="U74">
        <f>I74*E74/'[1]Inverter Analysis'!$L$2</f>
        <v>170.49221193552071</v>
      </c>
      <c r="V74">
        <f t="shared" si="39"/>
        <v>220.38567493112947</v>
      </c>
      <c r="W74">
        <f t="shared" si="40"/>
        <v>263.40917322445756</v>
      </c>
      <c r="X74">
        <f t="shared" si="41"/>
        <v>157.41833923652104</v>
      </c>
      <c r="Y74">
        <f t="shared" si="42"/>
        <v>0.48569074777154608</v>
      </c>
      <c r="Z74">
        <f t="shared" si="43"/>
        <v>1.6691691240149549</v>
      </c>
    </row>
    <row r="75" spans="1:26" hidden="1">
      <c r="A75">
        <v>10</v>
      </c>
      <c r="B75">
        <v>2</v>
      </c>
      <c r="C75" s="1">
        <v>11</v>
      </c>
      <c r="D75">
        <f t="shared" si="22"/>
        <v>280</v>
      </c>
      <c r="E75">
        <f t="shared" si="23"/>
        <v>140</v>
      </c>
      <c r="F75">
        <f t="shared" si="24"/>
        <v>14.74</v>
      </c>
      <c r="G75">
        <f t="shared" si="25"/>
        <v>0.38500000000000001</v>
      </c>
      <c r="H75">
        <f t="shared" si="26"/>
        <v>64.680000000000007</v>
      </c>
      <c r="I75">
        <f t="shared" si="27"/>
        <v>462</v>
      </c>
      <c r="J75">
        <f t="shared" si="28"/>
        <v>330</v>
      </c>
      <c r="K75">
        <f t="shared" si="29"/>
        <v>46.2</v>
      </c>
      <c r="L75">
        <f t="shared" si="30"/>
        <v>3.5573999999999999</v>
      </c>
      <c r="M75">
        <f t="shared" si="31"/>
        <v>3.4188000000000001</v>
      </c>
      <c r="N75">
        <f t="shared" si="32"/>
        <v>2.7258</v>
      </c>
      <c r="O75">
        <f t="shared" si="33"/>
        <v>2.5111058823529411</v>
      </c>
      <c r="P75">
        <f t="shared" si="34"/>
        <v>1.2095032397408207</v>
      </c>
      <c r="Q75">
        <f t="shared" si="35"/>
        <v>42</v>
      </c>
      <c r="R75">
        <f t="shared" si="36"/>
        <v>220</v>
      </c>
      <c r="S75">
        <f t="shared" si="37"/>
        <v>276.10000000000002</v>
      </c>
      <c r="T75">
        <f t="shared" si="38"/>
        <v>53.9</v>
      </c>
      <c r="U75">
        <f>I75*E75/'[1]Inverter Analysis'!$L$2</f>
        <v>154.99291994138247</v>
      </c>
      <c r="V75">
        <f t="shared" si="39"/>
        <v>242.42424242424244</v>
      </c>
      <c r="W75">
        <f t="shared" si="40"/>
        <v>289.75009054690327</v>
      </c>
      <c r="X75">
        <f t="shared" si="41"/>
        <v>173.16017316017317</v>
      </c>
      <c r="Y75">
        <f t="shared" si="42"/>
        <v>0.58768580480357047</v>
      </c>
      <c r="Z75">
        <f t="shared" si="43"/>
        <v>1.2540714680803575</v>
      </c>
    </row>
    <row r="76" spans="1:26" hidden="1">
      <c r="A76" s="8">
        <v>16</v>
      </c>
      <c r="B76" s="1">
        <v>6</v>
      </c>
      <c r="C76" s="1">
        <v>10</v>
      </c>
      <c r="D76">
        <f t="shared" si="22"/>
        <v>840</v>
      </c>
      <c r="E76">
        <f t="shared" si="23"/>
        <v>420</v>
      </c>
      <c r="F76">
        <f t="shared" si="24"/>
        <v>64.319999999999993</v>
      </c>
      <c r="G76">
        <f t="shared" si="25"/>
        <v>0.18666666666666668</v>
      </c>
      <c r="H76">
        <f t="shared" si="26"/>
        <v>282.24</v>
      </c>
      <c r="I76">
        <f t="shared" si="27"/>
        <v>672</v>
      </c>
      <c r="J76">
        <f t="shared" si="28"/>
        <v>480</v>
      </c>
      <c r="K76">
        <f t="shared" si="29"/>
        <v>201.6</v>
      </c>
      <c r="L76">
        <f t="shared" si="30"/>
        <v>15.523200000000001</v>
      </c>
      <c r="M76">
        <f t="shared" si="31"/>
        <v>14.918400000000002</v>
      </c>
      <c r="N76">
        <f t="shared" si="32"/>
        <v>11.894400000000001</v>
      </c>
      <c r="O76">
        <f t="shared" si="33"/>
        <v>10.957552941176472</v>
      </c>
      <c r="P76">
        <f t="shared" si="34"/>
        <v>5.8056155507559399</v>
      </c>
      <c r="Q76">
        <f t="shared" si="35"/>
        <v>67.2</v>
      </c>
      <c r="R76">
        <f t="shared" si="36"/>
        <v>960</v>
      </c>
      <c r="S76">
        <f t="shared" si="37"/>
        <v>401.6</v>
      </c>
      <c r="T76">
        <f t="shared" si="38"/>
        <v>78.400000000000006</v>
      </c>
      <c r="U76">
        <f>I76*E76/'[1]Inverter Analysis'!$L$2</f>
        <v>676.33274156239622</v>
      </c>
      <c r="V76">
        <f t="shared" si="39"/>
        <v>166.66666666666666</v>
      </c>
      <c r="W76">
        <f t="shared" si="40"/>
        <v>199.203187250996</v>
      </c>
      <c r="X76">
        <f t="shared" si="41"/>
        <v>119.04761904761905</v>
      </c>
      <c r="Y76">
        <f t="shared" si="42"/>
        <v>0.27777336867668767</v>
      </c>
      <c r="Z76">
        <f t="shared" si="43"/>
        <v>11.577783771428571</v>
      </c>
    </row>
    <row r="77" spans="1:26" hidden="1">
      <c r="A77" s="8">
        <v>15</v>
      </c>
      <c r="B77" s="1">
        <v>6</v>
      </c>
      <c r="C77" s="1">
        <v>10</v>
      </c>
      <c r="D77">
        <f t="shared" si="22"/>
        <v>840</v>
      </c>
      <c r="E77">
        <f t="shared" si="23"/>
        <v>420</v>
      </c>
      <c r="F77">
        <f t="shared" si="24"/>
        <v>60.3</v>
      </c>
      <c r="G77">
        <f t="shared" si="25"/>
        <v>0.17500000000000002</v>
      </c>
      <c r="H77">
        <f t="shared" si="26"/>
        <v>264.60000000000002</v>
      </c>
      <c r="I77">
        <f t="shared" si="27"/>
        <v>630</v>
      </c>
      <c r="J77">
        <f t="shared" si="28"/>
        <v>450</v>
      </c>
      <c r="K77">
        <f t="shared" si="29"/>
        <v>189</v>
      </c>
      <c r="L77">
        <f t="shared" si="30"/>
        <v>14.553000000000001</v>
      </c>
      <c r="M77">
        <f t="shared" si="31"/>
        <v>13.986000000000001</v>
      </c>
      <c r="N77">
        <f t="shared" si="32"/>
        <v>11.151</v>
      </c>
      <c r="O77">
        <f t="shared" si="33"/>
        <v>10.272705882352943</v>
      </c>
      <c r="P77">
        <f t="shared" si="34"/>
        <v>5.4427645788336934</v>
      </c>
      <c r="Q77">
        <f t="shared" si="35"/>
        <v>63</v>
      </c>
      <c r="R77">
        <f t="shared" si="36"/>
        <v>900</v>
      </c>
      <c r="S77">
        <f t="shared" si="37"/>
        <v>376.5</v>
      </c>
      <c r="T77">
        <f t="shared" si="38"/>
        <v>73.5</v>
      </c>
      <c r="U77">
        <f>I77*E77/'[1]Inverter Analysis'!$L$2</f>
        <v>634.0619452147464</v>
      </c>
      <c r="V77">
        <f t="shared" si="39"/>
        <v>177.77777777777777</v>
      </c>
      <c r="W77">
        <f t="shared" si="40"/>
        <v>212.48339973439576</v>
      </c>
      <c r="X77">
        <f t="shared" si="41"/>
        <v>126.98412698412699</v>
      </c>
      <c r="Y77">
        <f t="shared" si="42"/>
        <v>0.3160443661388091</v>
      </c>
      <c r="Z77">
        <f t="shared" si="43"/>
        <v>9.5397998604910708</v>
      </c>
    </row>
    <row r="78" spans="1:26" hidden="1">
      <c r="A78">
        <v>14</v>
      </c>
      <c r="B78" s="1">
        <v>6</v>
      </c>
      <c r="C78" s="1">
        <v>10</v>
      </c>
      <c r="D78">
        <f t="shared" si="22"/>
        <v>840</v>
      </c>
      <c r="E78">
        <f t="shared" si="23"/>
        <v>420</v>
      </c>
      <c r="F78">
        <f t="shared" si="24"/>
        <v>56.28</v>
      </c>
      <c r="G78">
        <f t="shared" si="25"/>
        <v>0.16333333333333336</v>
      </c>
      <c r="H78">
        <f t="shared" si="26"/>
        <v>246.96</v>
      </c>
      <c r="I78">
        <f t="shared" si="27"/>
        <v>588</v>
      </c>
      <c r="J78">
        <f t="shared" si="28"/>
        <v>420</v>
      </c>
      <c r="K78">
        <f t="shared" si="29"/>
        <v>176.4</v>
      </c>
      <c r="L78">
        <f t="shared" si="30"/>
        <v>13.582800000000001</v>
      </c>
      <c r="M78">
        <f t="shared" si="31"/>
        <v>13.053599999999999</v>
      </c>
      <c r="N78">
        <f t="shared" si="32"/>
        <v>10.4076</v>
      </c>
      <c r="O78">
        <f t="shared" si="33"/>
        <v>9.5878588235294124</v>
      </c>
      <c r="P78">
        <f t="shared" si="34"/>
        <v>5.0799136069114468</v>
      </c>
      <c r="Q78">
        <f t="shared" si="35"/>
        <v>58.8</v>
      </c>
      <c r="R78">
        <f t="shared" si="36"/>
        <v>840</v>
      </c>
      <c r="S78">
        <f t="shared" si="37"/>
        <v>351.4</v>
      </c>
      <c r="T78">
        <f t="shared" si="38"/>
        <v>68.600000000000009</v>
      </c>
      <c r="U78">
        <f>I78*E78/'[1]Inverter Analysis'!$L$2</f>
        <v>591.79114886709669</v>
      </c>
      <c r="V78">
        <f t="shared" si="39"/>
        <v>190.47619047619048</v>
      </c>
      <c r="W78">
        <f t="shared" si="40"/>
        <v>227.66078542970973</v>
      </c>
      <c r="X78">
        <f t="shared" si="41"/>
        <v>136.05442176870747</v>
      </c>
      <c r="Y78">
        <f t="shared" si="42"/>
        <v>0.36280603255730637</v>
      </c>
      <c r="Z78">
        <f t="shared" si="43"/>
        <v>7.7562106124999985</v>
      </c>
    </row>
    <row r="79" spans="1:26" hidden="1">
      <c r="A79">
        <v>13</v>
      </c>
      <c r="B79" s="1">
        <v>6</v>
      </c>
      <c r="C79" s="1">
        <v>10</v>
      </c>
      <c r="D79">
        <f t="shared" si="22"/>
        <v>840</v>
      </c>
      <c r="E79">
        <f t="shared" si="23"/>
        <v>420</v>
      </c>
      <c r="F79">
        <f t="shared" si="24"/>
        <v>52.26</v>
      </c>
      <c r="G79">
        <f t="shared" si="25"/>
        <v>0.15166666666666667</v>
      </c>
      <c r="H79">
        <f t="shared" si="26"/>
        <v>229.32</v>
      </c>
      <c r="I79">
        <f t="shared" si="27"/>
        <v>546</v>
      </c>
      <c r="J79">
        <f t="shared" si="28"/>
        <v>390</v>
      </c>
      <c r="K79">
        <f t="shared" si="29"/>
        <v>163.80000000000001</v>
      </c>
      <c r="L79">
        <f t="shared" si="30"/>
        <v>12.612599999999999</v>
      </c>
      <c r="M79">
        <f t="shared" si="31"/>
        <v>12.1212</v>
      </c>
      <c r="N79">
        <f t="shared" si="32"/>
        <v>9.664200000000001</v>
      </c>
      <c r="O79">
        <f t="shared" si="33"/>
        <v>8.903011764705882</v>
      </c>
      <c r="P79">
        <f t="shared" si="34"/>
        <v>4.7170626349892002</v>
      </c>
      <c r="Q79">
        <f t="shared" si="35"/>
        <v>54.6</v>
      </c>
      <c r="R79">
        <f t="shared" si="36"/>
        <v>780</v>
      </c>
      <c r="S79">
        <f t="shared" si="37"/>
        <v>326.3</v>
      </c>
      <c r="T79">
        <f t="shared" si="38"/>
        <v>63.7</v>
      </c>
      <c r="U79">
        <f>I79*E79/'[1]Inverter Analysis'!$L$2</f>
        <v>549.52035251944687</v>
      </c>
      <c r="V79">
        <f t="shared" si="39"/>
        <v>205.12820512820514</v>
      </c>
      <c r="W79">
        <f t="shared" si="40"/>
        <v>245.17315353968741</v>
      </c>
      <c r="X79">
        <f t="shared" si="41"/>
        <v>146.52014652014651</v>
      </c>
      <c r="Y79">
        <f t="shared" si="42"/>
        <v>0.42076912651616594</v>
      </c>
      <c r="Z79">
        <f t="shared" si="43"/>
        <v>6.2100563832589284</v>
      </c>
    </row>
    <row r="80" spans="1:26" hidden="1">
      <c r="A80">
        <v>12</v>
      </c>
      <c r="B80" s="1">
        <v>6</v>
      </c>
      <c r="C80" s="1">
        <v>10</v>
      </c>
      <c r="D80">
        <f t="shared" si="22"/>
        <v>840</v>
      </c>
      <c r="E80">
        <f t="shared" si="23"/>
        <v>420</v>
      </c>
      <c r="F80">
        <f t="shared" si="24"/>
        <v>48.24</v>
      </c>
      <c r="G80">
        <f t="shared" si="25"/>
        <v>0.14000000000000001</v>
      </c>
      <c r="H80">
        <f t="shared" si="26"/>
        <v>211.68</v>
      </c>
      <c r="I80">
        <f t="shared" si="27"/>
        <v>504</v>
      </c>
      <c r="J80">
        <f t="shared" si="28"/>
        <v>360</v>
      </c>
      <c r="K80">
        <f t="shared" si="29"/>
        <v>151.19999999999999</v>
      </c>
      <c r="L80">
        <f t="shared" si="30"/>
        <v>11.642400000000002</v>
      </c>
      <c r="M80">
        <f t="shared" si="31"/>
        <v>11.188800000000001</v>
      </c>
      <c r="N80">
        <f t="shared" si="32"/>
        <v>8.9208000000000016</v>
      </c>
      <c r="O80">
        <f t="shared" si="33"/>
        <v>8.218164705882355</v>
      </c>
      <c r="P80">
        <f t="shared" si="34"/>
        <v>4.3542116630669545</v>
      </c>
      <c r="Q80">
        <f t="shared" si="35"/>
        <v>50.4</v>
      </c>
      <c r="R80">
        <f t="shared" si="36"/>
        <v>720</v>
      </c>
      <c r="S80">
        <f t="shared" si="37"/>
        <v>301.2</v>
      </c>
      <c r="T80">
        <f t="shared" si="38"/>
        <v>58.800000000000004</v>
      </c>
      <c r="U80">
        <f>I80*E80/'[1]Inverter Analysis'!$L$2</f>
        <v>507.24955617179717</v>
      </c>
      <c r="V80">
        <f t="shared" si="39"/>
        <v>222.22222222222223</v>
      </c>
      <c r="W80">
        <f t="shared" si="40"/>
        <v>265.60424966799468</v>
      </c>
      <c r="X80">
        <f t="shared" si="41"/>
        <v>158.73015873015873</v>
      </c>
      <c r="Y80">
        <f t="shared" si="42"/>
        <v>0.49381932209188922</v>
      </c>
      <c r="Z80">
        <f t="shared" si="43"/>
        <v>4.884377528571429</v>
      </c>
    </row>
    <row r="81" spans="1:26" hidden="1">
      <c r="A81">
        <v>11</v>
      </c>
      <c r="B81" s="1">
        <v>6</v>
      </c>
      <c r="C81" s="1">
        <v>10</v>
      </c>
      <c r="D81">
        <f t="shared" si="22"/>
        <v>840</v>
      </c>
      <c r="E81">
        <f t="shared" si="23"/>
        <v>420</v>
      </c>
      <c r="F81">
        <f t="shared" si="24"/>
        <v>44.22</v>
      </c>
      <c r="G81">
        <f t="shared" si="25"/>
        <v>0.12833333333333333</v>
      </c>
      <c r="H81">
        <f t="shared" si="26"/>
        <v>194.04</v>
      </c>
      <c r="I81">
        <f t="shared" si="27"/>
        <v>462</v>
      </c>
      <c r="J81">
        <f t="shared" si="28"/>
        <v>330</v>
      </c>
      <c r="K81">
        <f t="shared" si="29"/>
        <v>138.6</v>
      </c>
      <c r="L81">
        <f t="shared" si="30"/>
        <v>10.6722</v>
      </c>
      <c r="M81">
        <f t="shared" si="31"/>
        <v>10.256400000000001</v>
      </c>
      <c r="N81">
        <f t="shared" si="32"/>
        <v>8.1774000000000004</v>
      </c>
      <c r="O81">
        <f t="shared" si="33"/>
        <v>7.5333176470588237</v>
      </c>
      <c r="P81">
        <f t="shared" si="34"/>
        <v>3.9913606911447084</v>
      </c>
      <c r="Q81">
        <f t="shared" si="35"/>
        <v>46.2</v>
      </c>
      <c r="R81">
        <f t="shared" si="36"/>
        <v>660</v>
      </c>
      <c r="S81">
        <f t="shared" si="37"/>
        <v>276.10000000000002</v>
      </c>
      <c r="T81">
        <f t="shared" si="38"/>
        <v>53.9</v>
      </c>
      <c r="U81">
        <f>I81*E81/'[1]Inverter Analysis'!$L$2</f>
        <v>464.9787598241474</v>
      </c>
      <c r="V81">
        <f t="shared" si="39"/>
        <v>242.42424242424244</v>
      </c>
      <c r="W81">
        <f t="shared" si="40"/>
        <v>289.75009054690327</v>
      </c>
      <c r="X81">
        <f t="shared" si="41"/>
        <v>173.16017316017317</v>
      </c>
      <c r="Y81">
        <f t="shared" si="42"/>
        <v>0.58768580480357047</v>
      </c>
      <c r="Z81">
        <f t="shared" si="43"/>
        <v>3.7622144042410719</v>
      </c>
    </row>
    <row r="82" spans="1:26" hidden="1">
      <c r="A82">
        <v>10</v>
      </c>
      <c r="B82" s="1">
        <v>6</v>
      </c>
      <c r="C82" s="1">
        <v>10</v>
      </c>
      <c r="D82">
        <f t="shared" si="22"/>
        <v>840</v>
      </c>
      <c r="E82">
        <f t="shared" si="23"/>
        <v>420</v>
      </c>
      <c r="F82">
        <f t="shared" si="24"/>
        <v>40.200000000000003</v>
      </c>
      <c r="G82">
        <f t="shared" si="25"/>
        <v>0.11666666666666667</v>
      </c>
      <c r="H82">
        <f t="shared" si="26"/>
        <v>176.4</v>
      </c>
      <c r="I82">
        <f t="shared" si="27"/>
        <v>420</v>
      </c>
      <c r="J82">
        <f t="shared" si="28"/>
        <v>300</v>
      </c>
      <c r="K82">
        <f t="shared" si="29"/>
        <v>126</v>
      </c>
      <c r="L82">
        <f t="shared" si="30"/>
        <v>9.702</v>
      </c>
      <c r="M82">
        <f t="shared" si="31"/>
        <v>9.3239999999999998</v>
      </c>
      <c r="N82">
        <f t="shared" si="32"/>
        <v>7.4340000000000002</v>
      </c>
      <c r="O82">
        <f t="shared" si="33"/>
        <v>6.8484705882352941</v>
      </c>
      <c r="P82">
        <f t="shared" si="34"/>
        <v>3.6285097192224618</v>
      </c>
      <c r="Q82">
        <f t="shared" si="35"/>
        <v>42</v>
      </c>
      <c r="R82">
        <f t="shared" si="36"/>
        <v>600</v>
      </c>
      <c r="S82">
        <f t="shared" si="37"/>
        <v>251</v>
      </c>
      <c r="T82">
        <f t="shared" si="38"/>
        <v>49</v>
      </c>
      <c r="U82">
        <f>I82*E82/'[1]Inverter Analysis'!$L$2</f>
        <v>422.70796347649764</v>
      </c>
      <c r="V82">
        <f t="shared" si="39"/>
        <v>266.66666666666669</v>
      </c>
      <c r="W82">
        <f t="shared" si="40"/>
        <v>318.72509960159363</v>
      </c>
      <c r="X82">
        <f t="shared" si="41"/>
        <v>190.47619047619048</v>
      </c>
      <c r="Y82">
        <f t="shared" si="42"/>
        <v>0.7110998238123204</v>
      </c>
      <c r="Z82">
        <f t="shared" si="43"/>
        <v>2.8266073660714284</v>
      </c>
    </row>
    <row r="83" spans="1:26" hidden="1">
      <c r="A83" s="8">
        <v>16</v>
      </c>
      <c r="B83" s="9">
        <v>5</v>
      </c>
      <c r="C83" s="1">
        <v>10</v>
      </c>
      <c r="D83">
        <f t="shared" si="22"/>
        <v>700</v>
      </c>
      <c r="E83">
        <f t="shared" si="23"/>
        <v>350</v>
      </c>
      <c r="F83">
        <f t="shared" si="24"/>
        <v>53.6</v>
      </c>
      <c r="G83">
        <f t="shared" si="25"/>
        <v>0.224</v>
      </c>
      <c r="H83">
        <f t="shared" si="26"/>
        <v>235.2</v>
      </c>
      <c r="I83">
        <f t="shared" si="27"/>
        <v>672</v>
      </c>
      <c r="J83">
        <f t="shared" si="28"/>
        <v>480</v>
      </c>
      <c r="K83">
        <f t="shared" si="29"/>
        <v>168</v>
      </c>
      <c r="L83">
        <f t="shared" si="30"/>
        <v>12.936000000000002</v>
      </c>
      <c r="M83">
        <f t="shared" si="31"/>
        <v>12.432</v>
      </c>
      <c r="N83">
        <f t="shared" si="32"/>
        <v>9.9120000000000008</v>
      </c>
      <c r="O83">
        <f t="shared" si="33"/>
        <v>9.1312941176470606</v>
      </c>
      <c r="P83">
        <f t="shared" si="34"/>
        <v>4.838012958963283</v>
      </c>
      <c r="Q83">
        <f t="shared" si="35"/>
        <v>67.2</v>
      </c>
      <c r="R83">
        <f t="shared" si="36"/>
        <v>800</v>
      </c>
      <c r="S83">
        <f t="shared" si="37"/>
        <v>401.6</v>
      </c>
      <c r="T83">
        <f t="shared" si="38"/>
        <v>78.400000000000006</v>
      </c>
      <c r="U83">
        <f>I83*E83/'[1]Inverter Analysis'!$L$2</f>
        <v>563.61061796866352</v>
      </c>
      <c r="V83">
        <f t="shared" si="39"/>
        <v>166.66666666666666</v>
      </c>
      <c r="W83">
        <f t="shared" si="40"/>
        <v>199.203187250996</v>
      </c>
      <c r="X83">
        <f t="shared" si="41"/>
        <v>119.04761904761905</v>
      </c>
      <c r="Y83">
        <f t="shared" si="42"/>
        <v>0.27777336867668767</v>
      </c>
      <c r="Z83">
        <f t="shared" si="43"/>
        <v>9.6481531428571436</v>
      </c>
    </row>
    <row r="84" spans="1:26" hidden="1">
      <c r="A84" s="8">
        <v>15</v>
      </c>
      <c r="B84" s="9">
        <v>5</v>
      </c>
      <c r="C84" s="1">
        <v>10</v>
      </c>
      <c r="D84">
        <f t="shared" si="22"/>
        <v>700</v>
      </c>
      <c r="E84">
        <f t="shared" si="23"/>
        <v>350</v>
      </c>
      <c r="F84">
        <f t="shared" si="24"/>
        <v>50.25</v>
      </c>
      <c r="G84">
        <f t="shared" si="25"/>
        <v>0.21000000000000002</v>
      </c>
      <c r="H84">
        <f t="shared" si="26"/>
        <v>220.5</v>
      </c>
      <c r="I84">
        <f t="shared" si="27"/>
        <v>630</v>
      </c>
      <c r="J84">
        <f t="shared" si="28"/>
        <v>450</v>
      </c>
      <c r="K84">
        <f t="shared" si="29"/>
        <v>157.5</v>
      </c>
      <c r="L84">
        <f t="shared" si="30"/>
        <v>12.1275</v>
      </c>
      <c r="M84">
        <f t="shared" si="31"/>
        <v>11.654999999999999</v>
      </c>
      <c r="N84">
        <f t="shared" si="32"/>
        <v>9.2925000000000004</v>
      </c>
      <c r="O84">
        <f t="shared" si="33"/>
        <v>8.5605882352941176</v>
      </c>
      <c r="P84">
        <f t="shared" si="34"/>
        <v>4.5356371490280782</v>
      </c>
      <c r="Q84">
        <f t="shared" si="35"/>
        <v>63</v>
      </c>
      <c r="R84">
        <f t="shared" si="36"/>
        <v>750</v>
      </c>
      <c r="S84">
        <f t="shared" si="37"/>
        <v>376.5</v>
      </c>
      <c r="T84">
        <f t="shared" si="38"/>
        <v>73.5</v>
      </c>
      <c r="U84">
        <f>I84*E84/'[1]Inverter Analysis'!$L$2</f>
        <v>528.38495434562208</v>
      </c>
      <c r="V84">
        <f t="shared" si="39"/>
        <v>177.77777777777777</v>
      </c>
      <c r="W84">
        <f t="shared" si="40"/>
        <v>212.48339973439576</v>
      </c>
      <c r="X84">
        <f t="shared" si="41"/>
        <v>126.98412698412699</v>
      </c>
      <c r="Y84">
        <f t="shared" si="42"/>
        <v>0.3160443661388091</v>
      </c>
      <c r="Z84">
        <f t="shared" si="43"/>
        <v>7.9498332170758923</v>
      </c>
    </row>
    <row r="85" spans="1:26" hidden="1">
      <c r="A85">
        <v>14</v>
      </c>
      <c r="B85" s="9">
        <v>5</v>
      </c>
      <c r="C85" s="1">
        <v>10</v>
      </c>
      <c r="D85">
        <f t="shared" si="22"/>
        <v>700</v>
      </c>
      <c r="E85">
        <f t="shared" si="23"/>
        <v>350</v>
      </c>
      <c r="F85">
        <f t="shared" si="24"/>
        <v>46.9</v>
      </c>
      <c r="G85">
        <f t="shared" si="25"/>
        <v>0.19600000000000001</v>
      </c>
      <c r="H85">
        <f t="shared" si="26"/>
        <v>205.8</v>
      </c>
      <c r="I85">
        <f t="shared" si="27"/>
        <v>588</v>
      </c>
      <c r="J85">
        <f t="shared" si="28"/>
        <v>420</v>
      </c>
      <c r="K85">
        <f t="shared" si="29"/>
        <v>147</v>
      </c>
      <c r="L85">
        <f t="shared" si="30"/>
        <v>11.319000000000001</v>
      </c>
      <c r="M85">
        <f t="shared" si="31"/>
        <v>10.878</v>
      </c>
      <c r="N85">
        <f t="shared" si="32"/>
        <v>8.673</v>
      </c>
      <c r="O85">
        <f t="shared" si="33"/>
        <v>7.9898823529411773</v>
      </c>
      <c r="P85">
        <f t="shared" si="34"/>
        <v>4.2332613390928717</v>
      </c>
      <c r="Q85">
        <f t="shared" si="35"/>
        <v>58.8</v>
      </c>
      <c r="R85">
        <f t="shared" si="36"/>
        <v>700</v>
      </c>
      <c r="S85">
        <f t="shared" si="37"/>
        <v>351.4</v>
      </c>
      <c r="T85">
        <f t="shared" si="38"/>
        <v>68.600000000000009</v>
      </c>
      <c r="U85">
        <f>I85*E85/'[1]Inverter Analysis'!$L$2</f>
        <v>493.15929072258058</v>
      </c>
      <c r="V85">
        <f t="shared" si="39"/>
        <v>190.47619047619048</v>
      </c>
      <c r="W85">
        <f t="shared" si="40"/>
        <v>227.66078542970973</v>
      </c>
      <c r="X85">
        <f t="shared" si="41"/>
        <v>136.05442176870747</v>
      </c>
      <c r="Y85">
        <f t="shared" si="42"/>
        <v>0.36280603255730637</v>
      </c>
      <c r="Z85">
        <f t="shared" si="43"/>
        <v>6.4635088437499997</v>
      </c>
    </row>
    <row r="86" spans="1:26" hidden="1">
      <c r="A86">
        <v>13</v>
      </c>
      <c r="B86" s="9">
        <v>5</v>
      </c>
      <c r="C86" s="1">
        <v>10</v>
      </c>
      <c r="D86">
        <f t="shared" si="22"/>
        <v>700</v>
      </c>
      <c r="E86">
        <f t="shared" si="23"/>
        <v>350</v>
      </c>
      <c r="F86">
        <f t="shared" si="24"/>
        <v>43.55</v>
      </c>
      <c r="G86">
        <f t="shared" si="25"/>
        <v>0.182</v>
      </c>
      <c r="H86">
        <f t="shared" si="26"/>
        <v>191.1</v>
      </c>
      <c r="I86">
        <f t="shared" si="27"/>
        <v>546</v>
      </c>
      <c r="J86">
        <f t="shared" si="28"/>
        <v>390</v>
      </c>
      <c r="K86">
        <f t="shared" si="29"/>
        <v>136.5</v>
      </c>
      <c r="L86">
        <f t="shared" si="30"/>
        <v>10.5105</v>
      </c>
      <c r="M86">
        <f t="shared" si="31"/>
        <v>10.101000000000001</v>
      </c>
      <c r="N86">
        <f t="shared" si="32"/>
        <v>8.0534999999999997</v>
      </c>
      <c r="O86">
        <f t="shared" si="33"/>
        <v>7.4191764705882361</v>
      </c>
      <c r="P86">
        <f t="shared" si="34"/>
        <v>3.930885529157667</v>
      </c>
      <c r="Q86">
        <f t="shared" si="35"/>
        <v>54.6</v>
      </c>
      <c r="R86">
        <f t="shared" si="36"/>
        <v>650</v>
      </c>
      <c r="S86">
        <f t="shared" si="37"/>
        <v>326.3</v>
      </c>
      <c r="T86">
        <f t="shared" si="38"/>
        <v>63.699999999999996</v>
      </c>
      <c r="U86">
        <f>I86*E86/'[1]Inverter Analysis'!$L$2</f>
        <v>457.93362709953908</v>
      </c>
      <c r="V86">
        <f t="shared" si="39"/>
        <v>205.12820512820514</v>
      </c>
      <c r="W86">
        <f t="shared" si="40"/>
        <v>245.17315353968741</v>
      </c>
      <c r="X86">
        <f t="shared" si="41"/>
        <v>146.52014652014651</v>
      </c>
      <c r="Y86">
        <f t="shared" si="42"/>
        <v>0.42076912651616594</v>
      </c>
      <c r="Z86">
        <f t="shared" si="43"/>
        <v>5.1750469860491064</v>
      </c>
    </row>
    <row r="87" spans="1:26" hidden="1">
      <c r="A87">
        <v>12</v>
      </c>
      <c r="B87" s="9">
        <v>5</v>
      </c>
      <c r="C87" s="1">
        <v>10</v>
      </c>
      <c r="D87">
        <f t="shared" si="22"/>
        <v>700</v>
      </c>
      <c r="E87">
        <f t="shared" si="23"/>
        <v>350</v>
      </c>
      <c r="F87">
        <f t="shared" si="24"/>
        <v>40.200000000000003</v>
      </c>
      <c r="G87">
        <f t="shared" si="25"/>
        <v>0.16799999999999998</v>
      </c>
      <c r="H87">
        <f t="shared" si="26"/>
        <v>176.4</v>
      </c>
      <c r="I87">
        <f t="shared" si="27"/>
        <v>504</v>
      </c>
      <c r="J87">
        <f t="shared" si="28"/>
        <v>360</v>
      </c>
      <c r="K87">
        <f t="shared" si="29"/>
        <v>126</v>
      </c>
      <c r="L87">
        <f t="shared" si="30"/>
        <v>9.702</v>
      </c>
      <c r="M87">
        <f t="shared" si="31"/>
        <v>9.3239999999999998</v>
      </c>
      <c r="N87">
        <f t="shared" si="32"/>
        <v>7.4340000000000011</v>
      </c>
      <c r="O87">
        <f t="shared" si="33"/>
        <v>6.8484705882352941</v>
      </c>
      <c r="P87">
        <f t="shared" si="34"/>
        <v>3.6285097192224618</v>
      </c>
      <c r="Q87">
        <f t="shared" si="35"/>
        <v>50.4</v>
      </c>
      <c r="R87">
        <f t="shared" si="36"/>
        <v>600</v>
      </c>
      <c r="S87">
        <f t="shared" si="37"/>
        <v>301.2</v>
      </c>
      <c r="T87">
        <f t="shared" si="38"/>
        <v>58.8</v>
      </c>
      <c r="U87">
        <f>I87*E87/'[1]Inverter Analysis'!$L$2</f>
        <v>422.70796347649764</v>
      </c>
      <c r="V87">
        <f t="shared" si="39"/>
        <v>222.22222222222223</v>
      </c>
      <c r="W87">
        <f t="shared" si="40"/>
        <v>265.60424966799468</v>
      </c>
      <c r="X87">
        <f t="shared" si="41"/>
        <v>158.73015873015873</v>
      </c>
      <c r="Y87">
        <f t="shared" si="42"/>
        <v>0.49381932209188922</v>
      </c>
      <c r="Z87">
        <f t="shared" si="43"/>
        <v>4.0703146071428566</v>
      </c>
    </row>
    <row r="88" spans="1:26" hidden="1">
      <c r="A88">
        <v>11</v>
      </c>
      <c r="B88" s="9">
        <v>5</v>
      </c>
      <c r="C88" s="1">
        <v>10</v>
      </c>
      <c r="D88">
        <f t="shared" si="22"/>
        <v>700</v>
      </c>
      <c r="E88">
        <f t="shared" si="23"/>
        <v>350</v>
      </c>
      <c r="F88">
        <f t="shared" si="24"/>
        <v>36.85</v>
      </c>
      <c r="G88">
        <f t="shared" si="25"/>
        <v>0.154</v>
      </c>
      <c r="H88">
        <f t="shared" si="26"/>
        <v>161.69999999999999</v>
      </c>
      <c r="I88">
        <f t="shared" si="27"/>
        <v>462</v>
      </c>
      <c r="J88">
        <f t="shared" si="28"/>
        <v>330</v>
      </c>
      <c r="K88">
        <f t="shared" si="29"/>
        <v>115.5</v>
      </c>
      <c r="L88">
        <f t="shared" si="30"/>
        <v>8.8934999999999995</v>
      </c>
      <c r="M88">
        <f t="shared" si="31"/>
        <v>8.5470000000000006</v>
      </c>
      <c r="N88">
        <f t="shared" si="32"/>
        <v>6.8144999999999998</v>
      </c>
      <c r="O88">
        <f t="shared" si="33"/>
        <v>6.2777647058823529</v>
      </c>
      <c r="P88">
        <f t="shared" si="34"/>
        <v>3.3261339092872566</v>
      </c>
      <c r="Q88">
        <f t="shared" si="35"/>
        <v>46.2</v>
      </c>
      <c r="R88">
        <f t="shared" si="36"/>
        <v>550</v>
      </c>
      <c r="S88">
        <f t="shared" si="37"/>
        <v>276.10000000000002</v>
      </c>
      <c r="T88">
        <f t="shared" si="38"/>
        <v>53.9</v>
      </c>
      <c r="U88">
        <f>I88*E88/'[1]Inverter Analysis'!$L$2</f>
        <v>387.48229985345614</v>
      </c>
      <c r="V88">
        <f t="shared" si="39"/>
        <v>242.42424242424244</v>
      </c>
      <c r="W88">
        <f t="shared" si="40"/>
        <v>289.75009054690327</v>
      </c>
      <c r="X88">
        <f t="shared" si="41"/>
        <v>173.16017316017317</v>
      </c>
      <c r="Y88">
        <f t="shared" si="42"/>
        <v>0.58768580480357047</v>
      </c>
      <c r="Z88">
        <f t="shared" si="43"/>
        <v>3.1351786702008937</v>
      </c>
    </row>
    <row r="89" spans="1:26" hidden="1">
      <c r="A89">
        <v>10</v>
      </c>
      <c r="B89" s="9">
        <v>5</v>
      </c>
      <c r="C89" s="1">
        <v>10</v>
      </c>
      <c r="D89">
        <f t="shared" si="22"/>
        <v>700</v>
      </c>
      <c r="E89">
        <f t="shared" si="23"/>
        <v>350</v>
      </c>
      <c r="F89">
        <f t="shared" si="24"/>
        <v>33.5</v>
      </c>
      <c r="G89">
        <f t="shared" si="25"/>
        <v>0.14000000000000001</v>
      </c>
      <c r="H89">
        <f t="shared" si="26"/>
        <v>147</v>
      </c>
      <c r="I89">
        <f t="shared" si="27"/>
        <v>420</v>
      </c>
      <c r="J89">
        <f t="shared" si="28"/>
        <v>300</v>
      </c>
      <c r="K89">
        <f t="shared" si="29"/>
        <v>105</v>
      </c>
      <c r="L89">
        <f t="shared" si="30"/>
        <v>8.0850000000000009</v>
      </c>
      <c r="M89">
        <f t="shared" si="31"/>
        <v>7.77</v>
      </c>
      <c r="N89">
        <f t="shared" si="32"/>
        <v>6.1950000000000003</v>
      </c>
      <c r="O89">
        <f t="shared" si="33"/>
        <v>5.7070588235294126</v>
      </c>
      <c r="P89">
        <f t="shared" si="34"/>
        <v>3.0237580993520519</v>
      </c>
      <c r="Q89">
        <f t="shared" si="35"/>
        <v>42</v>
      </c>
      <c r="R89">
        <f t="shared" si="36"/>
        <v>500</v>
      </c>
      <c r="S89">
        <f t="shared" si="37"/>
        <v>251</v>
      </c>
      <c r="T89">
        <f t="shared" si="38"/>
        <v>49.000000000000007</v>
      </c>
      <c r="U89">
        <f>I89*E89/'[1]Inverter Analysis'!$L$2</f>
        <v>352.2566362304147</v>
      </c>
      <c r="V89">
        <f t="shared" si="39"/>
        <v>266.66666666666669</v>
      </c>
      <c r="W89">
        <f t="shared" si="40"/>
        <v>318.72509960159363</v>
      </c>
      <c r="X89">
        <f t="shared" si="41"/>
        <v>190.47619047619048</v>
      </c>
      <c r="Y89">
        <f t="shared" si="42"/>
        <v>0.7110998238123204</v>
      </c>
      <c r="Z89">
        <f t="shared" si="43"/>
        <v>2.3555061383928573</v>
      </c>
    </row>
    <row r="90" spans="1:26" hidden="1">
      <c r="A90">
        <v>16</v>
      </c>
      <c r="B90">
        <v>4</v>
      </c>
      <c r="C90" s="1">
        <v>10</v>
      </c>
      <c r="D90">
        <f t="shared" si="22"/>
        <v>560</v>
      </c>
      <c r="E90">
        <f t="shared" si="23"/>
        <v>280</v>
      </c>
      <c r="F90">
        <f t="shared" si="24"/>
        <v>42.88</v>
      </c>
      <c r="G90">
        <f t="shared" si="25"/>
        <v>0.28000000000000003</v>
      </c>
      <c r="H90">
        <f t="shared" si="26"/>
        <v>188.16</v>
      </c>
      <c r="I90">
        <f t="shared" si="27"/>
        <v>672</v>
      </c>
      <c r="J90">
        <f t="shared" si="28"/>
        <v>480</v>
      </c>
      <c r="K90">
        <f t="shared" si="29"/>
        <v>134.4</v>
      </c>
      <c r="L90">
        <f t="shared" si="30"/>
        <v>10.348800000000001</v>
      </c>
      <c r="M90">
        <f t="shared" si="31"/>
        <v>9.9456000000000007</v>
      </c>
      <c r="N90">
        <f t="shared" si="32"/>
        <v>7.9296000000000006</v>
      </c>
      <c r="O90">
        <f t="shared" si="33"/>
        <v>7.3050352941176477</v>
      </c>
      <c r="P90">
        <f t="shared" si="34"/>
        <v>3.8704103671706265</v>
      </c>
      <c r="Q90">
        <f t="shared" si="35"/>
        <v>67.2</v>
      </c>
      <c r="R90">
        <f t="shared" si="36"/>
        <v>640</v>
      </c>
      <c r="S90">
        <f t="shared" si="37"/>
        <v>401.6</v>
      </c>
      <c r="T90">
        <f t="shared" si="38"/>
        <v>78.400000000000006</v>
      </c>
      <c r="U90">
        <f>I90*E90/'[1]Inverter Analysis'!$L$2</f>
        <v>450.88849437493081</v>
      </c>
      <c r="V90">
        <f t="shared" si="39"/>
        <v>166.66666666666666</v>
      </c>
      <c r="W90">
        <f t="shared" si="40"/>
        <v>199.203187250996</v>
      </c>
      <c r="X90">
        <f t="shared" si="41"/>
        <v>119.04761904761905</v>
      </c>
      <c r="Y90">
        <f t="shared" si="42"/>
        <v>0.27777336867668767</v>
      </c>
      <c r="Z90">
        <f t="shared" si="43"/>
        <v>7.7185225142857146</v>
      </c>
    </row>
    <row r="91" spans="1:26" hidden="1">
      <c r="A91">
        <v>15</v>
      </c>
      <c r="B91">
        <v>4</v>
      </c>
      <c r="C91" s="1">
        <v>10</v>
      </c>
      <c r="D91">
        <f t="shared" si="22"/>
        <v>560</v>
      </c>
      <c r="E91">
        <f t="shared" si="23"/>
        <v>280</v>
      </c>
      <c r="F91">
        <f t="shared" si="24"/>
        <v>40.200000000000003</v>
      </c>
      <c r="G91">
        <f t="shared" si="25"/>
        <v>0.26250000000000001</v>
      </c>
      <c r="H91">
        <f t="shared" si="26"/>
        <v>176.4</v>
      </c>
      <c r="I91">
        <f t="shared" si="27"/>
        <v>630</v>
      </c>
      <c r="J91">
        <f t="shared" si="28"/>
        <v>450</v>
      </c>
      <c r="K91">
        <f t="shared" si="29"/>
        <v>126</v>
      </c>
      <c r="L91">
        <f t="shared" si="30"/>
        <v>9.702</v>
      </c>
      <c r="M91">
        <f t="shared" si="31"/>
        <v>9.3239999999999998</v>
      </c>
      <c r="N91">
        <f t="shared" si="32"/>
        <v>7.4340000000000002</v>
      </c>
      <c r="O91">
        <f t="shared" si="33"/>
        <v>6.8484705882352941</v>
      </c>
      <c r="P91">
        <f t="shared" si="34"/>
        <v>3.6285097192224618</v>
      </c>
      <c r="Q91">
        <f t="shared" si="35"/>
        <v>63</v>
      </c>
      <c r="R91">
        <f t="shared" si="36"/>
        <v>600</v>
      </c>
      <c r="S91">
        <f t="shared" si="37"/>
        <v>376.5</v>
      </c>
      <c r="T91">
        <f t="shared" si="38"/>
        <v>73.5</v>
      </c>
      <c r="U91">
        <f>I91*E91/'[1]Inverter Analysis'!$L$2</f>
        <v>422.70796347649764</v>
      </c>
      <c r="V91">
        <f t="shared" si="39"/>
        <v>177.77777777777777</v>
      </c>
      <c r="W91">
        <f t="shared" si="40"/>
        <v>212.48339973439576</v>
      </c>
      <c r="X91">
        <f t="shared" si="41"/>
        <v>126.98412698412699</v>
      </c>
      <c r="Y91">
        <f t="shared" si="42"/>
        <v>0.3160443661388091</v>
      </c>
      <c r="Z91">
        <f t="shared" si="43"/>
        <v>6.3598665736607138</v>
      </c>
    </row>
    <row r="92" spans="1:26" hidden="1">
      <c r="A92">
        <v>14</v>
      </c>
      <c r="B92">
        <v>4</v>
      </c>
      <c r="C92" s="1">
        <v>10</v>
      </c>
      <c r="D92">
        <f t="shared" si="22"/>
        <v>560</v>
      </c>
      <c r="E92">
        <f t="shared" si="23"/>
        <v>280</v>
      </c>
      <c r="F92">
        <f t="shared" si="24"/>
        <v>37.520000000000003</v>
      </c>
      <c r="G92">
        <f t="shared" si="25"/>
        <v>0.245</v>
      </c>
      <c r="H92">
        <f t="shared" si="26"/>
        <v>164.64</v>
      </c>
      <c r="I92">
        <f t="shared" si="27"/>
        <v>588</v>
      </c>
      <c r="J92">
        <f t="shared" si="28"/>
        <v>420</v>
      </c>
      <c r="K92">
        <f t="shared" si="29"/>
        <v>117.6</v>
      </c>
      <c r="L92">
        <f t="shared" si="30"/>
        <v>9.055200000000001</v>
      </c>
      <c r="M92">
        <f t="shared" si="31"/>
        <v>8.702399999999999</v>
      </c>
      <c r="N92">
        <f t="shared" si="32"/>
        <v>6.9384000000000006</v>
      </c>
      <c r="O92">
        <f t="shared" si="33"/>
        <v>6.3919058823529422</v>
      </c>
      <c r="P92">
        <f t="shared" si="34"/>
        <v>3.386609071274298</v>
      </c>
      <c r="Q92">
        <f t="shared" si="35"/>
        <v>58.8</v>
      </c>
      <c r="R92">
        <f t="shared" si="36"/>
        <v>560</v>
      </c>
      <c r="S92">
        <f t="shared" si="37"/>
        <v>351.4</v>
      </c>
      <c r="T92">
        <f t="shared" si="38"/>
        <v>68.599999999999994</v>
      </c>
      <c r="U92">
        <f>I92*E92/'[1]Inverter Analysis'!$L$2</f>
        <v>394.52743257806446</v>
      </c>
      <c r="V92">
        <f t="shared" si="39"/>
        <v>190.47619047619048</v>
      </c>
      <c r="W92">
        <f t="shared" si="40"/>
        <v>227.66078542970973</v>
      </c>
      <c r="X92">
        <f t="shared" si="41"/>
        <v>136.05442176870747</v>
      </c>
      <c r="Y92">
        <f t="shared" si="42"/>
        <v>0.36280603255730637</v>
      </c>
      <c r="Z92">
        <f t="shared" si="43"/>
        <v>5.1708070749999999</v>
      </c>
    </row>
    <row r="93" spans="1:26" hidden="1">
      <c r="A93">
        <v>13</v>
      </c>
      <c r="B93">
        <v>4</v>
      </c>
      <c r="C93" s="1">
        <v>10</v>
      </c>
      <c r="D93">
        <f t="shared" si="22"/>
        <v>560</v>
      </c>
      <c r="E93">
        <f t="shared" si="23"/>
        <v>280</v>
      </c>
      <c r="F93">
        <f t="shared" si="24"/>
        <v>34.840000000000003</v>
      </c>
      <c r="G93">
        <f t="shared" si="25"/>
        <v>0.22749999999999998</v>
      </c>
      <c r="H93">
        <f t="shared" si="26"/>
        <v>152.88</v>
      </c>
      <c r="I93">
        <f t="shared" si="27"/>
        <v>546</v>
      </c>
      <c r="J93">
        <f t="shared" si="28"/>
        <v>390</v>
      </c>
      <c r="K93">
        <f t="shared" si="29"/>
        <v>109.2</v>
      </c>
      <c r="L93">
        <f t="shared" si="30"/>
        <v>8.4084000000000003</v>
      </c>
      <c r="M93">
        <f t="shared" si="31"/>
        <v>8.0808</v>
      </c>
      <c r="N93">
        <f t="shared" si="32"/>
        <v>6.4428000000000001</v>
      </c>
      <c r="O93">
        <f t="shared" si="33"/>
        <v>5.9353411764705886</v>
      </c>
      <c r="P93">
        <f t="shared" si="34"/>
        <v>3.1447084233261338</v>
      </c>
      <c r="Q93">
        <f t="shared" si="35"/>
        <v>54.6</v>
      </c>
      <c r="R93">
        <f t="shared" si="36"/>
        <v>520</v>
      </c>
      <c r="S93">
        <f t="shared" si="37"/>
        <v>326.3</v>
      </c>
      <c r="T93">
        <f t="shared" si="38"/>
        <v>63.699999999999996</v>
      </c>
      <c r="U93">
        <f>I93*E93/'[1]Inverter Analysis'!$L$2</f>
        <v>366.34690167963129</v>
      </c>
      <c r="V93">
        <f t="shared" si="39"/>
        <v>205.12820512820514</v>
      </c>
      <c r="W93">
        <f t="shared" si="40"/>
        <v>245.17315353968741</v>
      </c>
      <c r="X93">
        <f t="shared" si="41"/>
        <v>146.52014652014651</v>
      </c>
      <c r="Y93">
        <f t="shared" si="42"/>
        <v>0.42076912651616594</v>
      </c>
      <c r="Z93">
        <f t="shared" si="43"/>
        <v>4.1400375888392862</v>
      </c>
    </row>
    <row r="94" spans="1:26" hidden="1">
      <c r="A94">
        <v>12</v>
      </c>
      <c r="B94">
        <v>4</v>
      </c>
      <c r="C94" s="1">
        <v>10</v>
      </c>
      <c r="D94">
        <f t="shared" si="22"/>
        <v>560</v>
      </c>
      <c r="E94">
        <f t="shared" si="23"/>
        <v>280</v>
      </c>
      <c r="F94">
        <f t="shared" si="24"/>
        <v>32.159999999999997</v>
      </c>
      <c r="G94">
        <f t="shared" si="25"/>
        <v>0.21000000000000002</v>
      </c>
      <c r="H94">
        <f t="shared" si="26"/>
        <v>141.12</v>
      </c>
      <c r="I94">
        <f t="shared" si="27"/>
        <v>504</v>
      </c>
      <c r="J94">
        <f t="shared" si="28"/>
        <v>360</v>
      </c>
      <c r="K94">
        <f t="shared" si="29"/>
        <v>100.8</v>
      </c>
      <c r="L94">
        <f t="shared" si="30"/>
        <v>7.7616000000000005</v>
      </c>
      <c r="M94">
        <f t="shared" si="31"/>
        <v>7.4592000000000009</v>
      </c>
      <c r="N94">
        <f t="shared" si="32"/>
        <v>5.9472000000000005</v>
      </c>
      <c r="O94">
        <f t="shared" si="33"/>
        <v>5.4787764705882358</v>
      </c>
      <c r="P94">
        <f t="shared" si="34"/>
        <v>2.90280777537797</v>
      </c>
      <c r="Q94">
        <f t="shared" si="35"/>
        <v>50.4</v>
      </c>
      <c r="R94">
        <f t="shared" si="36"/>
        <v>480</v>
      </c>
      <c r="S94">
        <f t="shared" si="37"/>
        <v>301.2</v>
      </c>
      <c r="T94">
        <f t="shared" si="38"/>
        <v>58.800000000000004</v>
      </c>
      <c r="U94">
        <f>I94*E94/'[1]Inverter Analysis'!$L$2</f>
        <v>338.16637078119811</v>
      </c>
      <c r="V94">
        <f t="shared" si="39"/>
        <v>222.22222222222223</v>
      </c>
      <c r="W94">
        <f t="shared" si="40"/>
        <v>265.60424966799468</v>
      </c>
      <c r="X94">
        <f t="shared" si="41"/>
        <v>158.73015873015873</v>
      </c>
      <c r="Y94">
        <f t="shared" si="42"/>
        <v>0.49381932209188922</v>
      </c>
      <c r="Z94">
        <f t="shared" si="43"/>
        <v>3.2562516857142851</v>
      </c>
    </row>
    <row r="95" spans="1:26" hidden="1">
      <c r="A95">
        <v>11</v>
      </c>
      <c r="B95">
        <v>4</v>
      </c>
      <c r="C95" s="1">
        <v>10</v>
      </c>
      <c r="D95">
        <f t="shared" si="22"/>
        <v>560</v>
      </c>
      <c r="E95">
        <f t="shared" si="23"/>
        <v>280</v>
      </c>
      <c r="F95">
        <f t="shared" si="24"/>
        <v>29.48</v>
      </c>
      <c r="G95">
        <f t="shared" si="25"/>
        <v>0.1925</v>
      </c>
      <c r="H95">
        <f t="shared" si="26"/>
        <v>129.36000000000001</v>
      </c>
      <c r="I95">
        <f t="shared" si="27"/>
        <v>462</v>
      </c>
      <c r="J95">
        <f t="shared" si="28"/>
        <v>330</v>
      </c>
      <c r="K95">
        <f t="shared" si="29"/>
        <v>92.4</v>
      </c>
      <c r="L95">
        <f t="shared" si="30"/>
        <v>7.1147999999999998</v>
      </c>
      <c r="M95">
        <f t="shared" si="31"/>
        <v>6.8376000000000001</v>
      </c>
      <c r="N95">
        <f t="shared" si="32"/>
        <v>5.4516</v>
      </c>
      <c r="O95">
        <f t="shared" si="33"/>
        <v>5.0222117647058822</v>
      </c>
      <c r="P95">
        <f t="shared" si="34"/>
        <v>2.6609071274298057</v>
      </c>
      <c r="Q95">
        <f t="shared" si="35"/>
        <v>46.2</v>
      </c>
      <c r="R95">
        <f t="shared" si="36"/>
        <v>440</v>
      </c>
      <c r="S95">
        <f t="shared" si="37"/>
        <v>276.10000000000002</v>
      </c>
      <c r="T95">
        <f t="shared" si="38"/>
        <v>53.9</v>
      </c>
      <c r="U95">
        <f>I95*E95/'[1]Inverter Analysis'!$L$2</f>
        <v>309.98583988276494</v>
      </c>
      <c r="V95">
        <f t="shared" si="39"/>
        <v>242.42424242424244</v>
      </c>
      <c r="W95">
        <f t="shared" si="40"/>
        <v>289.75009054690327</v>
      </c>
      <c r="X95">
        <f t="shared" si="41"/>
        <v>173.16017316017317</v>
      </c>
      <c r="Y95">
        <f t="shared" si="42"/>
        <v>0.58768580480357047</v>
      </c>
      <c r="Z95">
        <f t="shared" si="43"/>
        <v>2.508142936160715</v>
      </c>
    </row>
    <row r="96" spans="1:26" hidden="1">
      <c r="A96">
        <v>10</v>
      </c>
      <c r="B96">
        <v>4</v>
      </c>
      <c r="C96" s="1">
        <v>10</v>
      </c>
      <c r="D96">
        <f t="shared" si="22"/>
        <v>560</v>
      </c>
      <c r="E96">
        <f t="shared" si="23"/>
        <v>280</v>
      </c>
      <c r="F96">
        <f t="shared" si="24"/>
        <v>26.8</v>
      </c>
      <c r="G96">
        <f t="shared" si="25"/>
        <v>0.17500000000000002</v>
      </c>
      <c r="H96">
        <f t="shared" si="26"/>
        <v>117.6</v>
      </c>
      <c r="I96">
        <f t="shared" si="27"/>
        <v>420</v>
      </c>
      <c r="J96">
        <f t="shared" si="28"/>
        <v>300</v>
      </c>
      <c r="K96">
        <f t="shared" si="29"/>
        <v>84</v>
      </c>
      <c r="L96">
        <f t="shared" si="30"/>
        <v>6.468</v>
      </c>
      <c r="M96">
        <f t="shared" si="31"/>
        <v>6.2160000000000002</v>
      </c>
      <c r="N96">
        <f t="shared" si="32"/>
        <v>4.9560000000000004</v>
      </c>
      <c r="O96">
        <f t="shared" si="33"/>
        <v>4.5656470588235294</v>
      </c>
      <c r="P96">
        <f t="shared" si="34"/>
        <v>2.4190064794816415</v>
      </c>
      <c r="Q96">
        <f t="shared" si="35"/>
        <v>42</v>
      </c>
      <c r="R96">
        <f t="shared" si="36"/>
        <v>400</v>
      </c>
      <c r="S96">
        <f t="shared" si="37"/>
        <v>251</v>
      </c>
      <c r="T96">
        <f t="shared" si="38"/>
        <v>49.000000000000007</v>
      </c>
      <c r="U96">
        <f>I96*E96/'[1]Inverter Analysis'!$L$2</f>
        <v>281.80530898433176</v>
      </c>
      <c r="V96">
        <f t="shared" si="39"/>
        <v>266.66666666666669</v>
      </c>
      <c r="W96">
        <f t="shared" si="40"/>
        <v>318.72509960159363</v>
      </c>
      <c r="X96">
        <f t="shared" si="41"/>
        <v>190.47619047619048</v>
      </c>
      <c r="Y96">
        <f t="shared" si="42"/>
        <v>0.7110998238123204</v>
      </c>
      <c r="Z96">
        <f t="shared" si="43"/>
        <v>1.8844049107142857</v>
      </c>
    </row>
    <row r="97" spans="1:26" hidden="1">
      <c r="A97">
        <v>16</v>
      </c>
      <c r="B97">
        <v>3</v>
      </c>
      <c r="C97" s="1">
        <v>10</v>
      </c>
      <c r="D97">
        <f t="shared" si="22"/>
        <v>420</v>
      </c>
      <c r="E97">
        <f t="shared" si="23"/>
        <v>210</v>
      </c>
      <c r="F97">
        <f t="shared" si="24"/>
        <v>32.159999999999997</v>
      </c>
      <c r="G97">
        <f t="shared" si="25"/>
        <v>0.37333333333333335</v>
      </c>
      <c r="H97">
        <f t="shared" si="26"/>
        <v>141.12</v>
      </c>
      <c r="I97">
        <f t="shared" si="27"/>
        <v>672</v>
      </c>
      <c r="J97">
        <f t="shared" si="28"/>
        <v>480</v>
      </c>
      <c r="K97">
        <f t="shared" si="29"/>
        <v>100.8</v>
      </c>
      <c r="L97">
        <f t="shared" si="30"/>
        <v>7.7616000000000005</v>
      </c>
      <c r="M97">
        <f t="shared" si="31"/>
        <v>7.4592000000000009</v>
      </c>
      <c r="N97">
        <f t="shared" si="32"/>
        <v>5.9472000000000005</v>
      </c>
      <c r="O97">
        <f t="shared" si="33"/>
        <v>5.4787764705882358</v>
      </c>
      <c r="P97">
        <f t="shared" si="34"/>
        <v>2.90280777537797</v>
      </c>
      <c r="Q97">
        <f t="shared" si="35"/>
        <v>67.2</v>
      </c>
      <c r="R97">
        <f t="shared" si="36"/>
        <v>480</v>
      </c>
      <c r="S97">
        <f t="shared" si="37"/>
        <v>401.6</v>
      </c>
      <c r="T97">
        <f t="shared" si="38"/>
        <v>78.400000000000006</v>
      </c>
      <c r="U97">
        <f>I97*E97/'[1]Inverter Analysis'!$L$2</f>
        <v>338.16637078119811</v>
      </c>
      <c r="V97">
        <f t="shared" si="39"/>
        <v>166.66666666666666</v>
      </c>
      <c r="W97">
        <f t="shared" si="40"/>
        <v>199.203187250996</v>
      </c>
      <c r="X97">
        <f t="shared" si="41"/>
        <v>119.04761904761905</v>
      </c>
      <c r="Y97">
        <f t="shared" si="42"/>
        <v>0.27777336867668767</v>
      </c>
      <c r="Z97">
        <f t="shared" si="43"/>
        <v>5.7888918857142855</v>
      </c>
    </row>
    <row r="98" spans="1:26" hidden="1">
      <c r="A98">
        <v>15</v>
      </c>
      <c r="B98">
        <v>3</v>
      </c>
      <c r="C98" s="1">
        <v>10</v>
      </c>
      <c r="D98">
        <f t="shared" si="22"/>
        <v>420</v>
      </c>
      <c r="E98">
        <f t="shared" si="23"/>
        <v>210</v>
      </c>
      <c r="F98">
        <f t="shared" si="24"/>
        <v>30.15</v>
      </c>
      <c r="G98">
        <f t="shared" si="25"/>
        <v>0.35000000000000003</v>
      </c>
      <c r="H98">
        <f t="shared" si="26"/>
        <v>132.30000000000001</v>
      </c>
      <c r="I98">
        <f t="shared" si="27"/>
        <v>630</v>
      </c>
      <c r="J98">
        <f t="shared" si="28"/>
        <v>450</v>
      </c>
      <c r="K98">
        <f t="shared" si="29"/>
        <v>94.5</v>
      </c>
      <c r="L98">
        <f t="shared" si="30"/>
        <v>7.2765000000000004</v>
      </c>
      <c r="M98">
        <f t="shared" si="31"/>
        <v>6.9930000000000003</v>
      </c>
      <c r="N98">
        <f t="shared" si="32"/>
        <v>5.5754999999999999</v>
      </c>
      <c r="O98">
        <f t="shared" si="33"/>
        <v>5.1363529411764715</v>
      </c>
      <c r="P98">
        <f t="shared" si="34"/>
        <v>2.7213822894168467</v>
      </c>
      <c r="Q98">
        <f t="shared" si="35"/>
        <v>63</v>
      </c>
      <c r="R98">
        <f t="shared" si="36"/>
        <v>450</v>
      </c>
      <c r="S98">
        <f t="shared" si="37"/>
        <v>376.5</v>
      </c>
      <c r="T98">
        <f t="shared" si="38"/>
        <v>73.5</v>
      </c>
      <c r="U98">
        <f>I98*E98/'[1]Inverter Analysis'!$L$2</f>
        <v>317.0309726073732</v>
      </c>
      <c r="V98">
        <f t="shared" si="39"/>
        <v>177.77777777777777</v>
      </c>
      <c r="W98">
        <f t="shared" si="40"/>
        <v>212.48339973439576</v>
      </c>
      <c r="X98">
        <f t="shared" si="41"/>
        <v>126.98412698412699</v>
      </c>
      <c r="Y98">
        <f t="shared" si="42"/>
        <v>0.3160443661388091</v>
      </c>
      <c r="Z98">
        <f t="shared" si="43"/>
        <v>4.7698999302455354</v>
      </c>
    </row>
    <row r="99" spans="1:26" hidden="1">
      <c r="A99">
        <v>14</v>
      </c>
      <c r="B99">
        <v>3</v>
      </c>
      <c r="C99" s="1">
        <v>10</v>
      </c>
      <c r="D99">
        <f t="shared" si="22"/>
        <v>420</v>
      </c>
      <c r="E99">
        <f t="shared" si="23"/>
        <v>210</v>
      </c>
      <c r="F99">
        <f t="shared" si="24"/>
        <v>28.14</v>
      </c>
      <c r="G99">
        <f t="shared" si="25"/>
        <v>0.32666666666666672</v>
      </c>
      <c r="H99">
        <f t="shared" si="26"/>
        <v>123.48</v>
      </c>
      <c r="I99">
        <f t="shared" si="27"/>
        <v>588</v>
      </c>
      <c r="J99">
        <f t="shared" si="28"/>
        <v>420</v>
      </c>
      <c r="K99">
        <f t="shared" si="29"/>
        <v>88.2</v>
      </c>
      <c r="L99">
        <f t="shared" si="30"/>
        <v>6.7914000000000003</v>
      </c>
      <c r="M99">
        <f t="shared" si="31"/>
        <v>6.5267999999999997</v>
      </c>
      <c r="N99">
        <f t="shared" si="32"/>
        <v>5.2038000000000002</v>
      </c>
      <c r="O99">
        <f t="shared" si="33"/>
        <v>4.7939294117647062</v>
      </c>
      <c r="P99">
        <f t="shared" si="34"/>
        <v>2.5399568034557234</v>
      </c>
      <c r="Q99">
        <f t="shared" si="35"/>
        <v>58.8</v>
      </c>
      <c r="R99">
        <f t="shared" si="36"/>
        <v>420</v>
      </c>
      <c r="S99">
        <f t="shared" si="37"/>
        <v>351.4</v>
      </c>
      <c r="T99">
        <f t="shared" si="38"/>
        <v>68.600000000000009</v>
      </c>
      <c r="U99">
        <f>I99*E99/'[1]Inverter Analysis'!$L$2</f>
        <v>295.89557443354835</v>
      </c>
      <c r="V99">
        <f t="shared" si="39"/>
        <v>190.47619047619048</v>
      </c>
      <c r="W99">
        <f t="shared" si="40"/>
        <v>227.66078542970973</v>
      </c>
      <c r="X99">
        <f t="shared" si="41"/>
        <v>136.05442176870747</v>
      </c>
      <c r="Y99">
        <f t="shared" si="42"/>
        <v>0.36280603255730637</v>
      </c>
      <c r="Z99">
        <f t="shared" si="43"/>
        <v>3.8781053062499993</v>
      </c>
    </row>
    <row r="100" spans="1:26" hidden="1">
      <c r="A100">
        <v>13</v>
      </c>
      <c r="B100">
        <v>3</v>
      </c>
      <c r="C100" s="1">
        <v>10</v>
      </c>
      <c r="D100">
        <f t="shared" si="22"/>
        <v>420</v>
      </c>
      <c r="E100">
        <f t="shared" si="23"/>
        <v>210</v>
      </c>
      <c r="F100">
        <f t="shared" si="24"/>
        <v>26.13</v>
      </c>
      <c r="G100">
        <f t="shared" si="25"/>
        <v>0.30333333333333334</v>
      </c>
      <c r="H100">
        <f t="shared" si="26"/>
        <v>114.66</v>
      </c>
      <c r="I100">
        <f t="shared" si="27"/>
        <v>546</v>
      </c>
      <c r="J100">
        <f t="shared" si="28"/>
        <v>390</v>
      </c>
      <c r="K100">
        <f t="shared" si="29"/>
        <v>81.900000000000006</v>
      </c>
      <c r="L100">
        <f t="shared" si="30"/>
        <v>6.3062999999999994</v>
      </c>
      <c r="M100">
        <f t="shared" si="31"/>
        <v>6.0606</v>
      </c>
      <c r="N100">
        <f t="shared" si="32"/>
        <v>4.8321000000000005</v>
      </c>
      <c r="O100">
        <f t="shared" si="33"/>
        <v>4.451505882352941</v>
      </c>
      <c r="P100">
        <f t="shared" si="34"/>
        <v>2.3585313174946001</v>
      </c>
      <c r="Q100">
        <f t="shared" si="35"/>
        <v>54.6</v>
      </c>
      <c r="R100">
        <f t="shared" si="36"/>
        <v>390</v>
      </c>
      <c r="S100">
        <f t="shared" si="37"/>
        <v>326.3</v>
      </c>
      <c r="T100">
        <f t="shared" si="38"/>
        <v>63.7</v>
      </c>
      <c r="U100">
        <f>I100*E100/'[1]Inverter Analysis'!$L$2</f>
        <v>274.76017625972344</v>
      </c>
      <c r="V100">
        <f t="shared" si="39"/>
        <v>205.12820512820514</v>
      </c>
      <c r="W100">
        <f t="shared" si="40"/>
        <v>245.17315353968741</v>
      </c>
      <c r="X100">
        <f t="shared" si="41"/>
        <v>146.52014652014651</v>
      </c>
      <c r="Y100">
        <f t="shared" si="42"/>
        <v>0.42076912651616594</v>
      </c>
      <c r="Z100">
        <f t="shared" si="43"/>
        <v>3.1050281916294642</v>
      </c>
    </row>
    <row r="101" spans="1:26" hidden="1">
      <c r="A101">
        <v>12</v>
      </c>
      <c r="B101">
        <v>3</v>
      </c>
      <c r="C101" s="1">
        <v>10</v>
      </c>
      <c r="D101">
        <f t="shared" si="22"/>
        <v>420</v>
      </c>
      <c r="E101">
        <f t="shared" si="23"/>
        <v>210</v>
      </c>
      <c r="F101">
        <f t="shared" si="24"/>
        <v>24.12</v>
      </c>
      <c r="G101">
        <f t="shared" si="25"/>
        <v>0.28000000000000003</v>
      </c>
      <c r="H101">
        <f t="shared" si="26"/>
        <v>105.84</v>
      </c>
      <c r="I101">
        <f t="shared" si="27"/>
        <v>504</v>
      </c>
      <c r="J101">
        <f t="shared" si="28"/>
        <v>360</v>
      </c>
      <c r="K101">
        <f t="shared" si="29"/>
        <v>75.599999999999994</v>
      </c>
      <c r="L101">
        <f t="shared" si="30"/>
        <v>5.821200000000001</v>
      </c>
      <c r="M101">
        <f t="shared" si="31"/>
        <v>5.5944000000000003</v>
      </c>
      <c r="N101">
        <f t="shared" si="32"/>
        <v>4.4604000000000008</v>
      </c>
      <c r="O101">
        <f t="shared" si="33"/>
        <v>4.1090823529411775</v>
      </c>
      <c r="P101">
        <f t="shared" si="34"/>
        <v>2.1771058315334773</v>
      </c>
      <c r="Q101">
        <f t="shared" si="35"/>
        <v>50.4</v>
      </c>
      <c r="R101">
        <f t="shared" si="36"/>
        <v>360</v>
      </c>
      <c r="S101">
        <f t="shared" si="37"/>
        <v>301.2</v>
      </c>
      <c r="T101">
        <f t="shared" si="38"/>
        <v>58.800000000000004</v>
      </c>
      <c r="U101">
        <f>I101*E101/'[1]Inverter Analysis'!$L$2</f>
        <v>253.62477808589858</v>
      </c>
      <c r="V101">
        <f t="shared" si="39"/>
        <v>222.22222222222223</v>
      </c>
      <c r="W101">
        <f t="shared" si="40"/>
        <v>265.60424966799468</v>
      </c>
      <c r="X101">
        <f t="shared" si="41"/>
        <v>158.73015873015873</v>
      </c>
      <c r="Y101">
        <f t="shared" si="42"/>
        <v>0.49381932209188922</v>
      </c>
      <c r="Z101">
        <f t="shared" si="43"/>
        <v>2.4421887642857145</v>
      </c>
    </row>
    <row r="102" spans="1:26" hidden="1">
      <c r="A102">
        <v>11</v>
      </c>
      <c r="B102">
        <v>3</v>
      </c>
      <c r="C102" s="1">
        <v>10</v>
      </c>
      <c r="D102">
        <f t="shared" si="22"/>
        <v>420</v>
      </c>
      <c r="E102">
        <f t="shared" si="23"/>
        <v>210</v>
      </c>
      <c r="F102">
        <f t="shared" si="24"/>
        <v>22.11</v>
      </c>
      <c r="G102">
        <f t="shared" si="25"/>
        <v>0.25666666666666665</v>
      </c>
      <c r="H102">
        <f t="shared" si="26"/>
        <v>97.02</v>
      </c>
      <c r="I102">
        <f t="shared" si="27"/>
        <v>462</v>
      </c>
      <c r="J102">
        <f t="shared" si="28"/>
        <v>330</v>
      </c>
      <c r="K102">
        <f t="shared" si="29"/>
        <v>69.3</v>
      </c>
      <c r="L102">
        <f t="shared" si="30"/>
        <v>5.3361000000000001</v>
      </c>
      <c r="M102">
        <f t="shared" si="31"/>
        <v>5.1282000000000005</v>
      </c>
      <c r="N102">
        <f t="shared" si="32"/>
        <v>4.0887000000000002</v>
      </c>
      <c r="O102">
        <f t="shared" si="33"/>
        <v>3.7666588235294118</v>
      </c>
      <c r="P102">
        <f t="shared" si="34"/>
        <v>1.9956803455723542</v>
      </c>
      <c r="Q102">
        <f t="shared" si="35"/>
        <v>46.2</v>
      </c>
      <c r="R102">
        <f t="shared" si="36"/>
        <v>330</v>
      </c>
      <c r="S102">
        <f t="shared" si="37"/>
        <v>276.10000000000002</v>
      </c>
      <c r="T102">
        <f t="shared" si="38"/>
        <v>53.9</v>
      </c>
      <c r="U102">
        <f>I102*E102/'[1]Inverter Analysis'!$L$2</f>
        <v>232.4893799120737</v>
      </c>
      <c r="V102">
        <f t="shared" si="39"/>
        <v>242.42424242424244</v>
      </c>
      <c r="W102">
        <f t="shared" si="40"/>
        <v>289.75009054690327</v>
      </c>
      <c r="X102">
        <f t="shared" si="41"/>
        <v>173.16017316017317</v>
      </c>
      <c r="Y102">
        <f t="shared" si="42"/>
        <v>0.58768580480357047</v>
      </c>
      <c r="Z102">
        <f t="shared" si="43"/>
        <v>1.8811072021205359</v>
      </c>
    </row>
    <row r="103" spans="1:26" hidden="1">
      <c r="A103">
        <v>10</v>
      </c>
      <c r="B103">
        <v>3</v>
      </c>
      <c r="C103" s="1">
        <v>10</v>
      </c>
      <c r="D103">
        <f t="shared" si="22"/>
        <v>420</v>
      </c>
      <c r="E103">
        <f t="shared" si="23"/>
        <v>210</v>
      </c>
      <c r="F103">
        <f t="shared" si="24"/>
        <v>20.100000000000001</v>
      </c>
      <c r="G103">
        <f t="shared" si="25"/>
        <v>0.23333333333333334</v>
      </c>
      <c r="H103">
        <f t="shared" si="26"/>
        <v>88.2</v>
      </c>
      <c r="I103">
        <f t="shared" si="27"/>
        <v>420</v>
      </c>
      <c r="J103">
        <f t="shared" si="28"/>
        <v>300</v>
      </c>
      <c r="K103">
        <f t="shared" si="29"/>
        <v>63</v>
      </c>
      <c r="L103">
        <f t="shared" si="30"/>
        <v>4.851</v>
      </c>
      <c r="M103">
        <f t="shared" si="31"/>
        <v>4.6619999999999999</v>
      </c>
      <c r="N103">
        <f t="shared" si="32"/>
        <v>3.7170000000000001</v>
      </c>
      <c r="O103">
        <f t="shared" si="33"/>
        <v>3.424235294117647</v>
      </c>
      <c r="P103">
        <f t="shared" si="34"/>
        <v>1.8142548596112309</v>
      </c>
      <c r="Q103">
        <f t="shared" si="35"/>
        <v>42</v>
      </c>
      <c r="R103">
        <f t="shared" si="36"/>
        <v>300</v>
      </c>
      <c r="S103">
        <f t="shared" si="37"/>
        <v>251</v>
      </c>
      <c r="T103">
        <f t="shared" si="38"/>
        <v>49</v>
      </c>
      <c r="U103">
        <f>I103*E103/'[1]Inverter Analysis'!$L$2</f>
        <v>211.35398173824882</v>
      </c>
      <c r="V103">
        <f t="shared" si="39"/>
        <v>266.66666666666669</v>
      </c>
      <c r="W103">
        <f t="shared" si="40"/>
        <v>318.72509960159363</v>
      </c>
      <c r="X103">
        <f t="shared" si="41"/>
        <v>190.47619047619048</v>
      </c>
      <c r="Y103">
        <f t="shared" si="42"/>
        <v>0.7110998238123204</v>
      </c>
      <c r="Z103">
        <f t="shared" si="43"/>
        <v>1.4133036830357142</v>
      </c>
    </row>
    <row r="104" spans="1:26" hidden="1">
      <c r="A104">
        <v>16</v>
      </c>
      <c r="B104">
        <v>2</v>
      </c>
      <c r="C104" s="1">
        <v>10</v>
      </c>
      <c r="D104">
        <f t="shared" si="22"/>
        <v>280</v>
      </c>
      <c r="E104">
        <f t="shared" si="23"/>
        <v>140</v>
      </c>
      <c r="F104">
        <f t="shared" si="24"/>
        <v>21.44</v>
      </c>
      <c r="G104">
        <f t="shared" si="25"/>
        <v>0.56000000000000005</v>
      </c>
      <c r="H104">
        <f t="shared" si="26"/>
        <v>94.08</v>
      </c>
      <c r="I104">
        <f t="shared" si="27"/>
        <v>672</v>
      </c>
      <c r="J104">
        <f t="shared" si="28"/>
        <v>480</v>
      </c>
      <c r="K104">
        <f t="shared" si="29"/>
        <v>67.2</v>
      </c>
      <c r="L104">
        <f t="shared" si="30"/>
        <v>5.1744000000000003</v>
      </c>
      <c r="M104">
        <f t="shared" si="31"/>
        <v>4.9728000000000003</v>
      </c>
      <c r="N104">
        <f t="shared" si="32"/>
        <v>3.9648000000000003</v>
      </c>
      <c r="O104">
        <f t="shared" si="33"/>
        <v>3.6525176470588239</v>
      </c>
      <c r="P104">
        <f t="shared" si="34"/>
        <v>1.9352051835853132</v>
      </c>
      <c r="Q104">
        <f t="shared" si="35"/>
        <v>67.2</v>
      </c>
      <c r="R104">
        <f t="shared" si="36"/>
        <v>320</v>
      </c>
      <c r="S104">
        <f t="shared" si="37"/>
        <v>401.6</v>
      </c>
      <c r="T104">
        <f t="shared" si="38"/>
        <v>78.400000000000006</v>
      </c>
      <c r="U104">
        <f>I104*E104/'[1]Inverter Analysis'!$L$2</f>
        <v>225.44424718746541</v>
      </c>
      <c r="V104">
        <f t="shared" si="39"/>
        <v>166.66666666666666</v>
      </c>
      <c r="W104">
        <f t="shared" si="40"/>
        <v>199.203187250996</v>
      </c>
      <c r="X104">
        <f t="shared" si="41"/>
        <v>119.04761904761905</v>
      </c>
      <c r="Y104">
        <f t="shared" si="42"/>
        <v>0.27777336867668767</v>
      </c>
      <c r="Z104">
        <f t="shared" si="43"/>
        <v>3.8592612571428573</v>
      </c>
    </row>
    <row r="105" spans="1:26" hidden="1">
      <c r="A105">
        <v>15</v>
      </c>
      <c r="B105">
        <v>2</v>
      </c>
      <c r="C105" s="1">
        <v>10</v>
      </c>
      <c r="D105">
        <f t="shared" si="22"/>
        <v>280</v>
      </c>
      <c r="E105">
        <f t="shared" si="23"/>
        <v>140</v>
      </c>
      <c r="F105">
        <f t="shared" si="24"/>
        <v>20.100000000000001</v>
      </c>
      <c r="G105">
        <f t="shared" si="25"/>
        <v>0.52500000000000002</v>
      </c>
      <c r="H105">
        <f t="shared" si="26"/>
        <v>88.2</v>
      </c>
      <c r="I105">
        <f t="shared" si="27"/>
        <v>630</v>
      </c>
      <c r="J105">
        <f t="shared" si="28"/>
        <v>450</v>
      </c>
      <c r="K105">
        <f t="shared" si="29"/>
        <v>63</v>
      </c>
      <c r="L105">
        <f t="shared" si="30"/>
        <v>4.851</v>
      </c>
      <c r="M105">
        <f t="shared" si="31"/>
        <v>4.6619999999999999</v>
      </c>
      <c r="N105">
        <f t="shared" si="32"/>
        <v>3.7170000000000001</v>
      </c>
      <c r="O105">
        <f t="shared" si="33"/>
        <v>3.424235294117647</v>
      </c>
      <c r="P105">
        <f t="shared" si="34"/>
        <v>1.8142548596112309</v>
      </c>
      <c r="Q105">
        <f t="shared" si="35"/>
        <v>63</v>
      </c>
      <c r="R105">
        <f t="shared" si="36"/>
        <v>300</v>
      </c>
      <c r="S105">
        <f t="shared" si="37"/>
        <v>376.5</v>
      </c>
      <c r="T105">
        <f t="shared" si="38"/>
        <v>73.5</v>
      </c>
      <c r="U105">
        <f>I105*E105/'[1]Inverter Analysis'!$L$2</f>
        <v>211.35398173824882</v>
      </c>
      <c r="V105">
        <f t="shared" si="39"/>
        <v>177.77777777777777</v>
      </c>
      <c r="W105">
        <f t="shared" si="40"/>
        <v>212.48339973439576</v>
      </c>
      <c r="X105">
        <f t="shared" si="41"/>
        <v>126.98412698412699</v>
      </c>
      <c r="Y105">
        <f t="shared" si="42"/>
        <v>0.3160443661388091</v>
      </c>
      <c r="Z105">
        <f t="shared" si="43"/>
        <v>3.1799332868303569</v>
      </c>
    </row>
    <row r="106" spans="1:26" hidden="1">
      <c r="A106">
        <v>14</v>
      </c>
      <c r="B106">
        <v>2</v>
      </c>
      <c r="C106" s="1">
        <v>10</v>
      </c>
      <c r="D106">
        <f t="shared" si="22"/>
        <v>280</v>
      </c>
      <c r="E106">
        <f t="shared" si="23"/>
        <v>140</v>
      </c>
      <c r="F106">
        <f t="shared" si="24"/>
        <v>18.760000000000002</v>
      </c>
      <c r="G106">
        <f t="shared" si="25"/>
        <v>0.49</v>
      </c>
      <c r="H106">
        <f t="shared" si="26"/>
        <v>82.32</v>
      </c>
      <c r="I106">
        <f t="shared" si="27"/>
        <v>588</v>
      </c>
      <c r="J106">
        <f t="shared" si="28"/>
        <v>420</v>
      </c>
      <c r="K106">
        <f t="shared" si="29"/>
        <v>58.8</v>
      </c>
      <c r="L106">
        <f t="shared" si="30"/>
        <v>4.5276000000000005</v>
      </c>
      <c r="M106">
        <f t="shared" si="31"/>
        <v>4.3511999999999995</v>
      </c>
      <c r="N106">
        <f t="shared" si="32"/>
        <v>3.4692000000000003</v>
      </c>
      <c r="O106">
        <f t="shared" si="33"/>
        <v>3.1959529411764711</v>
      </c>
      <c r="P106">
        <f t="shared" si="34"/>
        <v>1.693304535637149</v>
      </c>
      <c r="Q106">
        <f t="shared" si="35"/>
        <v>58.8</v>
      </c>
      <c r="R106">
        <f t="shared" si="36"/>
        <v>280</v>
      </c>
      <c r="S106">
        <f t="shared" si="37"/>
        <v>351.4</v>
      </c>
      <c r="T106">
        <f t="shared" si="38"/>
        <v>68.599999999999994</v>
      </c>
      <c r="U106">
        <f>I106*E106/'[1]Inverter Analysis'!$L$2</f>
        <v>197.26371628903223</v>
      </c>
      <c r="V106">
        <f t="shared" si="39"/>
        <v>190.47619047619048</v>
      </c>
      <c r="W106">
        <f t="shared" si="40"/>
        <v>227.66078542970973</v>
      </c>
      <c r="X106">
        <f t="shared" si="41"/>
        <v>136.05442176870747</v>
      </c>
      <c r="Y106">
        <f t="shared" si="42"/>
        <v>0.36280603255730637</v>
      </c>
      <c r="Z106">
        <f t="shared" si="43"/>
        <v>2.5854035375</v>
      </c>
    </row>
    <row r="107" spans="1:26" hidden="1">
      <c r="A107">
        <v>13</v>
      </c>
      <c r="B107">
        <v>2</v>
      </c>
      <c r="C107" s="1">
        <v>10</v>
      </c>
      <c r="D107">
        <f t="shared" si="22"/>
        <v>280</v>
      </c>
      <c r="E107">
        <f t="shared" si="23"/>
        <v>140</v>
      </c>
      <c r="F107">
        <f t="shared" si="24"/>
        <v>17.420000000000002</v>
      </c>
      <c r="G107">
        <f t="shared" si="25"/>
        <v>0.45499999999999996</v>
      </c>
      <c r="H107">
        <f t="shared" si="26"/>
        <v>76.44</v>
      </c>
      <c r="I107">
        <f t="shared" si="27"/>
        <v>546</v>
      </c>
      <c r="J107">
        <f t="shared" si="28"/>
        <v>390</v>
      </c>
      <c r="K107">
        <f t="shared" si="29"/>
        <v>54.6</v>
      </c>
      <c r="L107">
        <f t="shared" si="30"/>
        <v>4.2042000000000002</v>
      </c>
      <c r="M107">
        <f t="shared" si="31"/>
        <v>4.0404</v>
      </c>
      <c r="N107">
        <f t="shared" si="32"/>
        <v>3.2214</v>
      </c>
      <c r="O107">
        <f t="shared" si="33"/>
        <v>2.9676705882352943</v>
      </c>
      <c r="P107">
        <f t="shared" si="34"/>
        <v>1.5723542116630669</v>
      </c>
      <c r="Q107">
        <f t="shared" si="35"/>
        <v>54.6</v>
      </c>
      <c r="R107">
        <f t="shared" si="36"/>
        <v>260</v>
      </c>
      <c r="S107">
        <f t="shared" si="37"/>
        <v>326.3</v>
      </c>
      <c r="T107">
        <f t="shared" si="38"/>
        <v>63.699999999999996</v>
      </c>
      <c r="U107">
        <f>I107*E107/'[1]Inverter Analysis'!$L$2</f>
        <v>183.17345083981564</v>
      </c>
      <c r="V107">
        <f t="shared" si="39"/>
        <v>205.12820512820514</v>
      </c>
      <c r="W107">
        <f t="shared" si="40"/>
        <v>245.17315353968741</v>
      </c>
      <c r="X107">
        <f t="shared" si="41"/>
        <v>146.52014652014651</v>
      </c>
      <c r="Y107">
        <f t="shared" si="42"/>
        <v>0.42076912651616594</v>
      </c>
      <c r="Z107">
        <f t="shared" si="43"/>
        <v>2.0700187944196431</v>
      </c>
    </row>
    <row r="108" spans="1:26" hidden="1">
      <c r="A108">
        <v>12</v>
      </c>
      <c r="B108">
        <v>2</v>
      </c>
      <c r="C108" s="1">
        <v>10</v>
      </c>
      <c r="D108">
        <f t="shared" si="22"/>
        <v>280</v>
      </c>
      <c r="E108">
        <f t="shared" si="23"/>
        <v>140</v>
      </c>
      <c r="F108">
        <f t="shared" si="24"/>
        <v>16.079999999999998</v>
      </c>
      <c r="G108">
        <f t="shared" si="25"/>
        <v>0.42000000000000004</v>
      </c>
      <c r="H108">
        <f t="shared" si="26"/>
        <v>70.56</v>
      </c>
      <c r="I108">
        <f t="shared" si="27"/>
        <v>504</v>
      </c>
      <c r="J108">
        <f t="shared" si="28"/>
        <v>360</v>
      </c>
      <c r="K108">
        <f t="shared" si="29"/>
        <v>50.4</v>
      </c>
      <c r="L108">
        <f t="shared" si="30"/>
        <v>3.8808000000000002</v>
      </c>
      <c r="M108">
        <f t="shared" si="31"/>
        <v>3.7296000000000005</v>
      </c>
      <c r="N108">
        <f t="shared" si="32"/>
        <v>2.9736000000000002</v>
      </c>
      <c r="O108">
        <f t="shared" si="33"/>
        <v>2.7393882352941179</v>
      </c>
      <c r="P108">
        <f t="shared" si="34"/>
        <v>1.451403887688985</v>
      </c>
      <c r="Q108">
        <f t="shared" si="35"/>
        <v>50.4</v>
      </c>
      <c r="R108">
        <f t="shared" si="36"/>
        <v>240</v>
      </c>
      <c r="S108">
        <f t="shared" si="37"/>
        <v>301.2</v>
      </c>
      <c r="T108">
        <f t="shared" si="38"/>
        <v>58.800000000000004</v>
      </c>
      <c r="U108">
        <f>I108*E108/'[1]Inverter Analysis'!$L$2</f>
        <v>169.08318539059906</v>
      </c>
      <c r="V108">
        <f t="shared" si="39"/>
        <v>222.22222222222223</v>
      </c>
      <c r="W108">
        <f t="shared" si="40"/>
        <v>265.60424966799468</v>
      </c>
      <c r="X108">
        <f t="shared" si="41"/>
        <v>158.73015873015873</v>
      </c>
      <c r="Y108">
        <f t="shared" si="42"/>
        <v>0.49381932209188922</v>
      </c>
      <c r="Z108">
        <f t="shared" si="43"/>
        <v>1.6281258428571426</v>
      </c>
    </row>
    <row r="109" spans="1:26" hidden="1">
      <c r="A109">
        <v>11</v>
      </c>
      <c r="B109">
        <v>2</v>
      </c>
      <c r="C109" s="1">
        <v>10</v>
      </c>
      <c r="D109">
        <f t="shared" si="22"/>
        <v>280</v>
      </c>
      <c r="E109">
        <f t="shared" si="23"/>
        <v>140</v>
      </c>
      <c r="F109">
        <f t="shared" si="24"/>
        <v>14.74</v>
      </c>
      <c r="G109">
        <f t="shared" si="25"/>
        <v>0.38500000000000001</v>
      </c>
      <c r="H109">
        <f t="shared" si="26"/>
        <v>64.680000000000007</v>
      </c>
      <c r="I109">
        <f t="shared" si="27"/>
        <v>462</v>
      </c>
      <c r="J109">
        <f t="shared" si="28"/>
        <v>330</v>
      </c>
      <c r="K109">
        <f t="shared" si="29"/>
        <v>46.2</v>
      </c>
      <c r="L109">
        <f t="shared" si="30"/>
        <v>3.5573999999999999</v>
      </c>
      <c r="M109">
        <f t="shared" si="31"/>
        <v>3.4188000000000001</v>
      </c>
      <c r="N109">
        <f t="shared" si="32"/>
        <v>2.7258</v>
      </c>
      <c r="O109">
        <f t="shared" si="33"/>
        <v>2.5111058823529411</v>
      </c>
      <c r="P109">
        <f t="shared" si="34"/>
        <v>1.3304535637149029</v>
      </c>
      <c r="Q109">
        <f t="shared" si="35"/>
        <v>46.2</v>
      </c>
      <c r="R109">
        <f t="shared" si="36"/>
        <v>220</v>
      </c>
      <c r="S109">
        <f t="shared" si="37"/>
        <v>276.10000000000002</v>
      </c>
      <c r="T109">
        <f t="shared" si="38"/>
        <v>53.9</v>
      </c>
      <c r="U109">
        <f>I109*E109/'[1]Inverter Analysis'!$L$2</f>
        <v>154.99291994138247</v>
      </c>
      <c r="V109">
        <f t="shared" si="39"/>
        <v>242.42424242424244</v>
      </c>
      <c r="W109">
        <f t="shared" si="40"/>
        <v>289.75009054690327</v>
      </c>
      <c r="X109">
        <f t="shared" si="41"/>
        <v>173.16017316017317</v>
      </c>
      <c r="Y109">
        <f t="shared" si="42"/>
        <v>0.58768580480357047</v>
      </c>
      <c r="Z109">
        <f t="shared" si="43"/>
        <v>1.2540714680803575</v>
      </c>
    </row>
    <row r="110" spans="1:26" hidden="1">
      <c r="A110">
        <v>10</v>
      </c>
      <c r="B110">
        <v>2</v>
      </c>
      <c r="C110" s="1">
        <v>10</v>
      </c>
      <c r="D110">
        <f t="shared" si="22"/>
        <v>280</v>
      </c>
      <c r="E110">
        <f t="shared" si="23"/>
        <v>140</v>
      </c>
      <c r="F110">
        <f t="shared" si="24"/>
        <v>13.4</v>
      </c>
      <c r="G110">
        <f t="shared" si="25"/>
        <v>0.35000000000000003</v>
      </c>
      <c r="H110">
        <f t="shared" si="26"/>
        <v>58.8</v>
      </c>
      <c r="I110">
        <f t="shared" si="27"/>
        <v>420</v>
      </c>
      <c r="J110">
        <f t="shared" si="28"/>
        <v>300</v>
      </c>
      <c r="K110">
        <f t="shared" si="29"/>
        <v>42</v>
      </c>
      <c r="L110">
        <f t="shared" si="30"/>
        <v>3.234</v>
      </c>
      <c r="M110">
        <f t="shared" si="31"/>
        <v>3.1080000000000001</v>
      </c>
      <c r="N110">
        <f t="shared" si="32"/>
        <v>2.4780000000000002</v>
      </c>
      <c r="O110">
        <f t="shared" si="33"/>
        <v>2.2828235294117647</v>
      </c>
      <c r="P110">
        <f t="shared" si="34"/>
        <v>1.2095032397408207</v>
      </c>
      <c r="Q110">
        <f t="shared" si="35"/>
        <v>42</v>
      </c>
      <c r="R110">
        <f t="shared" si="36"/>
        <v>200</v>
      </c>
      <c r="S110">
        <f t="shared" si="37"/>
        <v>251</v>
      </c>
      <c r="T110">
        <f t="shared" si="38"/>
        <v>49.000000000000007</v>
      </c>
      <c r="U110">
        <f>I110*E110/'[1]Inverter Analysis'!$L$2</f>
        <v>140.90265449216588</v>
      </c>
      <c r="V110">
        <f t="shared" si="39"/>
        <v>266.66666666666669</v>
      </c>
      <c r="W110">
        <f t="shared" si="40"/>
        <v>318.72509960159363</v>
      </c>
      <c r="X110">
        <f t="shared" si="41"/>
        <v>190.47619047619048</v>
      </c>
      <c r="Y110">
        <f t="shared" si="42"/>
        <v>0.7110998238123204</v>
      </c>
      <c r="Z110">
        <f t="shared" si="43"/>
        <v>0.94220245535714287</v>
      </c>
    </row>
    <row r="111" spans="1:26" hidden="1">
      <c r="A111" s="8">
        <v>16</v>
      </c>
      <c r="B111" s="1">
        <v>6</v>
      </c>
      <c r="C111" s="1">
        <v>9</v>
      </c>
      <c r="D111">
        <f t="shared" si="22"/>
        <v>840</v>
      </c>
      <c r="E111">
        <f t="shared" si="23"/>
        <v>420</v>
      </c>
      <c r="F111">
        <f t="shared" si="24"/>
        <v>57.887999999999998</v>
      </c>
      <c r="G111">
        <f t="shared" si="25"/>
        <v>0.16800000000000001</v>
      </c>
      <c r="H111">
        <f t="shared" si="26"/>
        <v>254.01600000000002</v>
      </c>
      <c r="I111">
        <f t="shared" si="27"/>
        <v>604.80000000000007</v>
      </c>
      <c r="J111">
        <f t="shared" si="28"/>
        <v>432</v>
      </c>
      <c r="K111">
        <f t="shared" si="29"/>
        <v>181.44</v>
      </c>
      <c r="L111">
        <f t="shared" si="30"/>
        <v>13.970880000000003</v>
      </c>
      <c r="M111">
        <f t="shared" si="31"/>
        <v>13.426560000000002</v>
      </c>
      <c r="N111">
        <f t="shared" si="32"/>
        <v>10.704960000000003</v>
      </c>
      <c r="O111">
        <f t="shared" si="33"/>
        <v>9.8617976470588253</v>
      </c>
      <c r="P111">
        <f t="shared" si="34"/>
        <v>5.8056155507559399</v>
      </c>
      <c r="Q111">
        <f t="shared" si="35"/>
        <v>67.2</v>
      </c>
      <c r="R111">
        <f t="shared" si="36"/>
        <v>864</v>
      </c>
      <c r="S111">
        <f t="shared" si="37"/>
        <v>361.44</v>
      </c>
      <c r="T111">
        <f t="shared" si="38"/>
        <v>70.56</v>
      </c>
      <c r="U111">
        <f>I111*E111/'[1]Inverter Analysis'!$L$2</f>
        <v>608.6994674061566</v>
      </c>
      <c r="V111">
        <f t="shared" si="39"/>
        <v>185.18518518518519</v>
      </c>
      <c r="W111">
        <f t="shared" si="40"/>
        <v>221.33687472332892</v>
      </c>
      <c r="X111">
        <f t="shared" si="41"/>
        <v>132.27513227513225</v>
      </c>
      <c r="Y111">
        <f t="shared" si="42"/>
        <v>0.34293008478603415</v>
      </c>
      <c r="Z111">
        <f t="shared" si="43"/>
        <v>8.4402043693714273</v>
      </c>
    </row>
    <row r="112" spans="1:26" hidden="1">
      <c r="A112" s="8">
        <v>15</v>
      </c>
      <c r="B112" s="1">
        <v>6</v>
      </c>
      <c r="C112" s="1">
        <v>9</v>
      </c>
      <c r="D112">
        <f t="shared" si="22"/>
        <v>840</v>
      </c>
      <c r="E112">
        <f t="shared" si="23"/>
        <v>420</v>
      </c>
      <c r="F112">
        <f t="shared" si="24"/>
        <v>54.27</v>
      </c>
      <c r="G112">
        <f t="shared" si="25"/>
        <v>0.15750000000000003</v>
      </c>
      <c r="H112">
        <f t="shared" si="26"/>
        <v>238.14</v>
      </c>
      <c r="I112">
        <f t="shared" si="27"/>
        <v>567</v>
      </c>
      <c r="J112">
        <f t="shared" si="28"/>
        <v>405</v>
      </c>
      <c r="K112">
        <f t="shared" si="29"/>
        <v>170.1</v>
      </c>
      <c r="L112">
        <f t="shared" si="30"/>
        <v>13.097700000000001</v>
      </c>
      <c r="M112">
        <f t="shared" si="31"/>
        <v>12.587400000000001</v>
      </c>
      <c r="N112">
        <f t="shared" si="32"/>
        <v>10.035900000000002</v>
      </c>
      <c r="O112">
        <f t="shared" si="33"/>
        <v>9.2454352941176481</v>
      </c>
      <c r="P112">
        <f t="shared" si="34"/>
        <v>5.4427645788336925</v>
      </c>
      <c r="Q112">
        <f t="shared" si="35"/>
        <v>63</v>
      </c>
      <c r="R112">
        <f t="shared" si="36"/>
        <v>810</v>
      </c>
      <c r="S112">
        <f t="shared" si="37"/>
        <v>338.85</v>
      </c>
      <c r="T112">
        <f t="shared" si="38"/>
        <v>66.150000000000006</v>
      </c>
      <c r="U112">
        <f>I112*E112/'[1]Inverter Analysis'!$L$2</f>
        <v>570.65575069327178</v>
      </c>
      <c r="V112">
        <f t="shared" si="39"/>
        <v>197.53086419753086</v>
      </c>
      <c r="W112">
        <f t="shared" si="40"/>
        <v>236.09266637155082</v>
      </c>
      <c r="X112">
        <f t="shared" si="41"/>
        <v>141.09347442680777</v>
      </c>
      <c r="Y112">
        <f t="shared" si="42"/>
        <v>0.39017822980099887</v>
      </c>
      <c r="Z112">
        <f t="shared" si="43"/>
        <v>6.9545140982979925</v>
      </c>
    </row>
    <row r="113" spans="1:26" hidden="1">
      <c r="A113">
        <v>14</v>
      </c>
      <c r="B113" s="1">
        <v>6</v>
      </c>
      <c r="C113" s="1">
        <v>9</v>
      </c>
      <c r="D113">
        <f t="shared" si="22"/>
        <v>840</v>
      </c>
      <c r="E113">
        <f t="shared" si="23"/>
        <v>420</v>
      </c>
      <c r="F113">
        <f t="shared" si="24"/>
        <v>50.652000000000001</v>
      </c>
      <c r="G113">
        <f t="shared" si="25"/>
        <v>0.14700000000000002</v>
      </c>
      <c r="H113">
        <f t="shared" si="26"/>
        <v>222.26400000000004</v>
      </c>
      <c r="I113">
        <f t="shared" si="27"/>
        <v>529.20000000000005</v>
      </c>
      <c r="J113">
        <f t="shared" si="28"/>
        <v>378</v>
      </c>
      <c r="K113">
        <f t="shared" si="29"/>
        <v>158.76</v>
      </c>
      <c r="L113">
        <f t="shared" si="30"/>
        <v>12.224520000000002</v>
      </c>
      <c r="M113">
        <f t="shared" si="31"/>
        <v>11.748240000000001</v>
      </c>
      <c r="N113">
        <f t="shared" si="32"/>
        <v>9.3668400000000016</v>
      </c>
      <c r="O113">
        <f t="shared" si="33"/>
        <v>8.6290729411764726</v>
      </c>
      <c r="P113">
        <f t="shared" si="34"/>
        <v>5.0799136069114477</v>
      </c>
      <c r="Q113">
        <f t="shared" si="35"/>
        <v>58.800000000000004</v>
      </c>
      <c r="R113">
        <f t="shared" si="36"/>
        <v>756</v>
      </c>
      <c r="S113">
        <f t="shared" si="37"/>
        <v>316.26</v>
      </c>
      <c r="T113">
        <f t="shared" si="38"/>
        <v>61.740000000000009</v>
      </c>
      <c r="U113">
        <f>I113*E113/'[1]Inverter Analysis'!$L$2</f>
        <v>532.61203398038708</v>
      </c>
      <c r="V113">
        <f t="shared" si="39"/>
        <v>211.64021164021165</v>
      </c>
      <c r="W113">
        <f t="shared" si="40"/>
        <v>252.95642825523305</v>
      </c>
      <c r="X113">
        <f t="shared" si="41"/>
        <v>151.17157974300829</v>
      </c>
      <c r="Y113">
        <f t="shared" si="42"/>
        <v>0.44790868216951407</v>
      </c>
      <c r="Z113">
        <f t="shared" si="43"/>
        <v>5.6542775365124989</v>
      </c>
    </row>
    <row r="114" spans="1:26" hidden="1">
      <c r="A114">
        <v>13</v>
      </c>
      <c r="B114" s="1">
        <v>6</v>
      </c>
      <c r="C114" s="1">
        <v>9</v>
      </c>
      <c r="D114">
        <f t="shared" si="22"/>
        <v>840</v>
      </c>
      <c r="E114">
        <f t="shared" si="23"/>
        <v>420</v>
      </c>
      <c r="F114">
        <f t="shared" si="24"/>
        <v>47.033999999999999</v>
      </c>
      <c r="G114">
        <f t="shared" si="25"/>
        <v>0.13650000000000001</v>
      </c>
      <c r="H114">
        <f t="shared" si="26"/>
        <v>206.38800000000001</v>
      </c>
      <c r="I114">
        <f t="shared" si="27"/>
        <v>491.40000000000003</v>
      </c>
      <c r="J114">
        <f t="shared" si="28"/>
        <v>351</v>
      </c>
      <c r="K114">
        <f t="shared" si="29"/>
        <v>147.41999999999999</v>
      </c>
      <c r="L114">
        <f t="shared" si="30"/>
        <v>11.35134</v>
      </c>
      <c r="M114">
        <f t="shared" si="31"/>
        <v>10.909080000000001</v>
      </c>
      <c r="N114">
        <f t="shared" si="32"/>
        <v>8.6977799999999998</v>
      </c>
      <c r="O114">
        <f t="shared" si="33"/>
        <v>8.0127105882352954</v>
      </c>
      <c r="P114">
        <f t="shared" si="34"/>
        <v>4.7170626349892011</v>
      </c>
      <c r="Q114">
        <f t="shared" si="35"/>
        <v>54.6</v>
      </c>
      <c r="R114">
        <f t="shared" si="36"/>
        <v>702</v>
      </c>
      <c r="S114">
        <f t="shared" si="37"/>
        <v>293.67</v>
      </c>
      <c r="T114">
        <f t="shared" si="38"/>
        <v>57.330000000000005</v>
      </c>
      <c r="U114">
        <f>I114*E114/'[1]Inverter Analysis'!$L$2</f>
        <v>494.56831726750221</v>
      </c>
      <c r="V114">
        <f t="shared" si="39"/>
        <v>227.92022792022792</v>
      </c>
      <c r="W114">
        <f t="shared" si="40"/>
        <v>272.4146150440971</v>
      </c>
      <c r="X114">
        <f t="shared" si="41"/>
        <v>162.80016280016278</v>
      </c>
      <c r="Y114">
        <f t="shared" si="42"/>
        <v>0.51946805742736535</v>
      </c>
      <c r="Z114">
        <f t="shared" si="43"/>
        <v>4.5271311033957593</v>
      </c>
    </row>
    <row r="115" spans="1:26" hidden="1">
      <c r="A115">
        <v>12</v>
      </c>
      <c r="B115" s="1">
        <v>6</v>
      </c>
      <c r="C115" s="1">
        <v>9</v>
      </c>
      <c r="D115">
        <f t="shared" si="22"/>
        <v>840</v>
      </c>
      <c r="E115">
        <f t="shared" si="23"/>
        <v>420</v>
      </c>
      <c r="F115">
        <f t="shared" si="24"/>
        <v>43.415999999999997</v>
      </c>
      <c r="G115">
        <f t="shared" si="25"/>
        <v>0.12600000000000003</v>
      </c>
      <c r="H115">
        <f t="shared" si="26"/>
        <v>190.512</v>
      </c>
      <c r="I115">
        <f t="shared" si="27"/>
        <v>453.6</v>
      </c>
      <c r="J115">
        <f t="shared" si="28"/>
        <v>324</v>
      </c>
      <c r="K115">
        <f t="shared" si="29"/>
        <v>136.08000000000001</v>
      </c>
      <c r="L115">
        <f t="shared" si="30"/>
        <v>10.478159999999999</v>
      </c>
      <c r="M115">
        <f t="shared" si="31"/>
        <v>10.069920000000002</v>
      </c>
      <c r="N115">
        <f t="shared" si="32"/>
        <v>8.0287200000000016</v>
      </c>
      <c r="O115">
        <f t="shared" si="33"/>
        <v>7.3963482352941172</v>
      </c>
      <c r="P115">
        <f t="shared" si="34"/>
        <v>4.3542116630669554</v>
      </c>
      <c r="Q115">
        <f t="shared" si="35"/>
        <v>50.400000000000006</v>
      </c>
      <c r="R115">
        <f t="shared" si="36"/>
        <v>648</v>
      </c>
      <c r="S115">
        <f t="shared" si="37"/>
        <v>271.08</v>
      </c>
      <c r="T115">
        <f t="shared" si="38"/>
        <v>52.920000000000009</v>
      </c>
      <c r="U115">
        <f>I115*E115/'[1]Inverter Analysis'!$L$2</f>
        <v>456.52460055461745</v>
      </c>
      <c r="V115">
        <f t="shared" si="39"/>
        <v>246.91358024691357</v>
      </c>
      <c r="W115">
        <f t="shared" si="40"/>
        <v>295.11583296443854</v>
      </c>
      <c r="X115">
        <f t="shared" si="41"/>
        <v>176.3668430335097</v>
      </c>
      <c r="Y115">
        <f t="shared" si="42"/>
        <v>0.60965348406406072</v>
      </c>
      <c r="Z115">
        <f t="shared" si="43"/>
        <v>3.5607112183285712</v>
      </c>
    </row>
    <row r="116" spans="1:26" hidden="1">
      <c r="A116">
        <v>11</v>
      </c>
      <c r="B116" s="1">
        <v>6</v>
      </c>
      <c r="C116" s="1">
        <v>9</v>
      </c>
      <c r="D116">
        <f t="shared" si="22"/>
        <v>840</v>
      </c>
      <c r="E116">
        <f t="shared" si="23"/>
        <v>420</v>
      </c>
      <c r="F116">
        <f t="shared" si="24"/>
        <v>39.798000000000002</v>
      </c>
      <c r="G116">
        <f t="shared" si="25"/>
        <v>0.11550000000000001</v>
      </c>
      <c r="H116">
        <f t="shared" si="26"/>
        <v>174.636</v>
      </c>
      <c r="I116">
        <f t="shared" si="27"/>
        <v>415.8</v>
      </c>
      <c r="J116">
        <f t="shared" si="28"/>
        <v>297</v>
      </c>
      <c r="K116">
        <f t="shared" si="29"/>
        <v>124.74</v>
      </c>
      <c r="L116">
        <f t="shared" si="30"/>
        <v>9.6049800000000012</v>
      </c>
      <c r="M116">
        <f t="shared" si="31"/>
        <v>9.2307600000000001</v>
      </c>
      <c r="N116">
        <f t="shared" si="32"/>
        <v>7.3596600000000008</v>
      </c>
      <c r="O116">
        <f t="shared" si="33"/>
        <v>6.7799858823529426</v>
      </c>
      <c r="P116">
        <f t="shared" si="34"/>
        <v>3.9913606911447084</v>
      </c>
      <c r="Q116">
        <f t="shared" si="35"/>
        <v>46.2</v>
      </c>
      <c r="R116">
        <f t="shared" si="36"/>
        <v>594</v>
      </c>
      <c r="S116">
        <f t="shared" si="37"/>
        <v>248.49</v>
      </c>
      <c r="T116">
        <f t="shared" si="38"/>
        <v>48.510000000000005</v>
      </c>
      <c r="U116">
        <f>I116*E116/'[1]Inverter Analysis'!$L$2</f>
        <v>418.48088384173263</v>
      </c>
      <c r="V116">
        <f t="shared" si="39"/>
        <v>269.36026936026934</v>
      </c>
      <c r="W116">
        <f t="shared" si="40"/>
        <v>321.94454505211473</v>
      </c>
      <c r="X116">
        <f t="shared" si="41"/>
        <v>192.4001924001924</v>
      </c>
      <c r="Y116">
        <f t="shared" si="42"/>
        <v>0.72553803062169187</v>
      </c>
      <c r="Z116">
        <f t="shared" si="43"/>
        <v>2.7426543006917421</v>
      </c>
    </row>
    <row r="117" spans="1:26" hidden="1">
      <c r="A117">
        <v>10</v>
      </c>
      <c r="B117" s="1">
        <v>6</v>
      </c>
      <c r="C117" s="1">
        <v>9</v>
      </c>
      <c r="D117">
        <f t="shared" si="22"/>
        <v>840</v>
      </c>
      <c r="E117">
        <f t="shared" si="23"/>
        <v>420</v>
      </c>
      <c r="F117">
        <f t="shared" si="24"/>
        <v>36.18</v>
      </c>
      <c r="G117">
        <f t="shared" si="25"/>
        <v>0.10500000000000001</v>
      </c>
      <c r="H117">
        <f t="shared" si="26"/>
        <v>158.76</v>
      </c>
      <c r="I117">
        <f t="shared" si="27"/>
        <v>378</v>
      </c>
      <c r="J117">
        <f t="shared" si="28"/>
        <v>270</v>
      </c>
      <c r="K117">
        <f t="shared" si="29"/>
        <v>113.4</v>
      </c>
      <c r="L117">
        <f t="shared" si="30"/>
        <v>8.7317999999999998</v>
      </c>
      <c r="M117">
        <f t="shared" si="31"/>
        <v>8.3916000000000004</v>
      </c>
      <c r="N117">
        <f t="shared" si="32"/>
        <v>6.6906000000000008</v>
      </c>
      <c r="O117">
        <f t="shared" si="33"/>
        <v>6.1636235294117654</v>
      </c>
      <c r="P117">
        <f t="shared" si="34"/>
        <v>3.6285097192224622</v>
      </c>
      <c r="Q117">
        <f t="shared" si="35"/>
        <v>42</v>
      </c>
      <c r="R117">
        <f t="shared" si="36"/>
        <v>540</v>
      </c>
      <c r="S117">
        <f t="shared" si="37"/>
        <v>225.9</v>
      </c>
      <c r="T117">
        <f t="shared" si="38"/>
        <v>44.1</v>
      </c>
      <c r="U117">
        <f>I117*E117/'[1]Inverter Analysis'!$L$2</f>
        <v>380.43716712884788</v>
      </c>
      <c r="V117">
        <f t="shared" si="39"/>
        <v>296.2962962962963</v>
      </c>
      <c r="W117">
        <f t="shared" si="40"/>
        <v>354.13899955732626</v>
      </c>
      <c r="X117">
        <f t="shared" si="41"/>
        <v>211.64021164021165</v>
      </c>
      <c r="Y117">
        <f t="shared" si="42"/>
        <v>0.87790101705224743</v>
      </c>
      <c r="Z117">
        <f t="shared" si="43"/>
        <v>2.0605967698660717</v>
      </c>
    </row>
    <row r="118" spans="1:26" hidden="1">
      <c r="A118" s="8">
        <v>16</v>
      </c>
      <c r="B118" s="9">
        <v>5</v>
      </c>
      <c r="C118" s="1">
        <v>9</v>
      </c>
      <c r="D118">
        <f t="shared" si="22"/>
        <v>700</v>
      </c>
      <c r="E118">
        <f t="shared" si="23"/>
        <v>350</v>
      </c>
      <c r="F118">
        <f t="shared" si="24"/>
        <v>48.24</v>
      </c>
      <c r="G118">
        <f t="shared" si="25"/>
        <v>0.2016</v>
      </c>
      <c r="H118">
        <f t="shared" si="26"/>
        <v>211.68000000000004</v>
      </c>
      <c r="I118">
        <f t="shared" si="27"/>
        <v>604.80000000000007</v>
      </c>
      <c r="J118">
        <f t="shared" si="28"/>
        <v>432</v>
      </c>
      <c r="K118">
        <f t="shared" si="29"/>
        <v>151.19999999999999</v>
      </c>
      <c r="L118">
        <f t="shared" si="30"/>
        <v>11.642400000000002</v>
      </c>
      <c r="M118">
        <f t="shared" si="31"/>
        <v>11.188800000000001</v>
      </c>
      <c r="N118">
        <f t="shared" si="32"/>
        <v>8.9208000000000016</v>
      </c>
      <c r="O118">
        <f t="shared" si="33"/>
        <v>8.218164705882355</v>
      </c>
      <c r="P118">
        <f t="shared" si="34"/>
        <v>4.8380129589632839</v>
      </c>
      <c r="Q118">
        <f t="shared" si="35"/>
        <v>67.2</v>
      </c>
      <c r="R118">
        <f t="shared" si="36"/>
        <v>720</v>
      </c>
      <c r="S118">
        <f t="shared" si="37"/>
        <v>361.44</v>
      </c>
      <c r="T118">
        <f t="shared" si="38"/>
        <v>70.56</v>
      </c>
      <c r="U118">
        <f>I118*E118/'[1]Inverter Analysis'!$L$2</f>
        <v>507.24955617179722</v>
      </c>
      <c r="V118">
        <f t="shared" si="39"/>
        <v>185.18518518518519</v>
      </c>
      <c r="W118">
        <f t="shared" si="40"/>
        <v>221.33687472332892</v>
      </c>
      <c r="X118">
        <f t="shared" si="41"/>
        <v>132.27513227513225</v>
      </c>
      <c r="Y118">
        <f t="shared" si="42"/>
        <v>0.34293008478603415</v>
      </c>
      <c r="Z118">
        <f t="shared" si="43"/>
        <v>7.0335036411428575</v>
      </c>
    </row>
    <row r="119" spans="1:26" hidden="1">
      <c r="A119" s="8">
        <v>15</v>
      </c>
      <c r="B119" s="9">
        <v>5</v>
      </c>
      <c r="C119" s="1">
        <v>9</v>
      </c>
      <c r="D119">
        <f t="shared" si="22"/>
        <v>700</v>
      </c>
      <c r="E119">
        <f t="shared" si="23"/>
        <v>350</v>
      </c>
      <c r="F119">
        <f t="shared" si="24"/>
        <v>45.225000000000001</v>
      </c>
      <c r="G119">
        <f t="shared" si="25"/>
        <v>0.189</v>
      </c>
      <c r="H119">
        <f t="shared" si="26"/>
        <v>198.45</v>
      </c>
      <c r="I119">
        <f t="shared" si="27"/>
        <v>567</v>
      </c>
      <c r="J119">
        <f t="shared" si="28"/>
        <v>405</v>
      </c>
      <c r="K119">
        <f t="shared" si="29"/>
        <v>141.75</v>
      </c>
      <c r="L119">
        <f t="shared" si="30"/>
        <v>10.914750000000002</v>
      </c>
      <c r="M119">
        <f t="shared" si="31"/>
        <v>10.4895</v>
      </c>
      <c r="N119">
        <f t="shared" si="32"/>
        <v>8.3632500000000007</v>
      </c>
      <c r="O119">
        <f t="shared" si="33"/>
        <v>7.7045294117647076</v>
      </c>
      <c r="P119">
        <f t="shared" si="34"/>
        <v>4.5356371490280774</v>
      </c>
      <c r="Q119">
        <f t="shared" si="35"/>
        <v>63</v>
      </c>
      <c r="R119">
        <f t="shared" si="36"/>
        <v>675</v>
      </c>
      <c r="S119">
        <f t="shared" si="37"/>
        <v>338.85</v>
      </c>
      <c r="T119">
        <f t="shared" si="38"/>
        <v>66.150000000000006</v>
      </c>
      <c r="U119">
        <f>I119*E119/'[1]Inverter Analysis'!$L$2</f>
        <v>475.5464589110598</v>
      </c>
      <c r="V119">
        <f t="shared" si="39"/>
        <v>197.53086419753086</v>
      </c>
      <c r="W119">
        <f t="shared" si="40"/>
        <v>236.09266637155082</v>
      </c>
      <c r="X119">
        <f t="shared" si="41"/>
        <v>141.09347442680777</v>
      </c>
      <c r="Y119">
        <f t="shared" si="42"/>
        <v>0.39017822980099887</v>
      </c>
      <c r="Z119">
        <f t="shared" si="43"/>
        <v>5.7954284152483257</v>
      </c>
    </row>
    <row r="120" spans="1:26" hidden="1">
      <c r="A120">
        <v>14</v>
      </c>
      <c r="B120" s="9">
        <v>5</v>
      </c>
      <c r="C120" s="1">
        <v>9</v>
      </c>
      <c r="D120">
        <f t="shared" si="22"/>
        <v>700</v>
      </c>
      <c r="E120">
        <f t="shared" si="23"/>
        <v>350</v>
      </c>
      <c r="F120">
        <f t="shared" si="24"/>
        <v>42.21</v>
      </c>
      <c r="G120">
        <f t="shared" si="25"/>
        <v>0.1764</v>
      </c>
      <c r="H120">
        <f t="shared" si="26"/>
        <v>185.22000000000003</v>
      </c>
      <c r="I120">
        <f t="shared" si="27"/>
        <v>529.20000000000005</v>
      </c>
      <c r="J120">
        <f t="shared" si="28"/>
        <v>378</v>
      </c>
      <c r="K120">
        <f t="shared" si="29"/>
        <v>132.30000000000001</v>
      </c>
      <c r="L120">
        <f t="shared" si="30"/>
        <v>10.187100000000003</v>
      </c>
      <c r="M120">
        <f t="shared" si="31"/>
        <v>9.7902000000000005</v>
      </c>
      <c r="N120">
        <f t="shared" si="32"/>
        <v>7.8057000000000016</v>
      </c>
      <c r="O120">
        <f t="shared" si="33"/>
        <v>7.1908941176470611</v>
      </c>
      <c r="P120">
        <f t="shared" si="34"/>
        <v>4.2332613390928726</v>
      </c>
      <c r="Q120">
        <f t="shared" si="35"/>
        <v>58.800000000000004</v>
      </c>
      <c r="R120">
        <f t="shared" si="36"/>
        <v>630</v>
      </c>
      <c r="S120">
        <f t="shared" si="37"/>
        <v>316.26</v>
      </c>
      <c r="T120">
        <f t="shared" si="38"/>
        <v>61.74</v>
      </c>
      <c r="U120">
        <f>I120*E120/'[1]Inverter Analysis'!$L$2</f>
        <v>443.84336165032255</v>
      </c>
      <c r="V120">
        <f t="shared" si="39"/>
        <v>211.64021164021165</v>
      </c>
      <c r="W120">
        <f t="shared" si="40"/>
        <v>252.95642825523305</v>
      </c>
      <c r="X120">
        <f t="shared" si="41"/>
        <v>151.17157974300829</v>
      </c>
      <c r="Y120">
        <f t="shared" si="42"/>
        <v>0.44790868216951407</v>
      </c>
      <c r="Z120">
        <f t="shared" si="43"/>
        <v>4.7118979470937497</v>
      </c>
    </row>
    <row r="121" spans="1:26" hidden="1">
      <c r="A121">
        <v>13</v>
      </c>
      <c r="B121" s="9">
        <v>5</v>
      </c>
      <c r="C121" s="1">
        <v>9</v>
      </c>
      <c r="D121">
        <f t="shared" si="22"/>
        <v>700</v>
      </c>
      <c r="E121">
        <f t="shared" si="23"/>
        <v>350</v>
      </c>
      <c r="F121">
        <f t="shared" si="24"/>
        <v>39.195</v>
      </c>
      <c r="G121">
        <f t="shared" si="25"/>
        <v>0.1638</v>
      </c>
      <c r="H121">
        <f t="shared" si="26"/>
        <v>171.99</v>
      </c>
      <c r="I121">
        <f t="shared" si="27"/>
        <v>491.40000000000003</v>
      </c>
      <c r="J121">
        <f t="shared" si="28"/>
        <v>351</v>
      </c>
      <c r="K121">
        <f t="shared" si="29"/>
        <v>122.85</v>
      </c>
      <c r="L121">
        <f t="shared" si="30"/>
        <v>9.4594500000000004</v>
      </c>
      <c r="M121">
        <f t="shared" si="31"/>
        <v>9.0909000000000013</v>
      </c>
      <c r="N121">
        <f t="shared" si="32"/>
        <v>7.2481500000000008</v>
      </c>
      <c r="O121">
        <f t="shared" si="33"/>
        <v>6.6772588235294128</v>
      </c>
      <c r="P121">
        <f t="shared" si="34"/>
        <v>3.9308855291576674</v>
      </c>
      <c r="Q121">
        <f t="shared" si="35"/>
        <v>54.6</v>
      </c>
      <c r="R121">
        <f t="shared" si="36"/>
        <v>585</v>
      </c>
      <c r="S121">
        <f t="shared" si="37"/>
        <v>293.67</v>
      </c>
      <c r="T121">
        <f t="shared" si="38"/>
        <v>57.33</v>
      </c>
      <c r="U121">
        <f>I121*E121/'[1]Inverter Analysis'!$L$2</f>
        <v>412.14026438958518</v>
      </c>
      <c r="V121">
        <f t="shared" si="39"/>
        <v>227.92022792022792</v>
      </c>
      <c r="W121">
        <f t="shared" si="40"/>
        <v>272.4146150440971</v>
      </c>
      <c r="X121">
        <f t="shared" si="41"/>
        <v>162.80016280016278</v>
      </c>
      <c r="Y121">
        <f t="shared" si="42"/>
        <v>0.51946805742736535</v>
      </c>
      <c r="Z121">
        <f t="shared" si="43"/>
        <v>3.772609252829799</v>
      </c>
    </row>
    <row r="122" spans="1:26" hidden="1">
      <c r="A122">
        <v>12</v>
      </c>
      <c r="B122" s="9">
        <v>5</v>
      </c>
      <c r="C122" s="1">
        <v>9</v>
      </c>
      <c r="D122">
        <f t="shared" si="22"/>
        <v>700</v>
      </c>
      <c r="E122">
        <f t="shared" si="23"/>
        <v>350</v>
      </c>
      <c r="F122">
        <f t="shared" si="24"/>
        <v>36.18</v>
      </c>
      <c r="G122">
        <f t="shared" si="25"/>
        <v>0.1512</v>
      </c>
      <c r="H122">
        <f t="shared" si="26"/>
        <v>158.76</v>
      </c>
      <c r="I122">
        <f t="shared" si="27"/>
        <v>453.6</v>
      </c>
      <c r="J122">
        <f t="shared" si="28"/>
        <v>324</v>
      </c>
      <c r="K122">
        <f t="shared" si="29"/>
        <v>113.4</v>
      </c>
      <c r="L122">
        <f t="shared" si="30"/>
        <v>8.7318000000000016</v>
      </c>
      <c r="M122">
        <f t="shared" si="31"/>
        <v>8.3916000000000004</v>
      </c>
      <c r="N122">
        <f t="shared" si="32"/>
        <v>6.6906000000000008</v>
      </c>
      <c r="O122">
        <f t="shared" si="33"/>
        <v>6.1636235294117663</v>
      </c>
      <c r="P122">
        <f t="shared" si="34"/>
        <v>3.6285097192224622</v>
      </c>
      <c r="Q122">
        <f t="shared" si="35"/>
        <v>50.400000000000006</v>
      </c>
      <c r="R122">
        <f t="shared" si="36"/>
        <v>540</v>
      </c>
      <c r="S122">
        <f t="shared" si="37"/>
        <v>271.08</v>
      </c>
      <c r="T122">
        <f t="shared" si="38"/>
        <v>52.92</v>
      </c>
      <c r="U122">
        <f>I122*E122/'[1]Inverter Analysis'!$L$2</f>
        <v>380.43716712884788</v>
      </c>
      <c r="V122">
        <f t="shared" si="39"/>
        <v>246.91358024691357</v>
      </c>
      <c r="W122">
        <f t="shared" si="40"/>
        <v>295.11583296443854</v>
      </c>
      <c r="X122">
        <f t="shared" si="41"/>
        <v>176.3668430335097</v>
      </c>
      <c r="Y122">
        <f t="shared" si="42"/>
        <v>0.60965348406406072</v>
      </c>
      <c r="Z122">
        <f t="shared" si="43"/>
        <v>2.967259348607143</v>
      </c>
    </row>
    <row r="123" spans="1:26" hidden="1">
      <c r="A123">
        <v>11</v>
      </c>
      <c r="B123" s="9">
        <v>5</v>
      </c>
      <c r="C123" s="1">
        <v>9</v>
      </c>
      <c r="D123">
        <f t="shared" si="22"/>
        <v>700</v>
      </c>
      <c r="E123">
        <f t="shared" si="23"/>
        <v>350</v>
      </c>
      <c r="F123">
        <f t="shared" si="24"/>
        <v>33.164999999999999</v>
      </c>
      <c r="G123">
        <f t="shared" si="25"/>
        <v>0.1386</v>
      </c>
      <c r="H123">
        <f t="shared" si="26"/>
        <v>145.53</v>
      </c>
      <c r="I123">
        <f t="shared" si="27"/>
        <v>415.8</v>
      </c>
      <c r="J123">
        <f t="shared" si="28"/>
        <v>297</v>
      </c>
      <c r="K123">
        <f t="shared" si="29"/>
        <v>103.95</v>
      </c>
      <c r="L123">
        <f t="shared" si="30"/>
        <v>8.004150000000001</v>
      </c>
      <c r="M123">
        <f t="shared" si="31"/>
        <v>7.6923000000000004</v>
      </c>
      <c r="N123">
        <f t="shared" si="32"/>
        <v>6.1330500000000008</v>
      </c>
      <c r="O123">
        <f t="shared" si="33"/>
        <v>5.6499882352941189</v>
      </c>
      <c r="P123">
        <f t="shared" si="34"/>
        <v>3.3261339092872566</v>
      </c>
      <c r="Q123">
        <f t="shared" si="35"/>
        <v>46.2</v>
      </c>
      <c r="R123">
        <f t="shared" si="36"/>
        <v>495</v>
      </c>
      <c r="S123">
        <f t="shared" si="37"/>
        <v>248.49</v>
      </c>
      <c r="T123">
        <f t="shared" si="38"/>
        <v>48.51</v>
      </c>
      <c r="U123">
        <f>I123*E123/'[1]Inverter Analysis'!$L$2</f>
        <v>348.73406986811051</v>
      </c>
      <c r="V123">
        <f t="shared" si="39"/>
        <v>269.36026936026934</v>
      </c>
      <c r="W123">
        <f t="shared" si="40"/>
        <v>321.94454505211473</v>
      </c>
      <c r="X123">
        <f t="shared" si="41"/>
        <v>192.4001924001924</v>
      </c>
      <c r="Y123">
        <f t="shared" si="42"/>
        <v>0.72553803062169187</v>
      </c>
      <c r="Z123">
        <f t="shared" si="43"/>
        <v>2.2855452505764515</v>
      </c>
    </row>
    <row r="124" spans="1:26" hidden="1">
      <c r="A124">
        <v>10</v>
      </c>
      <c r="B124" s="9">
        <v>5</v>
      </c>
      <c r="C124" s="1">
        <v>9</v>
      </c>
      <c r="D124">
        <f t="shared" si="22"/>
        <v>700</v>
      </c>
      <c r="E124">
        <f t="shared" si="23"/>
        <v>350</v>
      </c>
      <c r="F124">
        <f t="shared" si="24"/>
        <v>30.15</v>
      </c>
      <c r="G124">
        <f t="shared" si="25"/>
        <v>0.126</v>
      </c>
      <c r="H124">
        <f t="shared" si="26"/>
        <v>132.30000000000001</v>
      </c>
      <c r="I124">
        <f t="shared" si="27"/>
        <v>378</v>
      </c>
      <c r="J124">
        <f t="shared" si="28"/>
        <v>270</v>
      </c>
      <c r="K124">
        <f t="shared" si="29"/>
        <v>94.5</v>
      </c>
      <c r="L124">
        <f t="shared" si="30"/>
        <v>7.2765000000000004</v>
      </c>
      <c r="M124">
        <f t="shared" si="31"/>
        <v>6.9930000000000012</v>
      </c>
      <c r="N124">
        <f t="shared" si="32"/>
        <v>5.5755000000000008</v>
      </c>
      <c r="O124">
        <f t="shared" si="33"/>
        <v>5.1363529411764715</v>
      </c>
      <c r="P124">
        <f t="shared" si="34"/>
        <v>3.0237580993520519</v>
      </c>
      <c r="Q124">
        <f t="shared" si="35"/>
        <v>42</v>
      </c>
      <c r="R124">
        <f t="shared" si="36"/>
        <v>450</v>
      </c>
      <c r="S124">
        <f t="shared" si="37"/>
        <v>225.9</v>
      </c>
      <c r="T124">
        <f t="shared" si="38"/>
        <v>44.1</v>
      </c>
      <c r="U124">
        <f>I124*E124/'[1]Inverter Analysis'!$L$2</f>
        <v>317.0309726073732</v>
      </c>
      <c r="V124">
        <f t="shared" si="39"/>
        <v>296.2962962962963</v>
      </c>
      <c r="W124">
        <f t="shared" si="40"/>
        <v>354.13899955732626</v>
      </c>
      <c r="X124">
        <f t="shared" si="41"/>
        <v>211.64021164021165</v>
      </c>
      <c r="Y124">
        <f t="shared" si="42"/>
        <v>0.87790101705224743</v>
      </c>
      <c r="Z124">
        <f t="shared" si="43"/>
        <v>1.7171639748883929</v>
      </c>
    </row>
    <row r="125" spans="1:26" hidden="1">
      <c r="A125">
        <v>16</v>
      </c>
      <c r="B125">
        <v>4</v>
      </c>
      <c r="C125" s="1">
        <v>9</v>
      </c>
      <c r="D125">
        <f t="shared" si="22"/>
        <v>560</v>
      </c>
      <c r="E125">
        <f t="shared" si="23"/>
        <v>280</v>
      </c>
      <c r="F125">
        <f t="shared" si="24"/>
        <v>38.591999999999999</v>
      </c>
      <c r="G125">
        <f t="shared" si="25"/>
        <v>0.252</v>
      </c>
      <c r="H125">
        <f t="shared" si="26"/>
        <v>169.34400000000002</v>
      </c>
      <c r="I125">
        <f t="shared" si="27"/>
        <v>604.80000000000007</v>
      </c>
      <c r="J125">
        <f t="shared" si="28"/>
        <v>432</v>
      </c>
      <c r="K125">
        <f t="shared" si="29"/>
        <v>120.96</v>
      </c>
      <c r="L125">
        <f t="shared" si="30"/>
        <v>9.3139200000000013</v>
      </c>
      <c r="M125">
        <f t="shared" si="31"/>
        <v>8.9510400000000008</v>
      </c>
      <c r="N125">
        <f t="shared" si="32"/>
        <v>7.1366400000000016</v>
      </c>
      <c r="O125">
        <f t="shared" si="33"/>
        <v>6.5745317647058839</v>
      </c>
      <c r="P125">
        <f t="shared" si="34"/>
        <v>3.8704103671706269</v>
      </c>
      <c r="Q125">
        <f t="shared" si="35"/>
        <v>67.2</v>
      </c>
      <c r="R125">
        <f t="shared" si="36"/>
        <v>576</v>
      </c>
      <c r="S125">
        <f t="shared" si="37"/>
        <v>361.44</v>
      </c>
      <c r="T125">
        <f t="shared" si="38"/>
        <v>70.56</v>
      </c>
      <c r="U125">
        <f>I125*E125/'[1]Inverter Analysis'!$L$2</f>
        <v>405.79964493743779</v>
      </c>
      <c r="V125">
        <f t="shared" si="39"/>
        <v>185.18518518518519</v>
      </c>
      <c r="W125">
        <f t="shared" si="40"/>
        <v>221.33687472332892</v>
      </c>
      <c r="X125">
        <f t="shared" si="41"/>
        <v>132.27513227513225</v>
      </c>
      <c r="Y125">
        <f t="shared" si="42"/>
        <v>0.34293008478603415</v>
      </c>
      <c r="Z125">
        <f t="shared" si="43"/>
        <v>5.6268029129142851</v>
      </c>
    </row>
    <row r="126" spans="1:26" hidden="1">
      <c r="A126">
        <v>15</v>
      </c>
      <c r="B126">
        <v>4</v>
      </c>
      <c r="C126" s="1">
        <v>9</v>
      </c>
      <c r="D126">
        <f t="shared" si="22"/>
        <v>560</v>
      </c>
      <c r="E126">
        <f t="shared" si="23"/>
        <v>280</v>
      </c>
      <c r="F126">
        <f t="shared" si="24"/>
        <v>36.18</v>
      </c>
      <c r="G126">
        <f t="shared" si="25"/>
        <v>0.23624999999999999</v>
      </c>
      <c r="H126">
        <f t="shared" si="26"/>
        <v>158.76</v>
      </c>
      <c r="I126">
        <f t="shared" si="27"/>
        <v>567</v>
      </c>
      <c r="J126">
        <f t="shared" si="28"/>
        <v>405</v>
      </c>
      <c r="K126">
        <f t="shared" si="29"/>
        <v>113.4</v>
      </c>
      <c r="L126">
        <f t="shared" si="30"/>
        <v>8.7318000000000016</v>
      </c>
      <c r="M126">
        <f t="shared" si="31"/>
        <v>8.3916000000000004</v>
      </c>
      <c r="N126">
        <f t="shared" si="32"/>
        <v>6.6906000000000008</v>
      </c>
      <c r="O126">
        <f t="shared" si="33"/>
        <v>6.1636235294117663</v>
      </c>
      <c r="P126">
        <f t="shared" si="34"/>
        <v>3.6285097192224622</v>
      </c>
      <c r="Q126">
        <f t="shared" si="35"/>
        <v>63</v>
      </c>
      <c r="R126">
        <f t="shared" si="36"/>
        <v>540</v>
      </c>
      <c r="S126">
        <f t="shared" si="37"/>
        <v>338.85</v>
      </c>
      <c r="T126">
        <f t="shared" si="38"/>
        <v>66.149999999999991</v>
      </c>
      <c r="U126">
        <f>I126*E126/'[1]Inverter Analysis'!$L$2</f>
        <v>380.43716712884788</v>
      </c>
      <c r="V126">
        <f t="shared" si="39"/>
        <v>197.53086419753086</v>
      </c>
      <c r="W126">
        <f t="shared" si="40"/>
        <v>236.09266637155082</v>
      </c>
      <c r="X126">
        <f t="shared" si="41"/>
        <v>141.09347442680777</v>
      </c>
      <c r="Y126">
        <f t="shared" si="42"/>
        <v>0.39017822980099887</v>
      </c>
      <c r="Z126">
        <f t="shared" si="43"/>
        <v>4.6363427321986608</v>
      </c>
    </row>
    <row r="127" spans="1:26" hidden="1">
      <c r="A127">
        <v>14</v>
      </c>
      <c r="B127">
        <v>4</v>
      </c>
      <c r="C127" s="1">
        <v>9</v>
      </c>
      <c r="D127">
        <f t="shared" si="22"/>
        <v>560</v>
      </c>
      <c r="E127">
        <f t="shared" si="23"/>
        <v>280</v>
      </c>
      <c r="F127">
        <f t="shared" si="24"/>
        <v>33.768000000000001</v>
      </c>
      <c r="G127">
        <f t="shared" si="25"/>
        <v>0.2205</v>
      </c>
      <c r="H127">
        <f t="shared" si="26"/>
        <v>148.17599999999999</v>
      </c>
      <c r="I127">
        <f t="shared" si="27"/>
        <v>529.20000000000005</v>
      </c>
      <c r="J127">
        <f t="shared" si="28"/>
        <v>378</v>
      </c>
      <c r="K127">
        <f t="shared" si="29"/>
        <v>105.84</v>
      </c>
      <c r="L127">
        <f t="shared" si="30"/>
        <v>8.1496800000000018</v>
      </c>
      <c r="M127">
        <f t="shared" si="31"/>
        <v>7.8321600000000009</v>
      </c>
      <c r="N127">
        <f t="shared" si="32"/>
        <v>6.2445600000000017</v>
      </c>
      <c r="O127">
        <f t="shared" si="33"/>
        <v>5.7527152941176487</v>
      </c>
      <c r="P127">
        <f t="shared" si="34"/>
        <v>3.3866090712742984</v>
      </c>
      <c r="Q127">
        <f t="shared" si="35"/>
        <v>58.800000000000004</v>
      </c>
      <c r="R127">
        <f t="shared" si="36"/>
        <v>504</v>
      </c>
      <c r="S127">
        <f t="shared" si="37"/>
        <v>316.26</v>
      </c>
      <c r="T127">
        <f t="shared" si="38"/>
        <v>61.74</v>
      </c>
      <c r="U127">
        <f>I127*E127/'[1]Inverter Analysis'!$L$2</f>
        <v>355.07468932025802</v>
      </c>
      <c r="V127">
        <f t="shared" si="39"/>
        <v>211.64021164021165</v>
      </c>
      <c r="W127">
        <f t="shared" si="40"/>
        <v>252.95642825523305</v>
      </c>
      <c r="X127">
        <f t="shared" si="41"/>
        <v>151.17157974300829</v>
      </c>
      <c r="Y127">
        <f t="shared" si="42"/>
        <v>0.44790868216951407</v>
      </c>
      <c r="Z127">
        <f t="shared" si="43"/>
        <v>3.7695183576749995</v>
      </c>
    </row>
    <row r="128" spans="1:26" hidden="1">
      <c r="A128">
        <v>13</v>
      </c>
      <c r="B128">
        <v>4</v>
      </c>
      <c r="C128" s="1">
        <v>9</v>
      </c>
      <c r="D128">
        <f t="shared" si="22"/>
        <v>560</v>
      </c>
      <c r="E128">
        <f t="shared" si="23"/>
        <v>280</v>
      </c>
      <c r="F128">
        <f t="shared" si="24"/>
        <v>31.356000000000002</v>
      </c>
      <c r="G128">
        <f t="shared" si="25"/>
        <v>0.20474999999999999</v>
      </c>
      <c r="H128">
        <f t="shared" si="26"/>
        <v>137.59200000000001</v>
      </c>
      <c r="I128">
        <f t="shared" si="27"/>
        <v>491.40000000000003</v>
      </c>
      <c r="J128">
        <f t="shared" si="28"/>
        <v>351</v>
      </c>
      <c r="K128">
        <f t="shared" si="29"/>
        <v>98.28</v>
      </c>
      <c r="L128">
        <f t="shared" si="30"/>
        <v>7.5675600000000003</v>
      </c>
      <c r="M128">
        <f t="shared" si="31"/>
        <v>7.2727200000000014</v>
      </c>
      <c r="N128">
        <f t="shared" si="32"/>
        <v>5.7985200000000008</v>
      </c>
      <c r="O128">
        <f t="shared" si="33"/>
        <v>5.3418070588235302</v>
      </c>
      <c r="P128">
        <f t="shared" si="34"/>
        <v>3.1447084233261342</v>
      </c>
      <c r="Q128">
        <f t="shared" si="35"/>
        <v>54.6</v>
      </c>
      <c r="R128">
        <f t="shared" si="36"/>
        <v>468</v>
      </c>
      <c r="S128">
        <f t="shared" si="37"/>
        <v>293.67</v>
      </c>
      <c r="T128">
        <f t="shared" si="38"/>
        <v>57.33</v>
      </c>
      <c r="U128">
        <f>I128*E128/'[1]Inverter Analysis'!$L$2</f>
        <v>329.71221151166816</v>
      </c>
      <c r="V128">
        <f t="shared" si="39"/>
        <v>227.92022792022792</v>
      </c>
      <c r="W128">
        <f t="shared" si="40"/>
        <v>272.4146150440971</v>
      </c>
      <c r="X128">
        <f t="shared" si="41"/>
        <v>162.80016280016278</v>
      </c>
      <c r="Y128">
        <f t="shared" si="42"/>
        <v>0.51946805742736535</v>
      </c>
      <c r="Z128">
        <f t="shared" si="43"/>
        <v>3.0180874022638395</v>
      </c>
    </row>
    <row r="129" spans="1:26" hidden="1">
      <c r="A129">
        <v>12</v>
      </c>
      <c r="B129">
        <v>4</v>
      </c>
      <c r="C129" s="1">
        <v>9</v>
      </c>
      <c r="D129">
        <f t="shared" si="22"/>
        <v>560</v>
      </c>
      <c r="E129">
        <f t="shared" si="23"/>
        <v>280</v>
      </c>
      <c r="F129">
        <f t="shared" si="24"/>
        <v>28.943999999999999</v>
      </c>
      <c r="G129">
        <f t="shared" si="25"/>
        <v>0.189</v>
      </c>
      <c r="H129">
        <f t="shared" si="26"/>
        <v>127.008</v>
      </c>
      <c r="I129">
        <f t="shared" si="27"/>
        <v>453.6</v>
      </c>
      <c r="J129">
        <f t="shared" si="28"/>
        <v>324</v>
      </c>
      <c r="K129">
        <f t="shared" si="29"/>
        <v>90.72</v>
      </c>
      <c r="L129">
        <f t="shared" si="30"/>
        <v>6.9854400000000005</v>
      </c>
      <c r="M129">
        <f t="shared" si="31"/>
        <v>6.713280000000001</v>
      </c>
      <c r="N129">
        <f t="shared" si="32"/>
        <v>5.3524800000000008</v>
      </c>
      <c r="O129">
        <f t="shared" si="33"/>
        <v>4.9308988235294127</v>
      </c>
      <c r="P129">
        <f t="shared" si="34"/>
        <v>2.90280777537797</v>
      </c>
      <c r="Q129">
        <f t="shared" si="35"/>
        <v>50.400000000000006</v>
      </c>
      <c r="R129">
        <f t="shared" si="36"/>
        <v>432</v>
      </c>
      <c r="S129">
        <f t="shared" si="37"/>
        <v>271.08</v>
      </c>
      <c r="T129">
        <f t="shared" si="38"/>
        <v>52.92</v>
      </c>
      <c r="U129">
        <f>I129*E129/'[1]Inverter Analysis'!$L$2</f>
        <v>304.3497337030783</v>
      </c>
      <c r="V129">
        <f t="shared" si="39"/>
        <v>246.91358024691357</v>
      </c>
      <c r="W129">
        <f t="shared" si="40"/>
        <v>295.11583296443854</v>
      </c>
      <c r="X129">
        <f t="shared" si="41"/>
        <v>176.3668430335097</v>
      </c>
      <c r="Y129">
        <f t="shared" si="42"/>
        <v>0.60965348406406072</v>
      </c>
      <c r="Z129">
        <f t="shared" si="43"/>
        <v>2.373807478885714</v>
      </c>
    </row>
    <row r="130" spans="1:26" hidden="1">
      <c r="A130">
        <v>11</v>
      </c>
      <c r="B130">
        <v>4</v>
      </c>
      <c r="C130" s="1">
        <v>9</v>
      </c>
      <c r="D130">
        <f t="shared" si="22"/>
        <v>560</v>
      </c>
      <c r="E130">
        <f t="shared" si="23"/>
        <v>280</v>
      </c>
      <c r="F130">
        <f t="shared" si="24"/>
        <v>26.532</v>
      </c>
      <c r="G130">
        <f t="shared" si="25"/>
        <v>0.17324999999999999</v>
      </c>
      <c r="H130">
        <f t="shared" si="26"/>
        <v>116.42400000000001</v>
      </c>
      <c r="I130">
        <f t="shared" si="27"/>
        <v>415.8</v>
      </c>
      <c r="J130">
        <f t="shared" si="28"/>
        <v>297</v>
      </c>
      <c r="K130">
        <f t="shared" si="29"/>
        <v>83.16</v>
      </c>
      <c r="L130">
        <f t="shared" si="30"/>
        <v>6.4033200000000008</v>
      </c>
      <c r="M130">
        <f t="shared" si="31"/>
        <v>6.1538399999999998</v>
      </c>
      <c r="N130">
        <f t="shared" si="32"/>
        <v>4.9064400000000008</v>
      </c>
      <c r="O130">
        <f t="shared" si="33"/>
        <v>4.5199905882352951</v>
      </c>
      <c r="P130">
        <f t="shared" si="34"/>
        <v>2.6609071274298057</v>
      </c>
      <c r="Q130">
        <f t="shared" si="35"/>
        <v>46.2</v>
      </c>
      <c r="R130">
        <f t="shared" si="36"/>
        <v>396</v>
      </c>
      <c r="S130">
        <f t="shared" si="37"/>
        <v>248.49</v>
      </c>
      <c r="T130">
        <f t="shared" si="38"/>
        <v>48.51</v>
      </c>
      <c r="U130">
        <f>I130*E130/'[1]Inverter Analysis'!$L$2</f>
        <v>278.98725589448844</v>
      </c>
      <c r="V130">
        <f t="shared" si="39"/>
        <v>269.36026936026934</v>
      </c>
      <c r="W130">
        <f t="shared" si="40"/>
        <v>321.94454505211473</v>
      </c>
      <c r="X130">
        <f t="shared" si="41"/>
        <v>192.4001924001924</v>
      </c>
      <c r="Y130">
        <f t="shared" si="42"/>
        <v>0.72553803062169187</v>
      </c>
      <c r="Z130">
        <f t="shared" si="43"/>
        <v>1.8284362004611612</v>
      </c>
    </row>
    <row r="131" spans="1:26">
      <c r="A131">
        <v>10</v>
      </c>
      <c r="B131">
        <v>4</v>
      </c>
      <c r="C131" s="1">
        <v>9</v>
      </c>
      <c r="D131">
        <f t="shared" si="22"/>
        <v>560</v>
      </c>
      <c r="E131">
        <f t="shared" si="23"/>
        <v>280</v>
      </c>
      <c r="F131">
        <f t="shared" si="24"/>
        <v>24.12</v>
      </c>
      <c r="G131">
        <f t="shared" si="25"/>
        <v>0.15750000000000003</v>
      </c>
      <c r="H131">
        <f t="shared" si="26"/>
        <v>105.84</v>
      </c>
      <c r="I131">
        <f t="shared" si="27"/>
        <v>378</v>
      </c>
      <c r="J131">
        <f t="shared" si="28"/>
        <v>270</v>
      </c>
      <c r="K131">
        <f t="shared" si="29"/>
        <v>75.599999999999994</v>
      </c>
      <c r="L131">
        <f t="shared" si="30"/>
        <v>5.8212000000000002</v>
      </c>
      <c r="M131">
        <f t="shared" si="31"/>
        <v>5.5944000000000003</v>
      </c>
      <c r="N131">
        <f t="shared" si="32"/>
        <v>4.4604000000000008</v>
      </c>
      <c r="O131">
        <f t="shared" si="33"/>
        <v>4.1090823529411766</v>
      </c>
      <c r="P131">
        <f t="shared" si="34"/>
        <v>2.4190064794816415</v>
      </c>
      <c r="Q131">
        <f t="shared" si="35"/>
        <v>42</v>
      </c>
      <c r="R131">
        <f t="shared" si="36"/>
        <v>360</v>
      </c>
      <c r="S131">
        <f t="shared" si="37"/>
        <v>225.89999999999998</v>
      </c>
      <c r="T131">
        <f t="shared" si="38"/>
        <v>44.100000000000009</v>
      </c>
      <c r="U131">
        <f>I131*E131/'[1]Inverter Analysis'!$L$2</f>
        <v>253.62477808589858</v>
      </c>
      <c r="V131">
        <f t="shared" si="39"/>
        <v>296.2962962962963</v>
      </c>
      <c r="W131">
        <f t="shared" si="40"/>
        <v>354.13899955732626</v>
      </c>
      <c r="X131">
        <f t="shared" si="41"/>
        <v>211.64021164021165</v>
      </c>
      <c r="Y131">
        <f t="shared" si="42"/>
        <v>0.87790101705224743</v>
      </c>
      <c r="Z131">
        <f t="shared" si="43"/>
        <v>1.3737311799107144</v>
      </c>
    </row>
    <row r="132" spans="1:26" hidden="1">
      <c r="A132">
        <v>16</v>
      </c>
      <c r="B132">
        <v>3</v>
      </c>
      <c r="C132" s="1">
        <v>9</v>
      </c>
      <c r="D132">
        <f t="shared" si="22"/>
        <v>420</v>
      </c>
      <c r="E132">
        <f t="shared" si="23"/>
        <v>210</v>
      </c>
      <c r="F132">
        <f t="shared" si="24"/>
        <v>28.943999999999999</v>
      </c>
      <c r="G132">
        <f t="shared" si="25"/>
        <v>0.33600000000000002</v>
      </c>
      <c r="H132">
        <f t="shared" si="26"/>
        <v>127.00800000000001</v>
      </c>
      <c r="I132">
        <f t="shared" si="27"/>
        <v>604.80000000000007</v>
      </c>
      <c r="J132">
        <f t="shared" si="28"/>
        <v>432</v>
      </c>
      <c r="K132">
        <f t="shared" si="29"/>
        <v>90.72</v>
      </c>
      <c r="L132">
        <f t="shared" si="30"/>
        <v>6.9854400000000014</v>
      </c>
      <c r="M132">
        <f t="shared" si="31"/>
        <v>6.713280000000001</v>
      </c>
      <c r="N132">
        <f t="shared" si="32"/>
        <v>5.3524800000000017</v>
      </c>
      <c r="O132">
        <f t="shared" si="33"/>
        <v>4.9308988235294127</v>
      </c>
      <c r="P132">
        <f t="shared" si="34"/>
        <v>2.90280777537797</v>
      </c>
      <c r="Q132">
        <f t="shared" si="35"/>
        <v>67.2</v>
      </c>
      <c r="R132">
        <f t="shared" si="36"/>
        <v>432</v>
      </c>
      <c r="S132">
        <f t="shared" si="37"/>
        <v>361.44</v>
      </c>
      <c r="T132">
        <f t="shared" si="38"/>
        <v>70.56</v>
      </c>
      <c r="U132">
        <f>I132*E132/'[1]Inverter Analysis'!$L$2</f>
        <v>304.3497337030783</v>
      </c>
      <c r="V132">
        <f t="shared" si="39"/>
        <v>185.18518518518519</v>
      </c>
      <c r="W132">
        <f t="shared" si="40"/>
        <v>221.33687472332892</v>
      </c>
      <c r="X132">
        <f t="shared" si="41"/>
        <v>132.27513227513225</v>
      </c>
      <c r="Y132">
        <f t="shared" si="42"/>
        <v>0.34293008478603415</v>
      </c>
      <c r="Z132">
        <f t="shared" si="43"/>
        <v>4.2201021846857136</v>
      </c>
    </row>
    <row r="133" spans="1:26" hidden="1">
      <c r="A133">
        <v>15</v>
      </c>
      <c r="B133">
        <v>3</v>
      </c>
      <c r="C133" s="1">
        <v>9</v>
      </c>
      <c r="D133">
        <f t="shared" si="22"/>
        <v>420</v>
      </c>
      <c r="E133">
        <f t="shared" si="23"/>
        <v>210</v>
      </c>
      <c r="F133">
        <f t="shared" si="24"/>
        <v>27.135000000000002</v>
      </c>
      <c r="G133">
        <f t="shared" si="25"/>
        <v>0.31500000000000006</v>
      </c>
      <c r="H133">
        <f t="shared" si="26"/>
        <v>119.07</v>
      </c>
      <c r="I133">
        <f t="shared" si="27"/>
        <v>567</v>
      </c>
      <c r="J133">
        <f t="shared" si="28"/>
        <v>405</v>
      </c>
      <c r="K133">
        <f t="shared" si="29"/>
        <v>85.05</v>
      </c>
      <c r="L133">
        <f t="shared" si="30"/>
        <v>6.5488500000000007</v>
      </c>
      <c r="M133">
        <f t="shared" si="31"/>
        <v>6.2937000000000003</v>
      </c>
      <c r="N133">
        <f t="shared" si="32"/>
        <v>5.0179500000000008</v>
      </c>
      <c r="O133">
        <f t="shared" si="33"/>
        <v>4.622717647058824</v>
      </c>
      <c r="P133">
        <f t="shared" si="34"/>
        <v>2.7213822894168462</v>
      </c>
      <c r="Q133">
        <f t="shared" si="35"/>
        <v>63</v>
      </c>
      <c r="R133">
        <f t="shared" si="36"/>
        <v>405</v>
      </c>
      <c r="S133">
        <f t="shared" si="37"/>
        <v>338.85</v>
      </c>
      <c r="T133">
        <f t="shared" si="38"/>
        <v>66.150000000000006</v>
      </c>
      <c r="U133">
        <f>I133*E133/'[1]Inverter Analysis'!$L$2</f>
        <v>285.32787534663589</v>
      </c>
      <c r="V133">
        <f t="shared" si="39"/>
        <v>197.53086419753086</v>
      </c>
      <c r="W133">
        <f t="shared" si="40"/>
        <v>236.09266637155082</v>
      </c>
      <c r="X133">
        <f t="shared" si="41"/>
        <v>141.09347442680777</v>
      </c>
      <c r="Y133">
        <f t="shared" si="42"/>
        <v>0.39017822980099887</v>
      </c>
      <c r="Z133">
        <f t="shared" si="43"/>
        <v>3.4772570491489962</v>
      </c>
    </row>
    <row r="134" spans="1:26" hidden="1">
      <c r="A134">
        <v>14</v>
      </c>
      <c r="B134">
        <v>3</v>
      </c>
      <c r="C134" s="1">
        <v>9</v>
      </c>
      <c r="D134">
        <f t="shared" si="22"/>
        <v>420</v>
      </c>
      <c r="E134">
        <f t="shared" si="23"/>
        <v>210</v>
      </c>
      <c r="F134">
        <f t="shared" si="24"/>
        <v>25.326000000000001</v>
      </c>
      <c r="G134">
        <f t="shared" si="25"/>
        <v>0.29400000000000004</v>
      </c>
      <c r="H134">
        <f t="shared" si="26"/>
        <v>111.13200000000002</v>
      </c>
      <c r="I134">
        <f t="shared" si="27"/>
        <v>529.20000000000005</v>
      </c>
      <c r="J134">
        <f t="shared" si="28"/>
        <v>378</v>
      </c>
      <c r="K134">
        <f t="shared" si="29"/>
        <v>79.38</v>
      </c>
      <c r="L134">
        <f t="shared" si="30"/>
        <v>6.1122600000000009</v>
      </c>
      <c r="M134">
        <f t="shared" si="31"/>
        <v>5.8741200000000005</v>
      </c>
      <c r="N134">
        <f t="shared" si="32"/>
        <v>4.6834200000000008</v>
      </c>
      <c r="O134">
        <f t="shared" si="33"/>
        <v>4.3145364705882363</v>
      </c>
      <c r="P134">
        <f t="shared" si="34"/>
        <v>2.5399568034557238</v>
      </c>
      <c r="Q134">
        <f t="shared" si="35"/>
        <v>58.800000000000004</v>
      </c>
      <c r="R134">
        <f t="shared" si="36"/>
        <v>378</v>
      </c>
      <c r="S134">
        <f t="shared" si="37"/>
        <v>316.26</v>
      </c>
      <c r="T134">
        <f t="shared" si="38"/>
        <v>61.740000000000009</v>
      </c>
      <c r="U134">
        <f>I134*E134/'[1]Inverter Analysis'!$L$2</f>
        <v>266.30601699019354</v>
      </c>
      <c r="V134">
        <f t="shared" si="39"/>
        <v>211.64021164021165</v>
      </c>
      <c r="W134">
        <f t="shared" si="40"/>
        <v>252.95642825523305</v>
      </c>
      <c r="X134">
        <f t="shared" si="41"/>
        <v>151.17157974300829</v>
      </c>
      <c r="Y134">
        <f t="shared" si="42"/>
        <v>0.44790868216951407</v>
      </c>
      <c r="Z134">
        <f t="shared" si="43"/>
        <v>2.8271387682562494</v>
      </c>
    </row>
    <row r="135" spans="1:26" hidden="1">
      <c r="A135">
        <v>13</v>
      </c>
      <c r="B135">
        <v>3</v>
      </c>
      <c r="C135" s="1">
        <v>9</v>
      </c>
      <c r="D135">
        <f t="shared" ref="D135:D198" si="44">B135*$J$3</f>
        <v>420</v>
      </c>
      <c r="E135">
        <f t="shared" ref="E135:E198" si="45">B135*$I$3</f>
        <v>210</v>
      </c>
      <c r="F135">
        <f t="shared" ref="F135:F198" si="46">A135*B135*C135*$Q$3/1000</f>
        <v>23.516999999999999</v>
      </c>
      <c r="G135">
        <f t="shared" ref="G135:G198" si="47">((B135*$R$3^(-1))^(-1))*A135*C135</f>
        <v>0.27300000000000002</v>
      </c>
      <c r="H135">
        <f t="shared" ref="H135:H198" si="48">E135*I135/1000</f>
        <v>103.194</v>
      </c>
      <c r="I135">
        <f t="shared" ref="I135:I198" si="49">A135*C135*4.2</f>
        <v>491.40000000000003</v>
      </c>
      <c r="J135">
        <f t="shared" ref="J135:J198" si="50">C135*A135*$K$3</f>
        <v>351</v>
      </c>
      <c r="K135">
        <f t="shared" ref="K135:K198" si="51">E135*J135/1000</f>
        <v>73.709999999999994</v>
      </c>
      <c r="L135">
        <f t="shared" ref="L135:L198" si="52">$N$3/1000*I135*B135/1000</f>
        <v>5.6756700000000002</v>
      </c>
      <c r="M135">
        <f t="shared" ref="M135:M198" si="53">$O$3/1000*I135*B135/1000</f>
        <v>5.4545400000000006</v>
      </c>
      <c r="N135">
        <f t="shared" ref="N135:N198" si="54">$P$3/1000*I135*B135/1000</f>
        <v>4.3488899999999999</v>
      </c>
      <c r="O135">
        <f t="shared" ref="O135:O198" si="55">L135*(($L$3-$K$3)/($L$3-$M$3))</f>
        <v>4.0063552941176477</v>
      </c>
      <c r="P135">
        <f t="shared" ref="P135:P198" si="56">$H$3/1000*B135*I135/277.8/C135</f>
        <v>2.3585313174946005</v>
      </c>
      <c r="Q135">
        <f t="shared" ref="Q135:Q198" si="57">I135/C135</f>
        <v>54.6</v>
      </c>
      <c r="R135">
        <f t="shared" ref="R135:R198" si="58">(A135*B135*C135)</f>
        <v>351</v>
      </c>
      <c r="S135">
        <f t="shared" ref="S135:S198" si="59">J135-(G135*E135)</f>
        <v>293.67</v>
      </c>
      <c r="T135">
        <f t="shared" ref="T135:T198" si="60">G135*E135</f>
        <v>57.330000000000005</v>
      </c>
      <c r="U135">
        <f>I135*E135/'[1]Inverter Analysis'!$L$2</f>
        <v>247.2841586337511</v>
      </c>
      <c r="V135">
        <f t="shared" ref="V135:V198" si="61">80000/J135</f>
        <v>227.92022792022792</v>
      </c>
      <c r="W135">
        <f t="shared" ref="W135:W198" si="62">80000/S135</f>
        <v>272.4146150440971</v>
      </c>
      <c r="X135">
        <f t="shared" ref="X135:X198" si="63">80000/I135</f>
        <v>162.80016280016278</v>
      </c>
      <c r="Y135">
        <f t="shared" ref="Y135:Y198" si="64">(MAX(V135:X135)^2)*$R$3/1000</f>
        <v>0.51946805742736535</v>
      </c>
      <c r="Z135">
        <f t="shared" ref="Z135:Z198" si="65">($S$3*F135/(Y135*1000))*10</f>
        <v>2.2635655516978797</v>
      </c>
    </row>
    <row r="136" spans="1:26" hidden="1">
      <c r="A136">
        <v>12</v>
      </c>
      <c r="B136">
        <v>3</v>
      </c>
      <c r="C136" s="1">
        <v>9</v>
      </c>
      <c r="D136">
        <f t="shared" si="44"/>
        <v>420</v>
      </c>
      <c r="E136">
        <f t="shared" si="45"/>
        <v>210</v>
      </c>
      <c r="F136">
        <f t="shared" si="46"/>
        <v>21.707999999999998</v>
      </c>
      <c r="G136">
        <f t="shared" si="47"/>
        <v>0.25200000000000006</v>
      </c>
      <c r="H136">
        <f t="shared" si="48"/>
        <v>95.256</v>
      </c>
      <c r="I136">
        <f t="shared" si="49"/>
        <v>453.6</v>
      </c>
      <c r="J136">
        <f t="shared" si="50"/>
        <v>324</v>
      </c>
      <c r="K136">
        <f t="shared" si="51"/>
        <v>68.040000000000006</v>
      </c>
      <c r="L136">
        <f t="shared" si="52"/>
        <v>5.2390799999999995</v>
      </c>
      <c r="M136">
        <f t="shared" si="53"/>
        <v>5.0349600000000008</v>
      </c>
      <c r="N136">
        <f t="shared" si="54"/>
        <v>4.0143600000000008</v>
      </c>
      <c r="O136">
        <f t="shared" si="55"/>
        <v>3.6981741176470586</v>
      </c>
      <c r="P136">
        <f t="shared" si="56"/>
        <v>2.1771058315334777</v>
      </c>
      <c r="Q136">
        <f t="shared" si="57"/>
        <v>50.400000000000006</v>
      </c>
      <c r="R136">
        <f t="shared" si="58"/>
        <v>324</v>
      </c>
      <c r="S136">
        <f t="shared" si="59"/>
        <v>271.08</v>
      </c>
      <c r="T136">
        <f t="shared" si="60"/>
        <v>52.920000000000009</v>
      </c>
      <c r="U136">
        <f>I136*E136/'[1]Inverter Analysis'!$L$2</f>
        <v>228.26230027730873</v>
      </c>
      <c r="V136">
        <f t="shared" si="61"/>
        <v>246.91358024691357</v>
      </c>
      <c r="W136">
        <f t="shared" si="62"/>
        <v>295.11583296443854</v>
      </c>
      <c r="X136">
        <f t="shared" si="63"/>
        <v>176.3668430335097</v>
      </c>
      <c r="Y136">
        <f t="shared" si="64"/>
        <v>0.60965348406406072</v>
      </c>
      <c r="Z136">
        <f t="shared" si="65"/>
        <v>1.7803556091642856</v>
      </c>
    </row>
    <row r="137" spans="1:26" hidden="1">
      <c r="A137">
        <v>11</v>
      </c>
      <c r="B137">
        <v>3</v>
      </c>
      <c r="C137" s="1">
        <v>9</v>
      </c>
      <c r="D137">
        <f t="shared" si="44"/>
        <v>420</v>
      </c>
      <c r="E137">
        <f t="shared" si="45"/>
        <v>210</v>
      </c>
      <c r="F137">
        <f t="shared" si="46"/>
        <v>19.899000000000001</v>
      </c>
      <c r="G137">
        <f t="shared" si="47"/>
        <v>0.23100000000000001</v>
      </c>
      <c r="H137">
        <f t="shared" si="48"/>
        <v>87.317999999999998</v>
      </c>
      <c r="I137">
        <f t="shared" si="49"/>
        <v>415.8</v>
      </c>
      <c r="J137">
        <f t="shared" si="50"/>
        <v>297</v>
      </c>
      <c r="K137">
        <f t="shared" si="51"/>
        <v>62.37</v>
      </c>
      <c r="L137">
        <f t="shared" si="52"/>
        <v>4.8024900000000006</v>
      </c>
      <c r="M137">
        <f t="shared" si="53"/>
        <v>4.61538</v>
      </c>
      <c r="N137">
        <f t="shared" si="54"/>
        <v>3.6798300000000004</v>
      </c>
      <c r="O137">
        <f t="shared" si="55"/>
        <v>3.3899929411764713</v>
      </c>
      <c r="P137">
        <f t="shared" si="56"/>
        <v>1.9956803455723542</v>
      </c>
      <c r="Q137">
        <f t="shared" si="57"/>
        <v>46.2</v>
      </c>
      <c r="R137">
        <f t="shared" si="58"/>
        <v>297</v>
      </c>
      <c r="S137">
        <f t="shared" si="59"/>
        <v>248.49</v>
      </c>
      <c r="T137">
        <f t="shared" si="60"/>
        <v>48.510000000000005</v>
      </c>
      <c r="U137">
        <f>I137*E137/'[1]Inverter Analysis'!$L$2</f>
        <v>209.24044192086632</v>
      </c>
      <c r="V137">
        <f t="shared" si="61"/>
        <v>269.36026936026934</v>
      </c>
      <c r="W137">
        <f t="shared" si="62"/>
        <v>321.94454505211473</v>
      </c>
      <c r="X137">
        <f t="shared" si="63"/>
        <v>192.4001924001924</v>
      </c>
      <c r="Y137">
        <f t="shared" si="64"/>
        <v>0.72553803062169187</v>
      </c>
      <c r="Z137">
        <f t="shared" si="65"/>
        <v>1.371327150345871</v>
      </c>
    </row>
    <row r="138" spans="1:26">
      <c r="A138">
        <v>10</v>
      </c>
      <c r="B138">
        <v>3</v>
      </c>
      <c r="C138" s="1">
        <v>9</v>
      </c>
      <c r="D138">
        <f t="shared" si="44"/>
        <v>420</v>
      </c>
      <c r="E138">
        <f t="shared" si="45"/>
        <v>210</v>
      </c>
      <c r="F138">
        <f t="shared" si="46"/>
        <v>18.09</v>
      </c>
      <c r="G138">
        <f t="shared" si="47"/>
        <v>0.21000000000000002</v>
      </c>
      <c r="H138">
        <f t="shared" si="48"/>
        <v>79.38</v>
      </c>
      <c r="I138">
        <f t="shared" si="49"/>
        <v>378</v>
      </c>
      <c r="J138">
        <f t="shared" si="50"/>
        <v>270</v>
      </c>
      <c r="K138">
        <f t="shared" si="51"/>
        <v>56.7</v>
      </c>
      <c r="L138">
        <f t="shared" si="52"/>
        <v>4.3658999999999999</v>
      </c>
      <c r="M138">
        <f t="shared" si="53"/>
        <v>4.1958000000000002</v>
      </c>
      <c r="N138">
        <f t="shared" si="54"/>
        <v>3.3453000000000004</v>
      </c>
      <c r="O138">
        <f t="shared" si="55"/>
        <v>3.0818117647058827</v>
      </c>
      <c r="P138">
        <f t="shared" si="56"/>
        <v>1.8142548596112311</v>
      </c>
      <c r="Q138">
        <f t="shared" si="57"/>
        <v>42</v>
      </c>
      <c r="R138">
        <f t="shared" si="58"/>
        <v>270</v>
      </c>
      <c r="S138">
        <f t="shared" si="59"/>
        <v>225.9</v>
      </c>
      <c r="T138">
        <f t="shared" si="60"/>
        <v>44.1</v>
      </c>
      <c r="U138">
        <f>I138*E138/'[1]Inverter Analysis'!$L$2</f>
        <v>190.21858356442394</v>
      </c>
      <c r="V138">
        <f t="shared" si="61"/>
        <v>296.2962962962963</v>
      </c>
      <c r="W138">
        <f t="shared" si="62"/>
        <v>354.13899955732626</v>
      </c>
      <c r="X138">
        <f t="shared" si="63"/>
        <v>211.64021164021165</v>
      </c>
      <c r="Y138">
        <f t="shared" si="64"/>
        <v>0.87790101705224743</v>
      </c>
      <c r="Z138">
        <f t="shared" si="65"/>
        <v>1.0302983849330358</v>
      </c>
    </row>
    <row r="139" spans="1:26" hidden="1">
      <c r="A139">
        <v>16</v>
      </c>
      <c r="B139">
        <v>2</v>
      </c>
      <c r="C139" s="1">
        <v>9</v>
      </c>
      <c r="D139">
        <f t="shared" si="44"/>
        <v>280</v>
      </c>
      <c r="E139">
        <f t="shared" si="45"/>
        <v>140</v>
      </c>
      <c r="F139">
        <f t="shared" si="46"/>
        <v>19.295999999999999</v>
      </c>
      <c r="G139">
        <f t="shared" si="47"/>
        <v>0.504</v>
      </c>
      <c r="H139">
        <f t="shared" si="48"/>
        <v>84.672000000000011</v>
      </c>
      <c r="I139">
        <f t="shared" si="49"/>
        <v>604.80000000000007</v>
      </c>
      <c r="J139">
        <f t="shared" si="50"/>
        <v>432</v>
      </c>
      <c r="K139">
        <f t="shared" si="51"/>
        <v>60.48</v>
      </c>
      <c r="L139">
        <f t="shared" si="52"/>
        <v>4.6569600000000007</v>
      </c>
      <c r="M139">
        <f t="shared" si="53"/>
        <v>4.4755200000000004</v>
      </c>
      <c r="N139">
        <f t="shared" si="54"/>
        <v>3.5683200000000008</v>
      </c>
      <c r="O139">
        <f t="shared" si="55"/>
        <v>3.2872658823529419</v>
      </c>
      <c r="P139">
        <f t="shared" si="56"/>
        <v>1.9352051835853135</v>
      </c>
      <c r="Q139">
        <f t="shared" si="57"/>
        <v>67.2</v>
      </c>
      <c r="R139">
        <f t="shared" si="58"/>
        <v>288</v>
      </c>
      <c r="S139">
        <f t="shared" si="59"/>
        <v>361.44</v>
      </c>
      <c r="T139">
        <f t="shared" si="60"/>
        <v>70.56</v>
      </c>
      <c r="U139">
        <f>I139*E139/'[1]Inverter Analysis'!$L$2</f>
        <v>202.8998224687189</v>
      </c>
      <c r="V139">
        <f t="shared" si="61"/>
        <v>185.18518518518519</v>
      </c>
      <c r="W139">
        <f t="shared" si="62"/>
        <v>221.33687472332892</v>
      </c>
      <c r="X139">
        <f t="shared" si="63"/>
        <v>132.27513227513225</v>
      </c>
      <c r="Y139">
        <f t="shared" si="64"/>
        <v>0.34293008478603415</v>
      </c>
      <c r="Z139">
        <f t="shared" si="65"/>
        <v>2.8134014564571426</v>
      </c>
    </row>
    <row r="140" spans="1:26" hidden="1">
      <c r="A140">
        <v>15</v>
      </c>
      <c r="B140">
        <v>2</v>
      </c>
      <c r="C140" s="1">
        <v>9</v>
      </c>
      <c r="D140">
        <f t="shared" si="44"/>
        <v>280</v>
      </c>
      <c r="E140">
        <f t="shared" si="45"/>
        <v>140</v>
      </c>
      <c r="F140">
        <f t="shared" si="46"/>
        <v>18.09</v>
      </c>
      <c r="G140">
        <f t="shared" si="47"/>
        <v>0.47249999999999998</v>
      </c>
      <c r="H140">
        <f t="shared" si="48"/>
        <v>79.38</v>
      </c>
      <c r="I140">
        <f t="shared" si="49"/>
        <v>567</v>
      </c>
      <c r="J140">
        <f t="shared" si="50"/>
        <v>405</v>
      </c>
      <c r="K140">
        <f t="shared" si="51"/>
        <v>56.7</v>
      </c>
      <c r="L140">
        <f t="shared" si="52"/>
        <v>4.3659000000000008</v>
      </c>
      <c r="M140">
        <f t="shared" si="53"/>
        <v>4.1958000000000002</v>
      </c>
      <c r="N140">
        <f t="shared" si="54"/>
        <v>3.3453000000000004</v>
      </c>
      <c r="O140">
        <f t="shared" si="55"/>
        <v>3.0818117647058831</v>
      </c>
      <c r="P140">
        <f t="shared" si="56"/>
        <v>1.8142548596112311</v>
      </c>
      <c r="Q140">
        <f t="shared" si="57"/>
        <v>63</v>
      </c>
      <c r="R140">
        <f t="shared" si="58"/>
        <v>270</v>
      </c>
      <c r="S140">
        <f t="shared" si="59"/>
        <v>338.85</v>
      </c>
      <c r="T140">
        <f t="shared" si="60"/>
        <v>66.149999999999991</v>
      </c>
      <c r="U140">
        <f>I140*E140/'[1]Inverter Analysis'!$L$2</f>
        <v>190.21858356442394</v>
      </c>
      <c r="V140">
        <f t="shared" si="61"/>
        <v>197.53086419753086</v>
      </c>
      <c r="W140">
        <f t="shared" si="62"/>
        <v>236.09266637155082</v>
      </c>
      <c r="X140">
        <f t="shared" si="63"/>
        <v>141.09347442680777</v>
      </c>
      <c r="Y140">
        <f t="shared" si="64"/>
        <v>0.39017822980099887</v>
      </c>
      <c r="Z140">
        <f t="shared" si="65"/>
        <v>2.3181713660993304</v>
      </c>
    </row>
    <row r="141" spans="1:26" hidden="1">
      <c r="A141">
        <v>14</v>
      </c>
      <c r="B141">
        <v>2</v>
      </c>
      <c r="C141" s="1">
        <v>9</v>
      </c>
      <c r="D141">
        <f t="shared" si="44"/>
        <v>280</v>
      </c>
      <c r="E141">
        <f t="shared" si="45"/>
        <v>140</v>
      </c>
      <c r="F141">
        <f t="shared" si="46"/>
        <v>16.884</v>
      </c>
      <c r="G141">
        <f t="shared" si="47"/>
        <v>0.441</v>
      </c>
      <c r="H141">
        <f t="shared" si="48"/>
        <v>74.087999999999994</v>
      </c>
      <c r="I141">
        <f t="shared" si="49"/>
        <v>529.20000000000005</v>
      </c>
      <c r="J141">
        <f t="shared" si="50"/>
        <v>378</v>
      </c>
      <c r="K141">
        <f t="shared" si="51"/>
        <v>52.92</v>
      </c>
      <c r="L141">
        <f t="shared" si="52"/>
        <v>4.0748400000000009</v>
      </c>
      <c r="M141">
        <f t="shared" si="53"/>
        <v>3.9160800000000004</v>
      </c>
      <c r="N141">
        <f t="shared" si="54"/>
        <v>3.1222800000000008</v>
      </c>
      <c r="O141">
        <f t="shared" si="55"/>
        <v>2.8763576470588244</v>
      </c>
      <c r="P141">
        <f t="shared" si="56"/>
        <v>1.6933045356371492</v>
      </c>
      <c r="Q141">
        <f t="shared" si="57"/>
        <v>58.800000000000004</v>
      </c>
      <c r="R141">
        <f t="shared" si="58"/>
        <v>252</v>
      </c>
      <c r="S141">
        <f t="shared" si="59"/>
        <v>316.26</v>
      </c>
      <c r="T141">
        <f t="shared" si="60"/>
        <v>61.74</v>
      </c>
      <c r="U141">
        <f>I141*E141/'[1]Inverter Analysis'!$L$2</f>
        <v>177.53734466012901</v>
      </c>
      <c r="V141">
        <f t="shared" si="61"/>
        <v>211.64021164021165</v>
      </c>
      <c r="W141">
        <f t="shared" si="62"/>
        <v>252.95642825523305</v>
      </c>
      <c r="X141">
        <f t="shared" si="63"/>
        <v>151.17157974300829</v>
      </c>
      <c r="Y141">
        <f t="shared" si="64"/>
        <v>0.44790868216951407</v>
      </c>
      <c r="Z141">
        <f t="shared" si="65"/>
        <v>1.8847591788374998</v>
      </c>
    </row>
    <row r="142" spans="1:26" hidden="1">
      <c r="A142">
        <v>13</v>
      </c>
      <c r="B142">
        <v>2</v>
      </c>
      <c r="C142" s="1">
        <v>9</v>
      </c>
      <c r="D142">
        <f t="shared" si="44"/>
        <v>280</v>
      </c>
      <c r="E142">
        <f t="shared" si="45"/>
        <v>140</v>
      </c>
      <c r="F142">
        <f t="shared" si="46"/>
        <v>15.678000000000001</v>
      </c>
      <c r="G142">
        <f t="shared" si="47"/>
        <v>0.40949999999999998</v>
      </c>
      <c r="H142">
        <f t="shared" si="48"/>
        <v>68.796000000000006</v>
      </c>
      <c r="I142">
        <f t="shared" si="49"/>
        <v>491.40000000000003</v>
      </c>
      <c r="J142">
        <f t="shared" si="50"/>
        <v>351</v>
      </c>
      <c r="K142">
        <f t="shared" si="51"/>
        <v>49.14</v>
      </c>
      <c r="L142">
        <f t="shared" si="52"/>
        <v>3.7837800000000001</v>
      </c>
      <c r="M142">
        <f t="shared" si="53"/>
        <v>3.6363600000000007</v>
      </c>
      <c r="N142">
        <f t="shared" si="54"/>
        <v>2.8992600000000004</v>
      </c>
      <c r="O142">
        <f t="shared" si="55"/>
        <v>2.6709035294117651</v>
      </c>
      <c r="P142">
        <f t="shared" si="56"/>
        <v>1.5723542116630671</v>
      </c>
      <c r="Q142">
        <f t="shared" si="57"/>
        <v>54.6</v>
      </c>
      <c r="R142">
        <f t="shared" si="58"/>
        <v>234</v>
      </c>
      <c r="S142">
        <f t="shared" si="59"/>
        <v>293.67</v>
      </c>
      <c r="T142">
        <f t="shared" si="60"/>
        <v>57.33</v>
      </c>
      <c r="U142">
        <f>I142*E142/'[1]Inverter Analysis'!$L$2</f>
        <v>164.85610575583408</v>
      </c>
      <c r="V142">
        <f t="shared" si="61"/>
        <v>227.92022792022792</v>
      </c>
      <c r="W142">
        <f t="shared" si="62"/>
        <v>272.4146150440971</v>
      </c>
      <c r="X142">
        <f t="shared" si="63"/>
        <v>162.80016280016278</v>
      </c>
      <c r="Y142">
        <f t="shared" si="64"/>
        <v>0.51946805742736535</v>
      </c>
      <c r="Z142">
        <f t="shared" si="65"/>
        <v>1.5090437011319198</v>
      </c>
    </row>
    <row r="143" spans="1:26" hidden="1">
      <c r="A143">
        <v>12</v>
      </c>
      <c r="B143">
        <v>2</v>
      </c>
      <c r="C143" s="1">
        <v>9</v>
      </c>
      <c r="D143">
        <f t="shared" si="44"/>
        <v>280</v>
      </c>
      <c r="E143">
        <f t="shared" si="45"/>
        <v>140</v>
      </c>
      <c r="F143">
        <f t="shared" si="46"/>
        <v>14.472</v>
      </c>
      <c r="G143">
        <f t="shared" si="47"/>
        <v>0.378</v>
      </c>
      <c r="H143">
        <f t="shared" si="48"/>
        <v>63.503999999999998</v>
      </c>
      <c r="I143">
        <f t="shared" si="49"/>
        <v>453.6</v>
      </c>
      <c r="J143">
        <f t="shared" si="50"/>
        <v>324</v>
      </c>
      <c r="K143">
        <f t="shared" si="51"/>
        <v>45.36</v>
      </c>
      <c r="L143">
        <f t="shared" si="52"/>
        <v>3.4927200000000003</v>
      </c>
      <c r="M143">
        <f t="shared" si="53"/>
        <v>3.3566400000000005</v>
      </c>
      <c r="N143">
        <f t="shared" si="54"/>
        <v>2.6762400000000004</v>
      </c>
      <c r="O143">
        <f t="shared" si="55"/>
        <v>2.4654494117647063</v>
      </c>
      <c r="P143">
        <f t="shared" si="56"/>
        <v>1.451403887688985</v>
      </c>
      <c r="Q143">
        <f t="shared" si="57"/>
        <v>50.400000000000006</v>
      </c>
      <c r="R143">
        <f t="shared" si="58"/>
        <v>216</v>
      </c>
      <c r="S143">
        <f t="shared" si="59"/>
        <v>271.08</v>
      </c>
      <c r="T143">
        <f t="shared" si="60"/>
        <v>52.92</v>
      </c>
      <c r="U143">
        <f>I143*E143/'[1]Inverter Analysis'!$L$2</f>
        <v>152.17486685153915</v>
      </c>
      <c r="V143">
        <f t="shared" si="61"/>
        <v>246.91358024691357</v>
      </c>
      <c r="W143">
        <f t="shared" si="62"/>
        <v>295.11583296443854</v>
      </c>
      <c r="X143">
        <f t="shared" si="63"/>
        <v>176.3668430335097</v>
      </c>
      <c r="Y143">
        <f t="shared" si="64"/>
        <v>0.60965348406406072</v>
      </c>
      <c r="Z143">
        <f t="shared" si="65"/>
        <v>1.186903739442857</v>
      </c>
    </row>
    <row r="144" spans="1:26" hidden="1">
      <c r="A144">
        <v>11</v>
      </c>
      <c r="B144">
        <v>2</v>
      </c>
      <c r="C144" s="1">
        <v>9</v>
      </c>
      <c r="D144">
        <f t="shared" si="44"/>
        <v>280</v>
      </c>
      <c r="E144">
        <f t="shared" si="45"/>
        <v>140</v>
      </c>
      <c r="F144">
        <f t="shared" si="46"/>
        <v>13.266</v>
      </c>
      <c r="G144">
        <f t="shared" si="47"/>
        <v>0.34649999999999997</v>
      </c>
      <c r="H144">
        <f t="shared" si="48"/>
        <v>58.212000000000003</v>
      </c>
      <c r="I144">
        <f t="shared" si="49"/>
        <v>415.8</v>
      </c>
      <c r="J144">
        <f t="shared" si="50"/>
        <v>297</v>
      </c>
      <c r="K144">
        <f t="shared" si="51"/>
        <v>41.58</v>
      </c>
      <c r="L144">
        <f t="shared" si="52"/>
        <v>3.2016600000000004</v>
      </c>
      <c r="M144">
        <f t="shared" si="53"/>
        <v>3.0769199999999999</v>
      </c>
      <c r="N144">
        <f t="shared" si="54"/>
        <v>2.4532200000000004</v>
      </c>
      <c r="O144">
        <f t="shared" si="55"/>
        <v>2.2599952941176475</v>
      </c>
      <c r="P144">
        <f t="shared" si="56"/>
        <v>1.3304535637149029</v>
      </c>
      <c r="Q144">
        <f t="shared" si="57"/>
        <v>46.2</v>
      </c>
      <c r="R144">
        <f t="shared" si="58"/>
        <v>198</v>
      </c>
      <c r="S144">
        <f t="shared" si="59"/>
        <v>248.49</v>
      </c>
      <c r="T144">
        <f t="shared" si="60"/>
        <v>48.51</v>
      </c>
      <c r="U144">
        <f>I144*E144/'[1]Inverter Analysis'!$L$2</f>
        <v>139.49362794724422</v>
      </c>
      <c r="V144">
        <f t="shared" si="61"/>
        <v>269.36026936026934</v>
      </c>
      <c r="W144">
        <f t="shared" si="62"/>
        <v>321.94454505211473</v>
      </c>
      <c r="X144">
        <f t="shared" si="63"/>
        <v>192.4001924001924</v>
      </c>
      <c r="Y144">
        <f t="shared" si="64"/>
        <v>0.72553803062169187</v>
      </c>
      <c r="Z144">
        <f t="shared" si="65"/>
        <v>0.91421810023058059</v>
      </c>
    </row>
    <row r="145" spans="1:26" hidden="1">
      <c r="A145">
        <v>10</v>
      </c>
      <c r="B145">
        <v>2</v>
      </c>
      <c r="C145" s="1">
        <v>9</v>
      </c>
      <c r="D145">
        <f t="shared" si="44"/>
        <v>280</v>
      </c>
      <c r="E145">
        <f t="shared" si="45"/>
        <v>140</v>
      </c>
      <c r="F145">
        <f t="shared" si="46"/>
        <v>12.06</v>
      </c>
      <c r="G145">
        <f t="shared" si="47"/>
        <v>0.31500000000000006</v>
      </c>
      <c r="H145">
        <f t="shared" si="48"/>
        <v>52.92</v>
      </c>
      <c r="I145">
        <f t="shared" si="49"/>
        <v>378</v>
      </c>
      <c r="J145">
        <f t="shared" si="50"/>
        <v>270</v>
      </c>
      <c r="K145">
        <f t="shared" si="51"/>
        <v>37.799999999999997</v>
      </c>
      <c r="L145">
        <f t="shared" si="52"/>
        <v>2.9106000000000001</v>
      </c>
      <c r="M145">
        <f t="shared" si="53"/>
        <v>2.7972000000000001</v>
      </c>
      <c r="N145">
        <f t="shared" si="54"/>
        <v>2.2302000000000004</v>
      </c>
      <c r="O145">
        <f t="shared" si="55"/>
        <v>2.0545411764705883</v>
      </c>
      <c r="P145">
        <f t="shared" si="56"/>
        <v>1.2095032397408207</v>
      </c>
      <c r="Q145">
        <f t="shared" si="57"/>
        <v>42</v>
      </c>
      <c r="R145">
        <f t="shared" si="58"/>
        <v>180</v>
      </c>
      <c r="S145">
        <f t="shared" si="59"/>
        <v>225.89999999999998</v>
      </c>
      <c r="T145">
        <f t="shared" si="60"/>
        <v>44.100000000000009</v>
      </c>
      <c r="U145">
        <f>I145*E145/'[1]Inverter Analysis'!$L$2</f>
        <v>126.81238904294929</v>
      </c>
      <c r="V145">
        <f t="shared" si="61"/>
        <v>296.2962962962963</v>
      </c>
      <c r="W145">
        <f t="shared" si="62"/>
        <v>354.13899955732626</v>
      </c>
      <c r="X145">
        <f t="shared" si="63"/>
        <v>211.64021164021165</v>
      </c>
      <c r="Y145">
        <f t="shared" si="64"/>
        <v>0.87790101705224743</v>
      </c>
      <c r="Z145">
        <f t="shared" si="65"/>
        <v>0.68686558995535718</v>
      </c>
    </row>
    <row r="146" spans="1:26" hidden="1">
      <c r="A146" s="8">
        <v>16</v>
      </c>
      <c r="B146" s="1">
        <v>6</v>
      </c>
      <c r="C146" s="1">
        <v>8</v>
      </c>
      <c r="D146">
        <f t="shared" si="44"/>
        <v>840</v>
      </c>
      <c r="E146">
        <f t="shared" si="45"/>
        <v>420</v>
      </c>
      <c r="F146">
        <f t="shared" si="46"/>
        <v>51.456000000000003</v>
      </c>
      <c r="G146">
        <f t="shared" si="47"/>
        <v>0.14933333333333335</v>
      </c>
      <c r="H146">
        <f t="shared" si="48"/>
        <v>225.792</v>
      </c>
      <c r="I146">
        <f t="shared" si="49"/>
        <v>537.6</v>
      </c>
      <c r="J146">
        <f t="shared" si="50"/>
        <v>384</v>
      </c>
      <c r="K146">
        <f t="shared" si="51"/>
        <v>161.28</v>
      </c>
      <c r="L146">
        <f t="shared" si="52"/>
        <v>12.418560000000001</v>
      </c>
      <c r="M146">
        <f t="shared" si="53"/>
        <v>11.93472</v>
      </c>
      <c r="N146">
        <f t="shared" si="54"/>
        <v>9.5155200000000004</v>
      </c>
      <c r="O146">
        <f t="shared" si="55"/>
        <v>8.7660423529411773</v>
      </c>
      <c r="P146">
        <f t="shared" si="56"/>
        <v>5.8056155507559399</v>
      </c>
      <c r="Q146">
        <f t="shared" si="57"/>
        <v>67.2</v>
      </c>
      <c r="R146">
        <f t="shared" si="58"/>
        <v>768</v>
      </c>
      <c r="S146">
        <f t="shared" si="59"/>
        <v>321.27999999999997</v>
      </c>
      <c r="T146">
        <f t="shared" si="60"/>
        <v>62.720000000000006</v>
      </c>
      <c r="U146">
        <f>I146*E146/'[1]Inverter Analysis'!$L$2</f>
        <v>541.06619324991698</v>
      </c>
      <c r="V146">
        <f t="shared" si="61"/>
        <v>208.33333333333334</v>
      </c>
      <c r="W146">
        <f t="shared" si="62"/>
        <v>249.00398406374504</v>
      </c>
      <c r="X146">
        <f t="shared" si="63"/>
        <v>148.8095238095238</v>
      </c>
      <c r="Y146">
        <f t="shared" si="64"/>
        <v>0.43402088855732457</v>
      </c>
      <c r="Z146">
        <f t="shared" si="65"/>
        <v>5.9278252909714277</v>
      </c>
    </row>
    <row r="147" spans="1:26" hidden="1">
      <c r="A147" s="8">
        <v>15</v>
      </c>
      <c r="B147" s="1">
        <v>6</v>
      </c>
      <c r="C147" s="1">
        <v>8</v>
      </c>
      <c r="D147">
        <f t="shared" si="44"/>
        <v>840</v>
      </c>
      <c r="E147">
        <f t="shared" si="45"/>
        <v>420</v>
      </c>
      <c r="F147">
        <f t="shared" si="46"/>
        <v>48.24</v>
      </c>
      <c r="G147">
        <f t="shared" si="47"/>
        <v>0.14000000000000001</v>
      </c>
      <c r="H147">
        <f t="shared" si="48"/>
        <v>211.68</v>
      </c>
      <c r="I147">
        <f t="shared" si="49"/>
        <v>504</v>
      </c>
      <c r="J147">
        <f t="shared" si="50"/>
        <v>360</v>
      </c>
      <c r="K147">
        <f t="shared" si="51"/>
        <v>151.19999999999999</v>
      </c>
      <c r="L147">
        <f t="shared" si="52"/>
        <v>11.642400000000002</v>
      </c>
      <c r="M147">
        <f t="shared" si="53"/>
        <v>11.188800000000001</v>
      </c>
      <c r="N147">
        <f t="shared" si="54"/>
        <v>8.9208000000000016</v>
      </c>
      <c r="O147">
        <f t="shared" si="55"/>
        <v>8.218164705882355</v>
      </c>
      <c r="P147">
        <f t="shared" si="56"/>
        <v>5.4427645788336934</v>
      </c>
      <c r="Q147">
        <f t="shared" si="57"/>
        <v>63</v>
      </c>
      <c r="R147">
        <f t="shared" si="58"/>
        <v>720</v>
      </c>
      <c r="S147">
        <f t="shared" si="59"/>
        <v>301.2</v>
      </c>
      <c r="T147">
        <f t="shared" si="60"/>
        <v>58.800000000000004</v>
      </c>
      <c r="U147">
        <f>I147*E147/'[1]Inverter Analysis'!$L$2</f>
        <v>507.24955617179717</v>
      </c>
      <c r="V147">
        <f t="shared" si="61"/>
        <v>222.22222222222223</v>
      </c>
      <c r="W147">
        <f t="shared" si="62"/>
        <v>265.60424966799468</v>
      </c>
      <c r="X147">
        <f t="shared" si="63"/>
        <v>158.73015873015873</v>
      </c>
      <c r="Y147">
        <f t="shared" si="64"/>
        <v>0.49381932209188922</v>
      </c>
      <c r="Z147">
        <f t="shared" si="65"/>
        <v>4.884377528571429</v>
      </c>
    </row>
    <row r="148" spans="1:26" hidden="1">
      <c r="A148">
        <v>14</v>
      </c>
      <c r="B148" s="1">
        <v>6</v>
      </c>
      <c r="C148" s="1">
        <v>8</v>
      </c>
      <c r="D148">
        <f t="shared" si="44"/>
        <v>840</v>
      </c>
      <c r="E148">
        <f t="shared" si="45"/>
        <v>420</v>
      </c>
      <c r="F148">
        <f t="shared" si="46"/>
        <v>45.024000000000001</v>
      </c>
      <c r="G148">
        <f t="shared" si="47"/>
        <v>0.13066666666666668</v>
      </c>
      <c r="H148">
        <f t="shared" si="48"/>
        <v>197.56800000000001</v>
      </c>
      <c r="I148">
        <f t="shared" si="49"/>
        <v>470.40000000000003</v>
      </c>
      <c r="J148">
        <f t="shared" si="50"/>
        <v>336</v>
      </c>
      <c r="K148">
        <f t="shared" si="51"/>
        <v>141.12</v>
      </c>
      <c r="L148">
        <f t="shared" si="52"/>
        <v>10.866240000000001</v>
      </c>
      <c r="M148">
        <f t="shared" si="53"/>
        <v>10.442880000000001</v>
      </c>
      <c r="N148">
        <f t="shared" si="54"/>
        <v>8.326080000000001</v>
      </c>
      <c r="O148">
        <f t="shared" si="55"/>
        <v>7.670287058823531</v>
      </c>
      <c r="P148">
        <f t="shared" si="56"/>
        <v>5.0799136069114468</v>
      </c>
      <c r="Q148">
        <f t="shared" si="57"/>
        <v>58.800000000000004</v>
      </c>
      <c r="R148">
        <f t="shared" si="58"/>
        <v>672</v>
      </c>
      <c r="S148">
        <f t="shared" si="59"/>
        <v>281.12</v>
      </c>
      <c r="T148">
        <f t="shared" si="60"/>
        <v>54.88</v>
      </c>
      <c r="U148">
        <f>I148*E148/'[1]Inverter Analysis'!$L$2</f>
        <v>473.43291909367736</v>
      </c>
      <c r="V148">
        <f t="shared" si="61"/>
        <v>238.0952380952381</v>
      </c>
      <c r="W148">
        <f t="shared" si="62"/>
        <v>284.57598178713715</v>
      </c>
      <c r="X148">
        <f t="shared" si="63"/>
        <v>170.06802721088434</v>
      </c>
      <c r="Y148">
        <f t="shared" si="64"/>
        <v>0.56688442587079113</v>
      </c>
      <c r="Z148">
        <f t="shared" si="65"/>
        <v>3.9711798336000004</v>
      </c>
    </row>
    <row r="149" spans="1:26" hidden="1">
      <c r="A149">
        <v>13</v>
      </c>
      <c r="B149" s="1">
        <v>6</v>
      </c>
      <c r="C149" s="1">
        <v>8</v>
      </c>
      <c r="D149">
        <f t="shared" si="44"/>
        <v>840</v>
      </c>
      <c r="E149">
        <f t="shared" si="45"/>
        <v>420</v>
      </c>
      <c r="F149">
        <f t="shared" si="46"/>
        <v>41.808</v>
      </c>
      <c r="G149">
        <f t="shared" si="47"/>
        <v>0.12133333333333335</v>
      </c>
      <c r="H149">
        <f t="shared" si="48"/>
        <v>183.45599999999999</v>
      </c>
      <c r="I149">
        <f t="shared" si="49"/>
        <v>436.8</v>
      </c>
      <c r="J149">
        <f t="shared" si="50"/>
        <v>312</v>
      </c>
      <c r="K149">
        <f t="shared" si="51"/>
        <v>131.04</v>
      </c>
      <c r="L149">
        <f t="shared" si="52"/>
        <v>10.09008</v>
      </c>
      <c r="M149">
        <f t="shared" si="53"/>
        <v>9.6969600000000007</v>
      </c>
      <c r="N149">
        <f t="shared" si="54"/>
        <v>7.7313600000000005</v>
      </c>
      <c r="O149">
        <f t="shared" si="55"/>
        <v>7.122409411764707</v>
      </c>
      <c r="P149">
        <f t="shared" si="56"/>
        <v>4.7170626349892011</v>
      </c>
      <c r="Q149">
        <f t="shared" si="57"/>
        <v>54.6</v>
      </c>
      <c r="R149">
        <f t="shared" si="58"/>
        <v>624</v>
      </c>
      <c r="S149">
        <f t="shared" si="59"/>
        <v>261.03999999999996</v>
      </c>
      <c r="T149">
        <f t="shared" si="60"/>
        <v>50.960000000000008</v>
      </c>
      <c r="U149">
        <f>I149*E149/'[1]Inverter Analysis'!$L$2</f>
        <v>439.61628201555754</v>
      </c>
      <c r="V149">
        <f t="shared" si="61"/>
        <v>256.41025641025641</v>
      </c>
      <c r="W149">
        <f t="shared" si="62"/>
        <v>306.46644192460928</v>
      </c>
      <c r="X149">
        <f t="shared" si="63"/>
        <v>183.15018315018315</v>
      </c>
      <c r="Y149">
        <f t="shared" si="64"/>
        <v>0.65745176018150953</v>
      </c>
      <c r="Z149">
        <f t="shared" si="65"/>
        <v>3.1795488682285704</v>
      </c>
    </row>
    <row r="150" spans="1:26" hidden="1">
      <c r="A150">
        <v>12</v>
      </c>
      <c r="B150" s="1">
        <v>6</v>
      </c>
      <c r="C150" s="1">
        <v>8</v>
      </c>
      <c r="D150">
        <f t="shared" si="44"/>
        <v>840</v>
      </c>
      <c r="E150">
        <f t="shared" si="45"/>
        <v>420</v>
      </c>
      <c r="F150">
        <f t="shared" si="46"/>
        <v>38.591999999999999</v>
      </c>
      <c r="G150">
        <f t="shared" si="47"/>
        <v>0.11200000000000002</v>
      </c>
      <c r="H150">
        <f t="shared" si="48"/>
        <v>169.34400000000002</v>
      </c>
      <c r="I150">
        <f t="shared" si="49"/>
        <v>403.20000000000005</v>
      </c>
      <c r="J150">
        <f t="shared" si="50"/>
        <v>288</v>
      </c>
      <c r="K150">
        <f t="shared" si="51"/>
        <v>120.96</v>
      </c>
      <c r="L150">
        <f t="shared" si="52"/>
        <v>9.3139200000000013</v>
      </c>
      <c r="M150">
        <f t="shared" si="53"/>
        <v>8.9510400000000008</v>
      </c>
      <c r="N150">
        <f t="shared" si="54"/>
        <v>7.1366400000000016</v>
      </c>
      <c r="O150">
        <f t="shared" si="55"/>
        <v>6.5745317647058839</v>
      </c>
      <c r="P150">
        <f t="shared" si="56"/>
        <v>4.3542116630669554</v>
      </c>
      <c r="Q150">
        <f t="shared" si="57"/>
        <v>50.400000000000006</v>
      </c>
      <c r="R150">
        <f t="shared" si="58"/>
        <v>576</v>
      </c>
      <c r="S150">
        <f t="shared" si="59"/>
        <v>240.95999999999998</v>
      </c>
      <c r="T150">
        <f t="shared" si="60"/>
        <v>47.040000000000006</v>
      </c>
      <c r="U150">
        <f>I150*E150/'[1]Inverter Analysis'!$L$2</f>
        <v>405.79964493743779</v>
      </c>
      <c r="V150">
        <f t="shared" si="61"/>
        <v>277.77777777777777</v>
      </c>
      <c r="W150">
        <f t="shared" si="62"/>
        <v>332.00531208499336</v>
      </c>
      <c r="X150">
        <f t="shared" si="63"/>
        <v>198.4126984126984</v>
      </c>
      <c r="Y150">
        <f t="shared" si="64"/>
        <v>0.77159269076857695</v>
      </c>
      <c r="Z150">
        <f t="shared" si="65"/>
        <v>2.5008012946285705</v>
      </c>
    </row>
    <row r="151" spans="1:26" hidden="1">
      <c r="A151">
        <v>11</v>
      </c>
      <c r="B151" s="1">
        <v>6</v>
      </c>
      <c r="C151" s="1">
        <v>8</v>
      </c>
      <c r="D151">
        <f t="shared" si="44"/>
        <v>840</v>
      </c>
      <c r="E151">
        <f t="shared" si="45"/>
        <v>420</v>
      </c>
      <c r="F151">
        <f t="shared" si="46"/>
        <v>35.375999999999998</v>
      </c>
      <c r="G151">
        <f t="shared" si="47"/>
        <v>0.10266666666666667</v>
      </c>
      <c r="H151">
        <f t="shared" si="48"/>
        <v>155.232</v>
      </c>
      <c r="I151">
        <f t="shared" si="49"/>
        <v>369.6</v>
      </c>
      <c r="J151">
        <f t="shared" si="50"/>
        <v>264</v>
      </c>
      <c r="K151">
        <f t="shared" si="51"/>
        <v>110.88</v>
      </c>
      <c r="L151">
        <f t="shared" si="52"/>
        <v>8.5377600000000005</v>
      </c>
      <c r="M151">
        <f t="shared" si="53"/>
        <v>8.2051200000000009</v>
      </c>
      <c r="N151">
        <f t="shared" si="54"/>
        <v>6.5419200000000011</v>
      </c>
      <c r="O151">
        <f t="shared" si="55"/>
        <v>6.0266541176470598</v>
      </c>
      <c r="P151">
        <f t="shared" si="56"/>
        <v>3.9913606911447088</v>
      </c>
      <c r="Q151">
        <f t="shared" si="57"/>
        <v>46.2</v>
      </c>
      <c r="R151">
        <f t="shared" si="58"/>
        <v>528</v>
      </c>
      <c r="S151">
        <f t="shared" si="59"/>
        <v>220.88</v>
      </c>
      <c r="T151">
        <f t="shared" si="60"/>
        <v>43.120000000000005</v>
      </c>
      <c r="U151">
        <f>I151*E151/'[1]Inverter Analysis'!$L$2</f>
        <v>371.98300785931792</v>
      </c>
      <c r="V151">
        <f t="shared" si="61"/>
        <v>303.030303030303</v>
      </c>
      <c r="W151">
        <f t="shared" si="62"/>
        <v>362.18761318362914</v>
      </c>
      <c r="X151">
        <f t="shared" si="63"/>
        <v>216.45021645021643</v>
      </c>
      <c r="Y151">
        <f t="shared" si="64"/>
        <v>0.91825907000557927</v>
      </c>
      <c r="Z151">
        <f t="shared" si="65"/>
        <v>1.9262537749714281</v>
      </c>
    </row>
    <row r="152" spans="1:26" hidden="1">
      <c r="A152">
        <v>10</v>
      </c>
      <c r="B152" s="1">
        <v>6</v>
      </c>
      <c r="C152" s="1">
        <v>8</v>
      </c>
      <c r="D152">
        <f t="shared" si="44"/>
        <v>840</v>
      </c>
      <c r="E152">
        <f t="shared" si="45"/>
        <v>420</v>
      </c>
      <c r="F152">
        <f t="shared" si="46"/>
        <v>32.159999999999997</v>
      </c>
      <c r="G152">
        <f t="shared" si="47"/>
        <v>9.3333333333333338E-2</v>
      </c>
      <c r="H152">
        <f t="shared" si="48"/>
        <v>141.12</v>
      </c>
      <c r="I152">
        <f t="shared" si="49"/>
        <v>336</v>
      </c>
      <c r="J152">
        <f t="shared" si="50"/>
        <v>240</v>
      </c>
      <c r="K152">
        <f t="shared" si="51"/>
        <v>100.8</v>
      </c>
      <c r="L152">
        <f t="shared" si="52"/>
        <v>7.7616000000000005</v>
      </c>
      <c r="M152">
        <f t="shared" si="53"/>
        <v>7.4592000000000009</v>
      </c>
      <c r="N152">
        <f t="shared" si="54"/>
        <v>5.9472000000000005</v>
      </c>
      <c r="O152">
        <f t="shared" si="55"/>
        <v>5.4787764705882358</v>
      </c>
      <c r="P152">
        <f t="shared" si="56"/>
        <v>3.6285097192224622</v>
      </c>
      <c r="Q152">
        <f t="shared" si="57"/>
        <v>42</v>
      </c>
      <c r="R152">
        <f t="shared" si="58"/>
        <v>480</v>
      </c>
      <c r="S152">
        <f t="shared" si="59"/>
        <v>200.8</v>
      </c>
      <c r="T152">
        <f t="shared" si="60"/>
        <v>39.200000000000003</v>
      </c>
      <c r="U152">
        <f>I152*E152/'[1]Inverter Analysis'!$L$2</f>
        <v>338.16637078119811</v>
      </c>
      <c r="V152">
        <f t="shared" si="61"/>
        <v>333.33333333333331</v>
      </c>
      <c r="W152">
        <f t="shared" si="62"/>
        <v>398.40637450199199</v>
      </c>
      <c r="X152">
        <f t="shared" si="63"/>
        <v>238.0952380952381</v>
      </c>
      <c r="Y152">
        <f t="shared" si="64"/>
        <v>1.1110934747067507</v>
      </c>
      <c r="Z152">
        <f t="shared" si="65"/>
        <v>1.4472229714285714</v>
      </c>
    </row>
    <row r="153" spans="1:26" hidden="1">
      <c r="A153" s="8">
        <v>16</v>
      </c>
      <c r="B153" s="9">
        <v>5</v>
      </c>
      <c r="C153" s="1">
        <v>8</v>
      </c>
      <c r="D153">
        <f t="shared" si="44"/>
        <v>700</v>
      </c>
      <c r="E153">
        <f t="shared" si="45"/>
        <v>350</v>
      </c>
      <c r="F153">
        <f t="shared" si="46"/>
        <v>42.88</v>
      </c>
      <c r="G153">
        <f t="shared" si="47"/>
        <v>0.1792</v>
      </c>
      <c r="H153">
        <f t="shared" si="48"/>
        <v>188.16</v>
      </c>
      <c r="I153">
        <f t="shared" si="49"/>
        <v>537.6</v>
      </c>
      <c r="J153">
        <f t="shared" si="50"/>
        <v>384</v>
      </c>
      <c r="K153">
        <f t="shared" si="51"/>
        <v>134.4</v>
      </c>
      <c r="L153">
        <f t="shared" si="52"/>
        <v>10.348800000000001</v>
      </c>
      <c r="M153">
        <f t="shared" si="53"/>
        <v>9.9456000000000007</v>
      </c>
      <c r="N153">
        <f t="shared" si="54"/>
        <v>7.9296000000000006</v>
      </c>
      <c r="O153">
        <f t="shared" si="55"/>
        <v>7.3050352941176477</v>
      </c>
      <c r="P153">
        <f t="shared" si="56"/>
        <v>4.838012958963283</v>
      </c>
      <c r="Q153">
        <f t="shared" si="57"/>
        <v>67.2</v>
      </c>
      <c r="R153">
        <f t="shared" si="58"/>
        <v>640</v>
      </c>
      <c r="S153">
        <f t="shared" si="59"/>
        <v>321.27999999999997</v>
      </c>
      <c r="T153">
        <f t="shared" si="60"/>
        <v>62.72</v>
      </c>
      <c r="U153">
        <f>I153*E153/'[1]Inverter Analysis'!$L$2</f>
        <v>450.88849437493081</v>
      </c>
      <c r="V153">
        <f t="shared" si="61"/>
        <v>208.33333333333334</v>
      </c>
      <c r="W153">
        <f t="shared" si="62"/>
        <v>249.00398406374504</v>
      </c>
      <c r="X153">
        <f t="shared" si="63"/>
        <v>148.8095238095238</v>
      </c>
      <c r="Y153">
        <f t="shared" si="64"/>
        <v>0.43402088855732457</v>
      </c>
      <c r="Z153">
        <f t="shared" si="65"/>
        <v>4.9398544091428569</v>
      </c>
    </row>
    <row r="154" spans="1:26" hidden="1">
      <c r="A154" s="8">
        <v>15</v>
      </c>
      <c r="B154" s="9">
        <v>5</v>
      </c>
      <c r="C154" s="1">
        <v>8</v>
      </c>
      <c r="D154">
        <f t="shared" si="44"/>
        <v>700</v>
      </c>
      <c r="E154">
        <f t="shared" si="45"/>
        <v>350</v>
      </c>
      <c r="F154">
        <f t="shared" si="46"/>
        <v>40.200000000000003</v>
      </c>
      <c r="G154">
        <f t="shared" si="47"/>
        <v>0.16800000000000001</v>
      </c>
      <c r="H154">
        <f t="shared" si="48"/>
        <v>176.4</v>
      </c>
      <c r="I154">
        <f t="shared" si="49"/>
        <v>504</v>
      </c>
      <c r="J154">
        <f t="shared" si="50"/>
        <v>360</v>
      </c>
      <c r="K154">
        <f t="shared" si="51"/>
        <v>126</v>
      </c>
      <c r="L154">
        <f t="shared" si="52"/>
        <v>9.702</v>
      </c>
      <c r="M154">
        <f t="shared" si="53"/>
        <v>9.3239999999999998</v>
      </c>
      <c r="N154">
        <f t="shared" si="54"/>
        <v>7.4340000000000011</v>
      </c>
      <c r="O154">
        <f t="shared" si="55"/>
        <v>6.8484705882352941</v>
      </c>
      <c r="P154">
        <f t="shared" si="56"/>
        <v>4.5356371490280774</v>
      </c>
      <c r="Q154">
        <f t="shared" si="57"/>
        <v>63</v>
      </c>
      <c r="R154">
        <f t="shared" si="58"/>
        <v>600</v>
      </c>
      <c r="S154">
        <f t="shared" si="59"/>
        <v>301.2</v>
      </c>
      <c r="T154">
        <f t="shared" si="60"/>
        <v>58.800000000000004</v>
      </c>
      <c r="U154">
        <f>I154*E154/'[1]Inverter Analysis'!$L$2</f>
        <v>422.70796347649764</v>
      </c>
      <c r="V154">
        <f t="shared" si="61"/>
        <v>222.22222222222223</v>
      </c>
      <c r="W154">
        <f t="shared" si="62"/>
        <v>265.60424966799468</v>
      </c>
      <c r="X154">
        <f t="shared" si="63"/>
        <v>158.73015873015873</v>
      </c>
      <c r="Y154">
        <f t="shared" si="64"/>
        <v>0.49381932209188922</v>
      </c>
      <c r="Z154">
        <f t="shared" si="65"/>
        <v>4.0703146071428566</v>
      </c>
    </row>
    <row r="155" spans="1:26" hidden="1">
      <c r="A155">
        <v>14</v>
      </c>
      <c r="B155" s="9">
        <v>5</v>
      </c>
      <c r="C155" s="1">
        <v>8</v>
      </c>
      <c r="D155">
        <f t="shared" si="44"/>
        <v>700</v>
      </c>
      <c r="E155">
        <f t="shared" si="45"/>
        <v>350</v>
      </c>
      <c r="F155">
        <f t="shared" si="46"/>
        <v>37.520000000000003</v>
      </c>
      <c r="G155">
        <f t="shared" si="47"/>
        <v>0.15679999999999999</v>
      </c>
      <c r="H155">
        <f t="shared" si="48"/>
        <v>164.64</v>
      </c>
      <c r="I155">
        <f t="shared" si="49"/>
        <v>470.40000000000003</v>
      </c>
      <c r="J155">
        <f t="shared" si="50"/>
        <v>336</v>
      </c>
      <c r="K155">
        <f t="shared" si="51"/>
        <v>117.6</v>
      </c>
      <c r="L155">
        <f t="shared" si="52"/>
        <v>9.055200000000001</v>
      </c>
      <c r="M155">
        <f t="shared" si="53"/>
        <v>8.7024000000000008</v>
      </c>
      <c r="N155">
        <f t="shared" si="54"/>
        <v>6.9384000000000015</v>
      </c>
      <c r="O155">
        <f t="shared" si="55"/>
        <v>6.3919058823529422</v>
      </c>
      <c r="P155">
        <f t="shared" si="56"/>
        <v>4.2332613390928726</v>
      </c>
      <c r="Q155">
        <f t="shared" si="57"/>
        <v>58.800000000000004</v>
      </c>
      <c r="R155">
        <f t="shared" si="58"/>
        <v>560</v>
      </c>
      <c r="S155">
        <f t="shared" si="59"/>
        <v>281.12</v>
      </c>
      <c r="T155">
        <f t="shared" si="60"/>
        <v>54.879999999999995</v>
      </c>
      <c r="U155">
        <f>I155*E155/'[1]Inverter Analysis'!$L$2</f>
        <v>394.52743257806446</v>
      </c>
      <c r="V155">
        <f t="shared" si="61"/>
        <v>238.0952380952381</v>
      </c>
      <c r="W155">
        <f t="shared" si="62"/>
        <v>284.57598178713715</v>
      </c>
      <c r="X155">
        <f t="shared" si="63"/>
        <v>170.06802721088434</v>
      </c>
      <c r="Y155">
        <f t="shared" si="64"/>
        <v>0.56688442587079113</v>
      </c>
      <c r="Z155">
        <f t="shared" si="65"/>
        <v>3.309316528000001</v>
      </c>
    </row>
    <row r="156" spans="1:26" hidden="1">
      <c r="A156">
        <v>13</v>
      </c>
      <c r="B156" s="9">
        <v>5</v>
      </c>
      <c r="C156" s="1">
        <v>8</v>
      </c>
      <c r="D156">
        <f t="shared" si="44"/>
        <v>700</v>
      </c>
      <c r="E156">
        <f t="shared" si="45"/>
        <v>350</v>
      </c>
      <c r="F156">
        <f t="shared" si="46"/>
        <v>34.840000000000003</v>
      </c>
      <c r="G156">
        <f t="shared" si="47"/>
        <v>0.14560000000000001</v>
      </c>
      <c r="H156">
        <f t="shared" si="48"/>
        <v>152.88</v>
      </c>
      <c r="I156">
        <f t="shared" si="49"/>
        <v>436.8</v>
      </c>
      <c r="J156">
        <f t="shared" si="50"/>
        <v>312</v>
      </c>
      <c r="K156">
        <f t="shared" si="51"/>
        <v>109.2</v>
      </c>
      <c r="L156">
        <f t="shared" si="52"/>
        <v>8.4084000000000003</v>
      </c>
      <c r="M156">
        <f t="shared" si="53"/>
        <v>8.0808</v>
      </c>
      <c r="N156">
        <f t="shared" si="54"/>
        <v>6.442800000000001</v>
      </c>
      <c r="O156">
        <f t="shared" si="55"/>
        <v>5.9353411764705886</v>
      </c>
      <c r="P156">
        <f t="shared" si="56"/>
        <v>3.9308855291576674</v>
      </c>
      <c r="Q156">
        <f t="shared" si="57"/>
        <v>54.6</v>
      </c>
      <c r="R156">
        <f t="shared" si="58"/>
        <v>520</v>
      </c>
      <c r="S156">
        <f t="shared" si="59"/>
        <v>261.04000000000002</v>
      </c>
      <c r="T156">
        <f t="shared" si="60"/>
        <v>50.96</v>
      </c>
      <c r="U156">
        <f>I156*E156/'[1]Inverter Analysis'!$L$2</f>
        <v>366.34690167963129</v>
      </c>
      <c r="V156">
        <f t="shared" si="61"/>
        <v>256.41025641025641</v>
      </c>
      <c r="W156">
        <f t="shared" si="62"/>
        <v>306.46644192460923</v>
      </c>
      <c r="X156">
        <f t="shared" si="63"/>
        <v>183.15018315018315</v>
      </c>
      <c r="Y156">
        <f t="shared" si="64"/>
        <v>0.65745176018150919</v>
      </c>
      <c r="Z156">
        <f t="shared" si="65"/>
        <v>2.6496240568571441</v>
      </c>
    </row>
    <row r="157" spans="1:26" hidden="1">
      <c r="A157">
        <v>12</v>
      </c>
      <c r="B157" s="9">
        <v>5</v>
      </c>
      <c r="C157" s="1">
        <v>8</v>
      </c>
      <c r="D157">
        <f t="shared" si="44"/>
        <v>700</v>
      </c>
      <c r="E157">
        <f t="shared" si="45"/>
        <v>350</v>
      </c>
      <c r="F157">
        <f t="shared" si="46"/>
        <v>32.159999999999997</v>
      </c>
      <c r="G157">
        <f t="shared" si="47"/>
        <v>0.13439999999999999</v>
      </c>
      <c r="H157">
        <f t="shared" si="48"/>
        <v>141.12000000000003</v>
      </c>
      <c r="I157">
        <f t="shared" si="49"/>
        <v>403.20000000000005</v>
      </c>
      <c r="J157">
        <f t="shared" si="50"/>
        <v>288</v>
      </c>
      <c r="K157">
        <f t="shared" si="51"/>
        <v>100.8</v>
      </c>
      <c r="L157">
        <f t="shared" si="52"/>
        <v>7.7616000000000005</v>
      </c>
      <c r="M157">
        <f t="shared" si="53"/>
        <v>7.4592000000000009</v>
      </c>
      <c r="N157">
        <f t="shared" si="54"/>
        <v>5.9472000000000014</v>
      </c>
      <c r="O157">
        <f t="shared" si="55"/>
        <v>5.4787764705882358</v>
      </c>
      <c r="P157">
        <f t="shared" si="56"/>
        <v>3.6285097192224627</v>
      </c>
      <c r="Q157">
        <f t="shared" si="57"/>
        <v>50.400000000000006</v>
      </c>
      <c r="R157">
        <f t="shared" si="58"/>
        <v>480</v>
      </c>
      <c r="S157">
        <f t="shared" si="59"/>
        <v>240.96</v>
      </c>
      <c r="T157">
        <f t="shared" si="60"/>
        <v>47.04</v>
      </c>
      <c r="U157">
        <f>I157*E157/'[1]Inverter Analysis'!$L$2</f>
        <v>338.16637078119817</v>
      </c>
      <c r="V157">
        <f t="shared" si="61"/>
        <v>277.77777777777777</v>
      </c>
      <c r="W157">
        <f t="shared" si="62"/>
        <v>332.00531208499336</v>
      </c>
      <c r="X157">
        <f t="shared" si="63"/>
        <v>198.4126984126984</v>
      </c>
      <c r="Y157">
        <f t="shared" si="64"/>
        <v>0.77159269076857695</v>
      </c>
      <c r="Z157">
        <f t="shared" si="65"/>
        <v>2.0840010788571424</v>
      </c>
    </row>
    <row r="158" spans="1:26" hidden="1">
      <c r="A158">
        <v>11</v>
      </c>
      <c r="B158" s="9">
        <v>5</v>
      </c>
      <c r="C158" s="1">
        <v>8</v>
      </c>
      <c r="D158">
        <f t="shared" si="44"/>
        <v>700</v>
      </c>
      <c r="E158">
        <f t="shared" si="45"/>
        <v>350</v>
      </c>
      <c r="F158">
        <f t="shared" si="46"/>
        <v>29.48</v>
      </c>
      <c r="G158">
        <f t="shared" si="47"/>
        <v>0.1232</v>
      </c>
      <c r="H158">
        <f t="shared" si="48"/>
        <v>129.36000000000001</v>
      </c>
      <c r="I158">
        <f t="shared" si="49"/>
        <v>369.6</v>
      </c>
      <c r="J158">
        <f t="shared" si="50"/>
        <v>264</v>
      </c>
      <c r="K158">
        <f t="shared" si="51"/>
        <v>92.4</v>
      </c>
      <c r="L158">
        <f t="shared" si="52"/>
        <v>7.1147999999999998</v>
      </c>
      <c r="M158">
        <f t="shared" si="53"/>
        <v>6.837600000000001</v>
      </c>
      <c r="N158">
        <f t="shared" si="54"/>
        <v>5.4516</v>
      </c>
      <c r="O158">
        <f t="shared" si="55"/>
        <v>5.0222117647058822</v>
      </c>
      <c r="P158">
        <f t="shared" si="56"/>
        <v>3.3261339092872571</v>
      </c>
      <c r="Q158">
        <f t="shared" si="57"/>
        <v>46.2</v>
      </c>
      <c r="R158">
        <f t="shared" si="58"/>
        <v>440</v>
      </c>
      <c r="S158">
        <f t="shared" si="59"/>
        <v>220.88</v>
      </c>
      <c r="T158">
        <f t="shared" si="60"/>
        <v>43.120000000000005</v>
      </c>
      <c r="U158">
        <f>I158*E158/'[1]Inverter Analysis'!$L$2</f>
        <v>309.98583988276494</v>
      </c>
      <c r="V158">
        <f t="shared" si="61"/>
        <v>303.030303030303</v>
      </c>
      <c r="W158">
        <f t="shared" si="62"/>
        <v>362.18761318362914</v>
      </c>
      <c r="X158">
        <f t="shared" si="63"/>
        <v>216.45021645021643</v>
      </c>
      <c r="Y158">
        <f t="shared" si="64"/>
        <v>0.91825907000557927</v>
      </c>
      <c r="Z158">
        <f t="shared" si="65"/>
        <v>1.6052114791428567</v>
      </c>
    </row>
    <row r="159" spans="1:26" hidden="1">
      <c r="A159">
        <v>10</v>
      </c>
      <c r="B159" s="9">
        <v>5</v>
      </c>
      <c r="C159" s="1">
        <v>8</v>
      </c>
      <c r="D159">
        <f t="shared" si="44"/>
        <v>700</v>
      </c>
      <c r="E159">
        <f t="shared" si="45"/>
        <v>350</v>
      </c>
      <c r="F159">
        <f t="shared" si="46"/>
        <v>26.8</v>
      </c>
      <c r="G159">
        <f t="shared" si="47"/>
        <v>0.112</v>
      </c>
      <c r="H159">
        <f t="shared" si="48"/>
        <v>117.6</v>
      </c>
      <c r="I159">
        <f t="shared" si="49"/>
        <v>336</v>
      </c>
      <c r="J159">
        <f t="shared" si="50"/>
        <v>240</v>
      </c>
      <c r="K159">
        <f t="shared" si="51"/>
        <v>84</v>
      </c>
      <c r="L159">
        <f t="shared" si="52"/>
        <v>6.4680000000000009</v>
      </c>
      <c r="M159">
        <f t="shared" si="53"/>
        <v>6.2160000000000002</v>
      </c>
      <c r="N159">
        <f t="shared" si="54"/>
        <v>4.9560000000000004</v>
      </c>
      <c r="O159">
        <f t="shared" si="55"/>
        <v>4.5656470588235303</v>
      </c>
      <c r="P159">
        <f t="shared" si="56"/>
        <v>3.0237580993520519</v>
      </c>
      <c r="Q159">
        <f t="shared" si="57"/>
        <v>42</v>
      </c>
      <c r="R159">
        <f t="shared" si="58"/>
        <v>400</v>
      </c>
      <c r="S159">
        <f t="shared" si="59"/>
        <v>200.8</v>
      </c>
      <c r="T159">
        <f t="shared" si="60"/>
        <v>39.200000000000003</v>
      </c>
      <c r="U159">
        <f>I159*E159/'[1]Inverter Analysis'!$L$2</f>
        <v>281.80530898433176</v>
      </c>
      <c r="V159">
        <f t="shared" si="61"/>
        <v>333.33333333333331</v>
      </c>
      <c r="W159">
        <f t="shared" si="62"/>
        <v>398.40637450199199</v>
      </c>
      <c r="X159">
        <f t="shared" si="63"/>
        <v>238.0952380952381</v>
      </c>
      <c r="Y159">
        <f t="shared" si="64"/>
        <v>1.1110934747067507</v>
      </c>
      <c r="Z159">
        <f t="shared" si="65"/>
        <v>1.206019142857143</v>
      </c>
    </row>
    <row r="160" spans="1:26" hidden="1">
      <c r="A160">
        <v>16</v>
      </c>
      <c r="B160">
        <v>4</v>
      </c>
      <c r="C160" s="1">
        <v>8</v>
      </c>
      <c r="D160">
        <f t="shared" si="44"/>
        <v>560</v>
      </c>
      <c r="E160">
        <f t="shared" si="45"/>
        <v>280</v>
      </c>
      <c r="F160">
        <f t="shared" si="46"/>
        <v>34.304000000000002</v>
      </c>
      <c r="G160">
        <f t="shared" si="47"/>
        <v>0.224</v>
      </c>
      <c r="H160">
        <f t="shared" si="48"/>
        <v>150.52799999999999</v>
      </c>
      <c r="I160">
        <f t="shared" si="49"/>
        <v>537.6</v>
      </c>
      <c r="J160">
        <f t="shared" si="50"/>
        <v>384</v>
      </c>
      <c r="K160">
        <f t="shared" si="51"/>
        <v>107.52</v>
      </c>
      <c r="L160">
        <f t="shared" si="52"/>
        <v>8.2790400000000002</v>
      </c>
      <c r="M160">
        <f t="shared" si="53"/>
        <v>7.9564800000000009</v>
      </c>
      <c r="N160">
        <f t="shared" si="54"/>
        <v>6.34368</v>
      </c>
      <c r="O160">
        <f t="shared" si="55"/>
        <v>5.8440282352941182</v>
      </c>
      <c r="P160">
        <f t="shared" si="56"/>
        <v>3.8704103671706265</v>
      </c>
      <c r="Q160">
        <f t="shared" si="57"/>
        <v>67.2</v>
      </c>
      <c r="R160">
        <f t="shared" si="58"/>
        <v>512</v>
      </c>
      <c r="S160">
        <f t="shared" si="59"/>
        <v>321.27999999999997</v>
      </c>
      <c r="T160">
        <f t="shared" si="60"/>
        <v>62.72</v>
      </c>
      <c r="U160">
        <f>I160*E160/'[1]Inverter Analysis'!$L$2</f>
        <v>360.71079549994465</v>
      </c>
      <c r="V160">
        <f t="shared" si="61"/>
        <v>208.33333333333334</v>
      </c>
      <c r="W160">
        <f t="shared" si="62"/>
        <v>249.00398406374504</v>
      </c>
      <c r="X160">
        <f t="shared" si="63"/>
        <v>148.8095238095238</v>
      </c>
      <c r="Y160">
        <f t="shared" si="64"/>
        <v>0.43402088855732457</v>
      </c>
      <c r="Z160">
        <f t="shared" si="65"/>
        <v>3.9518835273142856</v>
      </c>
    </row>
    <row r="161" spans="1:26" hidden="1">
      <c r="A161">
        <v>15</v>
      </c>
      <c r="B161">
        <v>4</v>
      </c>
      <c r="C161" s="1">
        <v>8</v>
      </c>
      <c r="D161">
        <f t="shared" si="44"/>
        <v>560</v>
      </c>
      <c r="E161">
        <f t="shared" si="45"/>
        <v>280</v>
      </c>
      <c r="F161">
        <f t="shared" si="46"/>
        <v>32.159999999999997</v>
      </c>
      <c r="G161">
        <f t="shared" si="47"/>
        <v>0.21</v>
      </c>
      <c r="H161">
        <f t="shared" si="48"/>
        <v>141.12</v>
      </c>
      <c r="I161">
        <f t="shared" si="49"/>
        <v>504</v>
      </c>
      <c r="J161">
        <f t="shared" si="50"/>
        <v>360</v>
      </c>
      <c r="K161">
        <f t="shared" si="51"/>
        <v>100.8</v>
      </c>
      <c r="L161">
        <f t="shared" si="52"/>
        <v>7.7616000000000005</v>
      </c>
      <c r="M161">
        <f t="shared" si="53"/>
        <v>7.4592000000000009</v>
      </c>
      <c r="N161">
        <f t="shared" si="54"/>
        <v>5.9472000000000005</v>
      </c>
      <c r="O161">
        <f t="shared" si="55"/>
        <v>5.4787764705882358</v>
      </c>
      <c r="P161">
        <f t="shared" si="56"/>
        <v>3.6285097192224622</v>
      </c>
      <c r="Q161">
        <f t="shared" si="57"/>
        <v>63</v>
      </c>
      <c r="R161">
        <f t="shared" si="58"/>
        <v>480</v>
      </c>
      <c r="S161">
        <f t="shared" si="59"/>
        <v>301.2</v>
      </c>
      <c r="T161">
        <f t="shared" si="60"/>
        <v>58.8</v>
      </c>
      <c r="U161">
        <f>I161*E161/'[1]Inverter Analysis'!$L$2</f>
        <v>338.16637078119811</v>
      </c>
      <c r="V161">
        <f t="shared" si="61"/>
        <v>222.22222222222223</v>
      </c>
      <c r="W161">
        <f t="shared" si="62"/>
        <v>265.60424966799468</v>
      </c>
      <c r="X161">
        <f t="shared" si="63"/>
        <v>158.73015873015873</v>
      </c>
      <c r="Y161">
        <f t="shared" si="64"/>
        <v>0.49381932209188922</v>
      </c>
      <c r="Z161">
        <f t="shared" si="65"/>
        <v>3.2562516857142851</v>
      </c>
    </row>
    <row r="162" spans="1:26" hidden="1">
      <c r="A162">
        <v>14</v>
      </c>
      <c r="B162">
        <v>4</v>
      </c>
      <c r="C162" s="1">
        <v>8</v>
      </c>
      <c r="D162">
        <f t="shared" si="44"/>
        <v>560</v>
      </c>
      <c r="E162">
        <f t="shared" si="45"/>
        <v>280</v>
      </c>
      <c r="F162">
        <f t="shared" si="46"/>
        <v>30.015999999999998</v>
      </c>
      <c r="G162">
        <f t="shared" si="47"/>
        <v>0.19600000000000001</v>
      </c>
      <c r="H162">
        <f t="shared" si="48"/>
        <v>131.71199999999999</v>
      </c>
      <c r="I162">
        <f t="shared" si="49"/>
        <v>470.40000000000003</v>
      </c>
      <c r="J162">
        <f t="shared" si="50"/>
        <v>336</v>
      </c>
      <c r="K162">
        <f t="shared" si="51"/>
        <v>94.08</v>
      </c>
      <c r="L162">
        <f t="shared" si="52"/>
        <v>7.2441600000000008</v>
      </c>
      <c r="M162">
        <f t="shared" si="53"/>
        <v>6.961920000000001</v>
      </c>
      <c r="N162">
        <f t="shared" si="54"/>
        <v>5.550720000000001</v>
      </c>
      <c r="O162">
        <f t="shared" si="55"/>
        <v>5.1135247058823534</v>
      </c>
      <c r="P162">
        <f t="shared" si="56"/>
        <v>3.386609071274298</v>
      </c>
      <c r="Q162">
        <f t="shared" si="57"/>
        <v>58.800000000000004</v>
      </c>
      <c r="R162">
        <f t="shared" si="58"/>
        <v>448</v>
      </c>
      <c r="S162">
        <f t="shared" si="59"/>
        <v>281.12</v>
      </c>
      <c r="T162">
        <f t="shared" si="60"/>
        <v>54.88</v>
      </c>
      <c r="U162">
        <f>I162*E162/'[1]Inverter Analysis'!$L$2</f>
        <v>315.62194606245157</v>
      </c>
      <c r="V162">
        <f t="shared" si="61"/>
        <v>238.0952380952381</v>
      </c>
      <c r="W162">
        <f t="shared" si="62"/>
        <v>284.57598178713715</v>
      </c>
      <c r="X162">
        <f t="shared" si="63"/>
        <v>170.06802721088434</v>
      </c>
      <c r="Y162">
        <f t="shared" si="64"/>
        <v>0.56688442587079113</v>
      </c>
      <c r="Z162">
        <f t="shared" si="65"/>
        <v>2.6474532223999998</v>
      </c>
    </row>
    <row r="163" spans="1:26" hidden="1">
      <c r="A163">
        <v>13</v>
      </c>
      <c r="B163">
        <v>4</v>
      </c>
      <c r="C163" s="1">
        <v>8</v>
      </c>
      <c r="D163">
        <f t="shared" si="44"/>
        <v>560</v>
      </c>
      <c r="E163">
        <f t="shared" si="45"/>
        <v>280</v>
      </c>
      <c r="F163">
        <f t="shared" si="46"/>
        <v>27.872</v>
      </c>
      <c r="G163">
        <f t="shared" si="47"/>
        <v>0.182</v>
      </c>
      <c r="H163">
        <f t="shared" si="48"/>
        <v>122.304</v>
      </c>
      <c r="I163">
        <f t="shared" si="49"/>
        <v>436.8</v>
      </c>
      <c r="J163">
        <f t="shared" si="50"/>
        <v>312</v>
      </c>
      <c r="K163">
        <f t="shared" si="51"/>
        <v>87.36</v>
      </c>
      <c r="L163">
        <f t="shared" si="52"/>
        <v>6.7267200000000003</v>
      </c>
      <c r="M163">
        <f t="shared" si="53"/>
        <v>6.4646400000000002</v>
      </c>
      <c r="N163">
        <f t="shared" si="54"/>
        <v>5.1542400000000006</v>
      </c>
      <c r="O163">
        <f t="shared" si="55"/>
        <v>4.748272941176471</v>
      </c>
      <c r="P163">
        <f t="shared" si="56"/>
        <v>3.1447084233261338</v>
      </c>
      <c r="Q163">
        <f t="shared" si="57"/>
        <v>54.6</v>
      </c>
      <c r="R163">
        <f t="shared" si="58"/>
        <v>416</v>
      </c>
      <c r="S163">
        <f t="shared" si="59"/>
        <v>261.04000000000002</v>
      </c>
      <c r="T163">
        <f t="shared" si="60"/>
        <v>50.96</v>
      </c>
      <c r="U163">
        <f>I163*E163/'[1]Inverter Analysis'!$L$2</f>
        <v>293.07752134370503</v>
      </c>
      <c r="V163">
        <f t="shared" si="61"/>
        <v>256.41025641025641</v>
      </c>
      <c r="W163">
        <f t="shared" si="62"/>
        <v>306.46644192460923</v>
      </c>
      <c r="X163">
        <f t="shared" si="63"/>
        <v>183.15018315018315</v>
      </c>
      <c r="Y163">
        <f t="shared" si="64"/>
        <v>0.65745176018150919</v>
      </c>
      <c r="Z163">
        <f t="shared" si="65"/>
        <v>2.1196992454857151</v>
      </c>
    </row>
    <row r="164" spans="1:26">
      <c r="A164">
        <v>12</v>
      </c>
      <c r="B164">
        <v>4</v>
      </c>
      <c r="C164" s="1">
        <v>8</v>
      </c>
      <c r="D164">
        <f t="shared" si="44"/>
        <v>560</v>
      </c>
      <c r="E164">
        <f t="shared" si="45"/>
        <v>280</v>
      </c>
      <c r="F164">
        <f t="shared" si="46"/>
        <v>25.728000000000002</v>
      </c>
      <c r="G164">
        <f t="shared" si="47"/>
        <v>0.16800000000000001</v>
      </c>
      <c r="H164">
        <f t="shared" si="48"/>
        <v>112.89600000000002</v>
      </c>
      <c r="I164">
        <f t="shared" si="49"/>
        <v>403.20000000000005</v>
      </c>
      <c r="J164">
        <f t="shared" si="50"/>
        <v>288</v>
      </c>
      <c r="K164">
        <f t="shared" si="51"/>
        <v>80.64</v>
      </c>
      <c r="L164">
        <f t="shared" si="52"/>
        <v>6.2092800000000006</v>
      </c>
      <c r="M164">
        <f t="shared" si="53"/>
        <v>5.9673600000000002</v>
      </c>
      <c r="N164">
        <f t="shared" si="54"/>
        <v>4.7577600000000011</v>
      </c>
      <c r="O164">
        <f t="shared" si="55"/>
        <v>4.3830211764705886</v>
      </c>
      <c r="P164">
        <f t="shared" si="56"/>
        <v>2.90280777537797</v>
      </c>
      <c r="Q164">
        <f t="shared" si="57"/>
        <v>50.400000000000006</v>
      </c>
      <c r="R164">
        <f t="shared" si="58"/>
        <v>384</v>
      </c>
      <c r="S164">
        <f t="shared" si="59"/>
        <v>240.95999999999998</v>
      </c>
      <c r="T164">
        <f t="shared" si="60"/>
        <v>47.040000000000006</v>
      </c>
      <c r="U164">
        <f>I164*E164/'[1]Inverter Analysis'!$L$2</f>
        <v>270.53309662495849</v>
      </c>
      <c r="V164">
        <f t="shared" si="61"/>
        <v>277.77777777777777</v>
      </c>
      <c r="W164">
        <f t="shared" si="62"/>
        <v>332.00531208499336</v>
      </c>
      <c r="X164">
        <f t="shared" si="63"/>
        <v>198.4126984126984</v>
      </c>
      <c r="Y164">
        <f t="shared" si="64"/>
        <v>0.77159269076857695</v>
      </c>
      <c r="Z164">
        <f t="shared" si="65"/>
        <v>1.6672008630857142</v>
      </c>
    </row>
    <row r="165" spans="1:26">
      <c r="A165">
        <v>11</v>
      </c>
      <c r="B165">
        <v>4</v>
      </c>
      <c r="C165" s="1">
        <v>8</v>
      </c>
      <c r="D165">
        <f t="shared" si="44"/>
        <v>560</v>
      </c>
      <c r="E165">
        <f t="shared" si="45"/>
        <v>280</v>
      </c>
      <c r="F165">
        <f t="shared" si="46"/>
        <v>23.584</v>
      </c>
      <c r="G165">
        <f t="shared" si="47"/>
        <v>0.154</v>
      </c>
      <c r="H165">
        <f t="shared" si="48"/>
        <v>103.488</v>
      </c>
      <c r="I165">
        <f t="shared" si="49"/>
        <v>369.6</v>
      </c>
      <c r="J165">
        <f t="shared" si="50"/>
        <v>264</v>
      </c>
      <c r="K165">
        <f t="shared" si="51"/>
        <v>73.92</v>
      </c>
      <c r="L165">
        <f t="shared" si="52"/>
        <v>5.69184</v>
      </c>
      <c r="M165">
        <f t="shared" si="53"/>
        <v>5.4700800000000012</v>
      </c>
      <c r="N165">
        <f t="shared" si="54"/>
        <v>4.3612800000000007</v>
      </c>
      <c r="O165">
        <f t="shared" si="55"/>
        <v>4.0177694117647063</v>
      </c>
      <c r="P165">
        <f t="shared" si="56"/>
        <v>2.6609071274298057</v>
      </c>
      <c r="Q165">
        <f t="shared" si="57"/>
        <v>46.2</v>
      </c>
      <c r="R165">
        <f t="shared" si="58"/>
        <v>352</v>
      </c>
      <c r="S165">
        <f t="shared" si="59"/>
        <v>220.88</v>
      </c>
      <c r="T165">
        <f t="shared" si="60"/>
        <v>43.12</v>
      </c>
      <c r="U165">
        <f>I165*E165/'[1]Inverter Analysis'!$L$2</f>
        <v>247.98867190621195</v>
      </c>
      <c r="V165">
        <f t="shared" si="61"/>
        <v>303.030303030303</v>
      </c>
      <c r="W165">
        <f t="shared" si="62"/>
        <v>362.18761318362914</v>
      </c>
      <c r="X165">
        <f t="shared" si="63"/>
        <v>216.45021645021643</v>
      </c>
      <c r="Y165">
        <f t="shared" si="64"/>
        <v>0.91825907000557927</v>
      </c>
      <c r="Z165">
        <f t="shared" si="65"/>
        <v>1.2841691833142854</v>
      </c>
    </row>
    <row r="166" spans="1:26" hidden="1">
      <c r="A166">
        <v>10</v>
      </c>
      <c r="B166">
        <v>4</v>
      </c>
      <c r="C166" s="1">
        <v>8</v>
      </c>
      <c r="D166">
        <f t="shared" si="44"/>
        <v>560</v>
      </c>
      <c r="E166">
        <f t="shared" si="45"/>
        <v>280</v>
      </c>
      <c r="F166">
        <f t="shared" si="46"/>
        <v>21.44</v>
      </c>
      <c r="G166">
        <f t="shared" si="47"/>
        <v>0.14000000000000001</v>
      </c>
      <c r="H166">
        <f t="shared" si="48"/>
        <v>94.08</v>
      </c>
      <c r="I166">
        <f t="shared" si="49"/>
        <v>336</v>
      </c>
      <c r="J166">
        <f t="shared" si="50"/>
        <v>240</v>
      </c>
      <c r="K166">
        <f t="shared" si="51"/>
        <v>67.2</v>
      </c>
      <c r="L166">
        <f t="shared" si="52"/>
        <v>5.1744000000000003</v>
      </c>
      <c r="M166">
        <f t="shared" si="53"/>
        <v>4.9728000000000003</v>
      </c>
      <c r="N166">
        <f t="shared" si="54"/>
        <v>3.9648000000000003</v>
      </c>
      <c r="O166">
        <f t="shared" si="55"/>
        <v>3.6525176470588239</v>
      </c>
      <c r="P166">
        <f t="shared" si="56"/>
        <v>2.4190064794816415</v>
      </c>
      <c r="Q166">
        <f t="shared" si="57"/>
        <v>42</v>
      </c>
      <c r="R166">
        <f t="shared" si="58"/>
        <v>320</v>
      </c>
      <c r="S166">
        <f t="shared" si="59"/>
        <v>200.8</v>
      </c>
      <c r="T166">
        <f t="shared" si="60"/>
        <v>39.200000000000003</v>
      </c>
      <c r="U166">
        <f>I166*E166/'[1]Inverter Analysis'!$L$2</f>
        <v>225.44424718746541</v>
      </c>
      <c r="V166">
        <f t="shared" si="61"/>
        <v>333.33333333333331</v>
      </c>
      <c r="W166">
        <f t="shared" si="62"/>
        <v>398.40637450199199</v>
      </c>
      <c r="X166">
        <f t="shared" si="63"/>
        <v>238.0952380952381</v>
      </c>
      <c r="Y166">
        <f t="shared" si="64"/>
        <v>1.1110934747067507</v>
      </c>
      <c r="Z166">
        <f t="shared" si="65"/>
        <v>0.96481531428571432</v>
      </c>
    </row>
    <row r="167" spans="1:26" hidden="1">
      <c r="A167">
        <v>16</v>
      </c>
      <c r="B167">
        <v>3</v>
      </c>
      <c r="C167" s="1">
        <v>8</v>
      </c>
      <c r="D167">
        <f t="shared" si="44"/>
        <v>420</v>
      </c>
      <c r="E167">
        <f t="shared" si="45"/>
        <v>210</v>
      </c>
      <c r="F167">
        <f t="shared" si="46"/>
        <v>25.728000000000002</v>
      </c>
      <c r="G167">
        <f t="shared" si="47"/>
        <v>0.29866666666666669</v>
      </c>
      <c r="H167">
        <f t="shared" si="48"/>
        <v>112.896</v>
      </c>
      <c r="I167">
        <f t="shared" si="49"/>
        <v>537.6</v>
      </c>
      <c r="J167">
        <f t="shared" si="50"/>
        <v>384</v>
      </c>
      <c r="K167">
        <f t="shared" si="51"/>
        <v>80.64</v>
      </c>
      <c r="L167">
        <f t="shared" si="52"/>
        <v>6.2092800000000006</v>
      </c>
      <c r="M167">
        <f t="shared" si="53"/>
        <v>5.9673600000000002</v>
      </c>
      <c r="N167">
        <f t="shared" si="54"/>
        <v>4.7577600000000002</v>
      </c>
      <c r="O167">
        <f t="shared" si="55"/>
        <v>4.3830211764705886</v>
      </c>
      <c r="P167">
        <f t="shared" si="56"/>
        <v>2.90280777537797</v>
      </c>
      <c r="Q167">
        <f t="shared" si="57"/>
        <v>67.2</v>
      </c>
      <c r="R167">
        <f t="shared" si="58"/>
        <v>384</v>
      </c>
      <c r="S167">
        <f t="shared" si="59"/>
        <v>321.27999999999997</v>
      </c>
      <c r="T167">
        <f t="shared" si="60"/>
        <v>62.720000000000006</v>
      </c>
      <c r="U167">
        <f>I167*E167/'[1]Inverter Analysis'!$L$2</f>
        <v>270.53309662495849</v>
      </c>
      <c r="V167">
        <f t="shared" si="61"/>
        <v>208.33333333333334</v>
      </c>
      <c r="W167">
        <f t="shared" si="62"/>
        <v>249.00398406374504</v>
      </c>
      <c r="X167">
        <f t="shared" si="63"/>
        <v>148.8095238095238</v>
      </c>
      <c r="Y167">
        <f t="shared" si="64"/>
        <v>0.43402088855732457</v>
      </c>
      <c r="Z167">
        <f t="shared" si="65"/>
        <v>2.9639126454857139</v>
      </c>
    </row>
    <row r="168" spans="1:26" hidden="1">
      <c r="A168">
        <v>15</v>
      </c>
      <c r="B168">
        <v>3</v>
      </c>
      <c r="C168" s="1">
        <v>8</v>
      </c>
      <c r="D168">
        <f t="shared" si="44"/>
        <v>420</v>
      </c>
      <c r="E168">
        <f t="shared" si="45"/>
        <v>210</v>
      </c>
      <c r="F168">
        <f t="shared" si="46"/>
        <v>24.12</v>
      </c>
      <c r="G168">
        <f t="shared" si="47"/>
        <v>0.28000000000000003</v>
      </c>
      <c r="H168">
        <f t="shared" si="48"/>
        <v>105.84</v>
      </c>
      <c r="I168">
        <f t="shared" si="49"/>
        <v>504</v>
      </c>
      <c r="J168">
        <f t="shared" si="50"/>
        <v>360</v>
      </c>
      <c r="K168">
        <f t="shared" si="51"/>
        <v>75.599999999999994</v>
      </c>
      <c r="L168">
        <f t="shared" si="52"/>
        <v>5.821200000000001</v>
      </c>
      <c r="M168">
        <f t="shared" si="53"/>
        <v>5.5944000000000003</v>
      </c>
      <c r="N168">
        <f t="shared" si="54"/>
        <v>4.4604000000000008</v>
      </c>
      <c r="O168">
        <f t="shared" si="55"/>
        <v>4.1090823529411775</v>
      </c>
      <c r="P168">
        <f t="shared" si="56"/>
        <v>2.7213822894168467</v>
      </c>
      <c r="Q168">
        <f t="shared" si="57"/>
        <v>63</v>
      </c>
      <c r="R168">
        <f t="shared" si="58"/>
        <v>360</v>
      </c>
      <c r="S168">
        <f t="shared" si="59"/>
        <v>301.2</v>
      </c>
      <c r="T168">
        <f t="shared" si="60"/>
        <v>58.800000000000004</v>
      </c>
      <c r="U168">
        <f>I168*E168/'[1]Inverter Analysis'!$L$2</f>
        <v>253.62477808589858</v>
      </c>
      <c r="V168">
        <f t="shared" si="61"/>
        <v>222.22222222222223</v>
      </c>
      <c r="W168">
        <f t="shared" si="62"/>
        <v>265.60424966799468</v>
      </c>
      <c r="X168">
        <f t="shared" si="63"/>
        <v>158.73015873015873</v>
      </c>
      <c r="Y168">
        <f t="shared" si="64"/>
        <v>0.49381932209188922</v>
      </c>
      <c r="Z168">
        <f t="shared" si="65"/>
        <v>2.4421887642857145</v>
      </c>
    </row>
    <row r="169" spans="1:26" hidden="1">
      <c r="A169">
        <v>14</v>
      </c>
      <c r="B169">
        <v>3</v>
      </c>
      <c r="C169" s="1">
        <v>8</v>
      </c>
      <c r="D169">
        <f t="shared" si="44"/>
        <v>420</v>
      </c>
      <c r="E169">
        <f t="shared" si="45"/>
        <v>210</v>
      </c>
      <c r="F169">
        <f t="shared" si="46"/>
        <v>22.512</v>
      </c>
      <c r="G169">
        <f t="shared" si="47"/>
        <v>0.26133333333333336</v>
      </c>
      <c r="H169">
        <f t="shared" si="48"/>
        <v>98.784000000000006</v>
      </c>
      <c r="I169">
        <f t="shared" si="49"/>
        <v>470.40000000000003</v>
      </c>
      <c r="J169">
        <f t="shared" si="50"/>
        <v>336</v>
      </c>
      <c r="K169">
        <f t="shared" si="51"/>
        <v>70.56</v>
      </c>
      <c r="L169">
        <f t="shared" si="52"/>
        <v>5.4331200000000006</v>
      </c>
      <c r="M169">
        <f t="shared" si="53"/>
        <v>5.2214400000000003</v>
      </c>
      <c r="N169">
        <f t="shared" si="54"/>
        <v>4.1630400000000005</v>
      </c>
      <c r="O169">
        <f t="shared" si="55"/>
        <v>3.8351435294117655</v>
      </c>
      <c r="P169">
        <f t="shared" si="56"/>
        <v>2.5399568034557234</v>
      </c>
      <c r="Q169">
        <f t="shared" si="57"/>
        <v>58.800000000000004</v>
      </c>
      <c r="R169">
        <f t="shared" si="58"/>
        <v>336</v>
      </c>
      <c r="S169">
        <f t="shared" si="59"/>
        <v>281.12</v>
      </c>
      <c r="T169">
        <f t="shared" si="60"/>
        <v>54.88</v>
      </c>
      <c r="U169">
        <f>I169*E169/'[1]Inverter Analysis'!$L$2</f>
        <v>236.71645954683868</v>
      </c>
      <c r="V169">
        <f t="shared" si="61"/>
        <v>238.0952380952381</v>
      </c>
      <c r="W169">
        <f t="shared" si="62"/>
        <v>284.57598178713715</v>
      </c>
      <c r="X169">
        <f t="shared" si="63"/>
        <v>170.06802721088434</v>
      </c>
      <c r="Y169">
        <f t="shared" si="64"/>
        <v>0.56688442587079113</v>
      </c>
      <c r="Z169">
        <f t="shared" si="65"/>
        <v>1.9855899168000002</v>
      </c>
    </row>
    <row r="170" spans="1:26" hidden="1">
      <c r="A170">
        <v>13</v>
      </c>
      <c r="B170">
        <v>3</v>
      </c>
      <c r="C170" s="1">
        <v>8</v>
      </c>
      <c r="D170">
        <f t="shared" si="44"/>
        <v>420</v>
      </c>
      <c r="E170">
        <f t="shared" si="45"/>
        <v>210</v>
      </c>
      <c r="F170">
        <f t="shared" si="46"/>
        <v>20.904</v>
      </c>
      <c r="G170">
        <f t="shared" si="47"/>
        <v>0.2426666666666667</v>
      </c>
      <c r="H170">
        <f t="shared" si="48"/>
        <v>91.727999999999994</v>
      </c>
      <c r="I170">
        <f t="shared" si="49"/>
        <v>436.8</v>
      </c>
      <c r="J170">
        <f t="shared" si="50"/>
        <v>312</v>
      </c>
      <c r="K170">
        <f t="shared" si="51"/>
        <v>65.52</v>
      </c>
      <c r="L170">
        <f t="shared" si="52"/>
        <v>5.0450400000000002</v>
      </c>
      <c r="M170">
        <f t="shared" si="53"/>
        <v>4.8484800000000003</v>
      </c>
      <c r="N170">
        <f t="shared" si="54"/>
        <v>3.8656800000000002</v>
      </c>
      <c r="O170">
        <f t="shared" si="55"/>
        <v>3.5612047058823535</v>
      </c>
      <c r="P170">
        <f t="shared" si="56"/>
        <v>2.3585313174946005</v>
      </c>
      <c r="Q170">
        <f t="shared" si="57"/>
        <v>54.6</v>
      </c>
      <c r="R170">
        <f t="shared" si="58"/>
        <v>312</v>
      </c>
      <c r="S170">
        <f t="shared" si="59"/>
        <v>261.03999999999996</v>
      </c>
      <c r="T170">
        <f t="shared" si="60"/>
        <v>50.960000000000008</v>
      </c>
      <c r="U170">
        <f>I170*E170/'[1]Inverter Analysis'!$L$2</f>
        <v>219.80814100777877</v>
      </c>
      <c r="V170">
        <f t="shared" si="61"/>
        <v>256.41025641025641</v>
      </c>
      <c r="W170">
        <f t="shared" si="62"/>
        <v>306.46644192460928</v>
      </c>
      <c r="X170">
        <f t="shared" si="63"/>
        <v>183.15018315018315</v>
      </c>
      <c r="Y170">
        <f t="shared" si="64"/>
        <v>0.65745176018150953</v>
      </c>
      <c r="Z170">
        <f t="shared" si="65"/>
        <v>1.5897744341142852</v>
      </c>
    </row>
    <row r="171" spans="1:26">
      <c r="A171">
        <v>12</v>
      </c>
      <c r="B171">
        <v>3</v>
      </c>
      <c r="C171" s="1">
        <v>8</v>
      </c>
      <c r="D171">
        <f t="shared" si="44"/>
        <v>420</v>
      </c>
      <c r="E171">
        <f t="shared" si="45"/>
        <v>210</v>
      </c>
      <c r="F171">
        <f t="shared" si="46"/>
        <v>19.295999999999999</v>
      </c>
      <c r="G171">
        <f t="shared" si="47"/>
        <v>0.22400000000000003</v>
      </c>
      <c r="H171">
        <f t="shared" si="48"/>
        <v>84.672000000000011</v>
      </c>
      <c r="I171">
        <f t="shared" si="49"/>
        <v>403.20000000000005</v>
      </c>
      <c r="J171">
        <f t="shared" si="50"/>
        <v>288</v>
      </c>
      <c r="K171">
        <f t="shared" si="51"/>
        <v>60.48</v>
      </c>
      <c r="L171">
        <f t="shared" si="52"/>
        <v>4.6569600000000007</v>
      </c>
      <c r="M171">
        <f t="shared" si="53"/>
        <v>4.4755200000000004</v>
      </c>
      <c r="N171">
        <f t="shared" si="54"/>
        <v>3.5683200000000008</v>
      </c>
      <c r="O171">
        <f t="shared" si="55"/>
        <v>3.2872658823529419</v>
      </c>
      <c r="P171">
        <f t="shared" si="56"/>
        <v>2.1771058315334777</v>
      </c>
      <c r="Q171">
        <f t="shared" si="57"/>
        <v>50.400000000000006</v>
      </c>
      <c r="R171">
        <f t="shared" si="58"/>
        <v>288</v>
      </c>
      <c r="S171">
        <f t="shared" si="59"/>
        <v>240.95999999999998</v>
      </c>
      <c r="T171">
        <f t="shared" si="60"/>
        <v>47.040000000000006</v>
      </c>
      <c r="U171">
        <f>I171*E171/'[1]Inverter Analysis'!$L$2</f>
        <v>202.8998224687189</v>
      </c>
      <c r="V171">
        <f t="shared" si="61"/>
        <v>277.77777777777777</v>
      </c>
      <c r="W171">
        <f t="shared" si="62"/>
        <v>332.00531208499336</v>
      </c>
      <c r="X171">
        <f t="shared" si="63"/>
        <v>198.4126984126984</v>
      </c>
      <c r="Y171">
        <f t="shared" si="64"/>
        <v>0.77159269076857695</v>
      </c>
      <c r="Z171">
        <f t="shared" si="65"/>
        <v>1.2504006473142852</v>
      </c>
    </row>
    <row r="172" spans="1:26" hidden="1">
      <c r="A172">
        <v>11</v>
      </c>
      <c r="B172">
        <v>3</v>
      </c>
      <c r="C172" s="1">
        <v>8</v>
      </c>
      <c r="D172">
        <f t="shared" si="44"/>
        <v>420</v>
      </c>
      <c r="E172">
        <f t="shared" si="45"/>
        <v>210</v>
      </c>
      <c r="F172">
        <f t="shared" si="46"/>
        <v>17.687999999999999</v>
      </c>
      <c r="G172">
        <f t="shared" si="47"/>
        <v>0.20533333333333334</v>
      </c>
      <c r="H172">
        <f t="shared" si="48"/>
        <v>77.616</v>
      </c>
      <c r="I172">
        <f t="shared" si="49"/>
        <v>369.6</v>
      </c>
      <c r="J172">
        <f t="shared" si="50"/>
        <v>264</v>
      </c>
      <c r="K172">
        <f t="shared" si="51"/>
        <v>55.44</v>
      </c>
      <c r="L172">
        <f t="shared" si="52"/>
        <v>4.2688800000000002</v>
      </c>
      <c r="M172">
        <f t="shared" si="53"/>
        <v>4.1025600000000004</v>
      </c>
      <c r="N172">
        <f t="shared" si="54"/>
        <v>3.2709600000000005</v>
      </c>
      <c r="O172">
        <f t="shared" si="55"/>
        <v>3.0133270588235299</v>
      </c>
      <c r="P172">
        <f t="shared" si="56"/>
        <v>1.9956803455723544</v>
      </c>
      <c r="Q172">
        <f t="shared" si="57"/>
        <v>46.2</v>
      </c>
      <c r="R172">
        <f t="shared" si="58"/>
        <v>264</v>
      </c>
      <c r="S172">
        <f t="shared" si="59"/>
        <v>220.88</v>
      </c>
      <c r="T172">
        <f t="shared" si="60"/>
        <v>43.120000000000005</v>
      </c>
      <c r="U172">
        <f>I172*E172/'[1]Inverter Analysis'!$L$2</f>
        <v>185.99150392965896</v>
      </c>
      <c r="V172">
        <f t="shared" si="61"/>
        <v>303.030303030303</v>
      </c>
      <c r="W172">
        <f t="shared" si="62"/>
        <v>362.18761318362914</v>
      </c>
      <c r="X172">
        <f t="shared" si="63"/>
        <v>216.45021645021643</v>
      </c>
      <c r="Y172">
        <f t="shared" si="64"/>
        <v>0.91825907000557927</v>
      </c>
      <c r="Z172">
        <f t="shared" si="65"/>
        <v>0.96312688748571407</v>
      </c>
    </row>
    <row r="173" spans="1:26" hidden="1">
      <c r="A173">
        <v>10</v>
      </c>
      <c r="B173">
        <v>3</v>
      </c>
      <c r="C173" s="1">
        <v>8</v>
      </c>
      <c r="D173">
        <f t="shared" si="44"/>
        <v>420</v>
      </c>
      <c r="E173">
        <f t="shared" si="45"/>
        <v>210</v>
      </c>
      <c r="F173">
        <f t="shared" si="46"/>
        <v>16.079999999999998</v>
      </c>
      <c r="G173">
        <f t="shared" si="47"/>
        <v>0.18666666666666668</v>
      </c>
      <c r="H173">
        <f t="shared" si="48"/>
        <v>70.56</v>
      </c>
      <c r="I173">
        <f t="shared" si="49"/>
        <v>336</v>
      </c>
      <c r="J173">
        <f t="shared" si="50"/>
        <v>240</v>
      </c>
      <c r="K173">
        <f t="shared" si="51"/>
        <v>50.4</v>
      </c>
      <c r="L173">
        <f t="shared" si="52"/>
        <v>3.8808000000000002</v>
      </c>
      <c r="M173">
        <f t="shared" si="53"/>
        <v>3.7296000000000005</v>
      </c>
      <c r="N173">
        <f t="shared" si="54"/>
        <v>2.9736000000000002</v>
      </c>
      <c r="O173">
        <f t="shared" si="55"/>
        <v>2.7393882352941179</v>
      </c>
      <c r="P173">
        <f t="shared" si="56"/>
        <v>1.8142548596112311</v>
      </c>
      <c r="Q173">
        <f t="shared" si="57"/>
        <v>42</v>
      </c>
      <c r="R173">
        <f t="shared" si="58"/>
        <v>240</v>
      </c>
      <c r="S173">
        <f t="shared" si="59"/>
        <v>200.8</v>
      </c>
      <c r="T173">
        <f t="shared" si="60"/>
        <v>39.200000000000003</v>
      </c>
      <c r="U173">
        <f>I173*E173/'[1]Inverter Analysis'!$L$2</f>
        <v>169.08318539059906</v>
      </c>
      <c r="V173">
        <f t="shared" si="61"/>
        <v>333.33333333333331</v>
      </c>
      <c r="W173">
        <f t="shared" si="62"/>
        <v>398.40637450199199</v>
      </c>
      <c r="X173">
        <f t="shared" si="63"/>
        <v>238.0952380952381</v>
      </c>
      <c r="Y173">
        <f t="shared" si="64"/>
        <v>1.1110934747067507</v>
      </c>
      <c r="Z173">
        <f t="shared" si="65"/>
        <v>0.72361148571428568</v>
      </c>
    </row>
    <row r="174" spans="1:26" hidden="1">
      <c r="A174">
        <v>16</v>
      </c>
      <c r="B174">
        <v>2</v>
      </c>
      <c r="C174" s="1">
        <v>8</v>
      </c>
      <c r="D174">
        <f t="shared" si="44"/>
        <v>280</v>
      </c>
      <c r="E174">
        <f t="shared" si="45"/>
        <v>140</v>
      </c>
      <c r="F174">
        <f t="shared" si="46"/>
        <v>17.152000000000001</v>
      </c>
      <c r="G174">
        <f t="shared" si="47"/>
        <v>0.44800000000000001</v>
      </c>
      <c r="H174">
        <f t="shared" si="48"/>
        <v>75.263999999999996</v>
      </c>
      <c r="I174">
        <f t="shared" si="49"/>
        <v>537.6</v>
      </c>
      <c r="J174">
        <f t="shared" si="50"/>
        <v>384</v>
      </c>
      <c r="K174">
        <f t="shared" si="51"/>
        <v>53.76</v>
      </c>
      <c r="L174">
        <f t="shared" si="52"/>
        <v>4.1395200000000001</v>
      </c>
      <c r="M174">
        <f t="shared" si="53"/>
        <v>3.9782400000000004</v>
      </c>
      <c r="N174">
        <f t="shared" si="54"/>
        <v>3.17184</v>
      </c>
      <c r="O174">
        <f t="shared" si="55"/>
        <v>2.9220141176470591</v>
      </c>
      <c r="P174">
        <f t="shared" si="56"/>
        <v>1.9352051835853132</v>
      </c>
      <c r="Q174">
        <f t="shared" si="57"/>
        <v>67.2</v>
      </c>
      <c r="R174">
        <f t="shared" si="58"/>
        <v>256</v>
      </c>
      <c r="S174">
        <f t="shared" si="59"/>
        <v>321.27999999999997</v>
      </c>
      <c r="T174">
        <f t="shared" si="60"/>
        <v>62.72</v>
      </c>
      <c r="U174">
        <f>I174*E174/'[1]Inverter Analysis'!$L$2</f>
        <v>180.35539774997233</v>
      </c>
      <c r="V174">
        <f t="shared" si="61"/>
        <v>208.33333333333334</v>
      </c>
      <c r="W174">
        <f t="shared" si="62"/>
        <v>249.00398406374504</v>
      </c>
      <c r="X174">
        <f t="shared" si="63"/>
        <v>148.8095238095238</v>
      </c>
      <c r="Y174">
        <f t="shared" si="64"/>
        <v>0.43402088855732457</v>
      </c>
      <c r="Z174">
        <f t="shared" si="65"/>
        <v>1.9759417636571428</v>
      </c>
    </row>
    <row r="175" spans="1:26" hidden="1">
      <c r="A175">
        <v>15</v>
      </c>
      <c r="B175">
        <v>2</v>
      </c>
      <c r="C175" s="1">
        <v>8</v>
      </c>
      <c r="D175">
        <f t="shared" si="44"/>
        <v>280</v>
      </c>
      <c r="E175">
        <f t="shared" si="45"/>
        <v>140</v>
      </c>
      <c r="F175">
        <f t="shared" si="46"/>
        <v>16.079999999999998</v>
      </c>
      <c r="G175">
        <f t="shared" si="47"/>
        <v>0.42</v>
      </c>
      <c r="H175">
        <f t="shared" si="48"/>
        <v>70.56</v>
      </c>
      <c r="I175">
        <f t="shared" si="49"/>
        <v>504</v>
      </c>
      <c r="J175">
        <f t="shared" si="50"/>
        <v>360</v>
      </c>
      <c r="K175">
        <f t="shared" si="51"/>
        <v>50.4</v>
      </c>
      <c r="L175">
        <f t="shared" si="52"/>
        <v>3.8808000000000002</v>
      </c>
      <c r="M175">
        <f t="shared" si="53"/>
        <v>3.7296000000000005</v>
      </c>
      <c r="N175">
        <f t="shared" si="54"/>
        <v>2.9736000000000002</v>
      </c>
      <c r="O175">
        <f t="shared" si="55"/>
        <v>2.7393882352941179</v>
      </c>
      <c r="P175">
        <f t="shared" si="56"/>
        <v>1.8142548596112311</v>
      </c>
      <c r="Q175">
        <f t="shared" si="57"/>
        <v>63</v>
      </c>
      <c r="R175">
        <f t="shared" si="58"/>
        <v>240</v>
      </c>
      <c r="S175">
        <f t="shared" si="59"/>
        <v>301.2</v>
      </c>
      <c r="T175">
        <f t="shared" si="60"/>
        <v>58.8</v>
      </c>
      <c r="U175">
        <f>I175*E175/'[1]Inverter Analysis'!$L$2</f>
        <v>169.08318539059906</v>
      </c>
      <c r="V175">
        <f t="shared" si="61"/>
        <v>222.22222222222223</v>
      </c>
      <c r="W175">
        <f t="shared" si="62"/>
        <v>265.60424966799468</v>
      </c>
      <c r="X175">
        <f t="shared" si="63"/>
        <v>158.73015873015873</v>
      </c>
      <c r="Y175">
        <f t="shared" si="64"/>
        <v>0.49381932209188922</v>
      </c>
      <c r="Z175">
        <f t="shared" si="65"/>
        <v>1.6281258428571426</v>
      </c>
    </row>
    <row r="176" spans="1:26" hidden="1">
      <c r="A176">
        <v>14</v>
      </c>
      <c r="B176">
        <v>2</v>
      </c>
      <c r="C176" s="1">
        <v>8</v>
      </c>
      <c r="D176">
        <f t="shared" si="44"/>
        <v>280</v>
      </c>
      <c r="E176">
        <f t="shared" si="45"/>
        <v>140</v>
      </c>
      <c r="F176">
        <f t="shared" si="46"/>
        <v>15.007999999999999</v>
      </c>
      <c r="G176">
        <f t="shared" si="47"/>
        <v>0.39200000000000002</v>
      </c>
      <c r="H176">
        <f t="shared" si="48"/>
        <v>65.855999999999995</v>
      </c>
      <c r="I176">
        <f t="shared" si="49"/>
        <v>470.40000000000003</v>
      </c>
      <c r="J176">
        <f t="shared" si="50"/>
        <v>336</v>
      </c>
      <c r="K176">
        <f t="shared" si="51"/>
        <v>47.04</v>
      </c>
      <c r="L176">
        <f t="shared" si="52"/>
        <v>3.6220800000000004</v>
      </c>
      <c r="M176">
        <f t="shared" si="53"/>
        <v>3.4809600000000005</v>
      </c>
      <c r="N176">
        <f t="shared" si="54"/>
        <v>2.7753600000000005</v>
      </c>
      <c r="O176">
        <f t="shared" si="55"/>
        <v>2.5567623529411767</v>
      </c>
      <c r="P176">
        <f t="shared" si="56"/>
        <v>1.693304535637149</v>
      </c>
      <c r="Q176">
        <f t="shared" si="57"/>
        <v>58.800000000000004</v>
      </c>
      <c r="R176">
        <f t="shared" si="58"/>
        <v>224</v>
      </c>
      <c r="S176">
        <f t="shared" si="59"/>
        <v>281.12</v>
      </c>
      <c r="T176">
        <f t="shared" si="60"/>
        <v>54.88</v>
      </c>
      <c r="U176">
        <f>I176*E176/'[1]Inverter Analysis'!$L$2</f>
        <v>157.81097303122579</v>
      </c>
      <c r="V176">
        <f t="shared" si="61"/>
        <v>238.0952380952381</v>
      </c>
      <c r="W176">
        <f t="shared" si="62"/>
        <v>284.57598178713715</v>
      </c>
      <c r="X176">
        <f t="shared" si="63"/>
        <v>170.06802721088434</v>
      </c>
      <c r="Y176">
        <f t="shared" si="64"/>
        <v>0.56688442587079113</v>
      </c>
      <c r="Z176">
        <f t="shared" si="65"/>
        <v>1.3237266111999999</v>
      </c>
    </row>
    <row r="177" spans="1:26" hidden="1">
      <c r="A177">
        <v>13</v>
      </c>
      <c r="B177">
        <v>2</v>
      </c>
      <c r="C177" s="1">
        <v>8</v>
      </c>
      <c r="D177">
        <f t="shared" si="44"/>
        <v>280</v>
      </c>
      <c r="E177">
        <f t="shared" si="45"/>
        <v>140</v>
      </c>
      <c r="F177">
        <f t="shared" si="46"/>
        <v>13.936</v>
      </c>
      <c r="G177">
        <f t="shared" si="47"/>
        <v>0.36399999999999999</v>
      </c>
      <c r="H177">
        <f t="shared" si="48"/>
        <v>61.152000000000001</v>
      </c>
      <c r="I177">
        <f t="shared" si="49"/>
        <v>436.8</v>
      </c>
      <c r="J177">
        <f t="shared" si="50"/>
        <v>312</v>
      </c>
      <c r="K177">
        <f t="shared" si="51"/>
        <v>43.68</v>
      </c>
      <c r="L177">
        <f t="shared" si="52"/>
        <v>3.3633600000000001</v>
      </c>
      <c r="M177">
        <f t="shared" si="53"/>
        <v>3.2323200000000001</v>
      </c>
      <c r="N177">
        <f t="shared" si="54"/>
        <v>2.5771200000000003</v>
      </c>
      <c r="O177">
        <f t="shared" si="55"/>
        <v>2.3741364705882355</v>
      </c>
      <c r="P177">
        <f t="shared" si="56"/>
        <v>1.5723542116630669</v>
      </c>
      <c r="Q177">
        <f t="shared" si="57"/>
        <v>54.6</v>
      </c>
      <c r="R177">
        <f t="shared" si="58"/>
        <v>208</v>
      </c>
      <c r="S177">
        <f t="shared" si="59"/>
        <v>261.04000000000002</v>
      </c>
      <c r="T177">
        <f t="shared" si="60"/>
        <v>50.96</v>
      </c>
      <c r="U177">
        <f>I177*E177/'[1]Inverter Analysis'!$L$2</f>
        <v>146.53876067185251</v>
      </c>
      <c r="V177">
        <f t="shared" si="61"/>
        <v>256.41025641025641</v>
      </c>
      <c r="W177">
        <f t="shared" si="62"/>
        <v>306.46644192460923</v>
      </c>
      <c r="X177">
        <f t="shared" si="63"/>
        <v>183.15018315018315</v>
      </c>
      <c r="Y177">
        <f t="shared" si="64"/>
        <v>0.65745176018150919</v>
      </c>
      <c r="Z177">
        <f t="shared" si="65"/>
        <v>1.0598496227428575</v>
      </c>
    </row>
    <row r="178" spans="1:26" hidden="1">
      <c r="A178">
        <v>12</v>
      </c>
      <c r="B178">
        <v>2</v>
      </c>
      <c r="C178" s="1">
        <v>8</v>
      </c>
      <c r="D178">
        <f t="shared" si="44"/>
        <v>280</v>
      </c>
      <c r="E178">
        <f t="shared" si="45"/>
        <v>140</v>
      </c>
      <c r="F178">
        <f t="shared" si="46"/>
        <v>12.864000000000001</v>
      </c>
      <c r="G178">
        <f t="shared" si="47"/>
        <v>0.33600000000000002</v>
      </c>
      <c r="H178">
        <f t="shared" si="48"/>
        <v>56.448000000000008</v>
      </c>
      <c r="I178">
        <f t="shared" si="49"/>
        <v>403.20000000000005</v>
      </c>
      <c r="J178">
        <f t="shared" si="50"/>
        <v>288</v>
      </c>
      <c r="K178">
        <f t="shared" si="51"/>
        <v>40.32</v>
      </c>
      <c r="L178">
        <f t="shared" si="52"/>
        <v>3.1046400000000003</v>
      </c>
      <c r="M178">
        <f t="shared" si="53"/>
        <v>2.9836800000000001</v>
      </c>
      <c r="N178">
        <f t="shared" si="54"/>
        <v>2.3788800000000005</v>
      </c>
      <c r="O178">
        <f t="shared" si="55"/>
        <v>2.1915105882352943</v>
      </c>
      <c r="P178">
        <f t="shared" si="56"/>
        <v>1.451403887688985</v>
      </c>
      <c r="Q178">
        <f t="shared" si="57"/>
        <v>50.400000000000006</v>
      </c>
      <c r="R178">
        <f t="shared" si="58"/>
        <v>192</v>
      </c>
      <c r="S178">
        <f t="shared" si="59"/>
        <v>240.95999999999998</v>
      </c>
      <c r="T178">
        <f t="shared" si="60"/>
        <v>47.040000000000006</v>
      </c>
      <c r="U178">
        <f>I178*E178/'[1]Inverter Analysis'!$L$2</f>
        <v>135.26654831247924</v>
      </c>
      <c r="V178">
        <f t="shared" si="61"/>
        <v>277.77777777777777</v>
      </c>
      <c r="W178">
        <f t="shared" si="62"/>
        <v>332.00531208499336</v>
      </c>
      <c r="X178">
        <f t="shared" si="63"/>
        <v>198.4126984126984</v>
      </c>
      <c r="Y178">
        <f t="shared" si="64"/>
        <v>0.77159269076857695</v>
      </c>
      <c r="Z178">
        <f t="shared" si="65"/>
        <v>0.83360043154285712</v>
      </c>
    </row>
    <row r="179" spans="1:26" hidden="1">
      <c r="A179">
        <v>11</v>
      </c>
      <c r="B179">
        <v>2</v>
      </c>
      <c r="C179" s="1">
        <v>8</v>
      </c>
      <c r="D179">
        <f t="shared" si="44"/>
        <v>280</v>
      </c>
      <c r="E179">
        <f t="shared" si="45"/>
        <v>140</v>
      </c>
      <c r="F179">
        <f t="shared" si="46"/>
        <v>11.792</v>
      </c>
      <c r="G179">
        <f t="shared" si="47"/>
        <v>0.308</v>
      </c>
      <c r="H179">
        <f t="shared" si="48"/>
        <v>51.744</v>
      </c>
      <c r="I179">
        <f t="shared" si="49"/>
        <v>369.6</v>
      </c>
      <c r="J179">
        <f t="shared" si="50"/>
        <v>264</v>
      </c>
      <c r="K179">
        <f t="shared" si="51"/>
        <v>36.96</v>
      </c>
      <c r="L179">
        <f t="shared" si="52"/>
        <v>2.84592</v>
      </c>
      <c r="M179">
        <f t="shared" si="53"/>
        <v>2.7350400000000006</v>
      </c>
      <c r="N179">
        <f t="shared" si="54"/>
        <v>2.1806400000000004</v>
      </c>
      <c r="O179">
        <f t="shared" si="55"/>
        <v>2.0088847058823531</v>
      </c>
      <c r="P179">
        <f t="shared" si="56"/>
        <v>1.3304535637149029</v>
      </c>
      <c r="Q179">
        <f t="shared" si="57"/>
        <v>46.2</v>
      </c>
      <c r="R179">
        <f t="shared" si="58"/>
        <v>176</v>
      </c>
      <c r="S179">
        <f t="shared" si="59"/>
        <v>220.88</v>
      </c>
      <c r="T179">
        <f t="shared" si="60"/>
        <v>43.12</v>
      </c>
      <c r="U179">
        <f>I179*E179/'[1]Inverter Analysis'!$L$2</f>
        <v>123.99433595310597</v>
      </c>
      <c r="V179">
        <f t="shared" si="61"/>
        <v>303.030303030303</v>
      </c>
      <c r="W179">
        <f t="shared" si="62"/>
        <v>362.18761318362914</v>
      </c>
      <c r="X179">
        <f t="shared" si="63"/>
        <v>216.45021645021643</v>
      </c>
      <c r="Y179">
        <f t="shared" si="64"/>
        <v>0.91825907000557927</v>
      </c>
      <c r="Z179">
        <f t="shared" si="65"/>
        <v>0.64208459165714271</v>
      </c>
    </row>
    <row r="180" spans="1:26" hidden="1">
      <c r="A180">
        <v>10</v>
      </c>
      <c r="B180">
        <v>2</v>
      </c>
      <c r="C180" s="1">
        <v>8</v>
      </c>
      <c r="D180">
        <f t="shared" si="44"/>
        <v>280</v>
      </c>
      <c r="E180">
        <f t="shared" si="45"/>
        <v>140</v>
      </c>
      <c r="F180">
        <f t="shared" si="46"/>
        <v>10.72</v>
      </c>
      <c r="G180">
        <f t="shared" si="47"/>
        <v>0.28000000000000003</v>
      </c>
      <c r="H180">
        <f t="shared" si="48"/>
        <v>47.04</v>
      </c>
      <c r="I180">
        <f t="shared" si="49"/>
        <v>336</v>
      </c>
      <c r="J180">
        <f t="shared" si="50"/>
        <v>240</v>
      </c>
      <c r="K180">
        <f t="shared" si="51"/>
        <v>33.6</v>
      </c>
      <c r="L180">
        <f t="shared" si="52"/>
        <v>2.5872000000000002</v>
      </c>
      <c r="M180">
        <f t="shared" si="53"/>
        <v>2.4864000000000002</v>
      </c>
      <c r="N180">
        <f t="shared" si="54"/>
        <v>1.9824000000000002</v>
      </c>
      <c r="O180">
        <f t="shared" si="55"/>
        <v>1.8262588235294119</v>
      </c>
      <c r="P180">
        <f t="shared" si="56"/>
        <v>1.2095032397408207</v>
      </c>
      <c r="Q180">
        <f t="shared" si="57"/>
        <v>42</v>
      </c>
      <c r="R180">
        <f t="shared" si="58"/>
        <v>160</v>
      </c>
      <c r="S180">
        <f t="shared" si="59"/>
        <v>200.8</v>
      </c>
      <c r="T180">
        <f t="shared" si="60"/>
        <v>39.200000000000003</v>
      </c>
      <c r="U180">
        <f>I180*E180/'[1]Inverter Analysis'!$L$2</f>
        <v>112.7221235937327</v>
      </c>
      <c r="V180">
        <f t="shared" si="61"/>
        <v>333.33333333333331</v>
      </c>
      <c r="W180">
        <f t="shared" si="62"/>
        <v>398.40637450199199</v>
      </c>
      <c r="X180">
        <f t="shared" si="63"/>
        <v>238.0952380952381</v>
      </c>
      <c r="Y180">
        <f t="shared" si="64"/>
        <v>1.1110934747067507</v>
      </c>
      <c r="Z180">
        <f t="shared" si="65"/>
        <v>0.48240765714285716</v>
      </c>
    </row>
    <row r="181" spans="1:26" hidden="1">
      <c r="A181" s="8">
        <v>16</v>
      </c>
      <c r="B181" s="1">
        <v>6</v>
      </c>
      <c r="C181" s="1">
        <v>7</v>
      </c>
      <c r="D181">
        <f t="shared" si="44"/>
        <v>840</v>
      </c>
      <c r="E181">
        <f t="shared" si="45"/>
        <v>420</v>
      </c>
      <c r="F181">
        <f t="shared" si="46"/>
        <v>45.024000000000001</v>
      </c>
      <c r="G181">
        <f t="shared" si="47"/>
        <v>0.13066666666666668</v>
      </c>
      <c r="H181">
        <f t="shared" si="48"/>
        <v>197.56800000000001</v>
      </c>
      <c r="I181">
        <f t="shared" si="49"/>
        <v>470.40000000000003</v>
      </c>
      <c r="J181">
        <f t="shared" si="50"/>
        <v>336</v>
      </c>
      <c r="K181">
        <f t="shared" si="51"/>
        <v>141.12</v>
      </c>
      <c r="L181">
        <f t="shared" si="52"/>
        <v>10.866240000000001</v>
      </c>
      <c r="M181">
        <f t="shared" si="53"/>
        <v>10.442880000000001</v>
      </c>
      <c r="N181">
        <f t="shared" si="54"/>
        <v>8.326080000000001</v>
      </c>
      <c r="O181">
        <f t="shared" si="55"/>
        <v>7.670287058823531</v>
      </c>
      <c r="P181">
        <f t="shared" si="56"/>
        <v>5.805615550755939</v>
      </c>
      <c r="Q181">
        <f t="shared" si="57"/>
        <v>67.2</v>
      </c>
      <c r="R181">
        <f t="shared" si="58"/>
        <v>672</v>
      </c>
      <c r="S181">
        <f t="shared" si="59"/>
        <v>281.12</v>
      </c>
      <c r="T181">
        <f t="shared" si="60"/>
        <v>54.88</v>
      </c>
      <c r="U181">
        <f>I181*E181/'[1]Inverter Analysis'!$L$2</f>
        <v>473.43291909367736</v>
      </c>
      <c r="V181">
        <f t="shared" si="61"/>
        <v>238.0952380952381</v>
      </c>
      <c r="W181">
        <f t="shared" si="62"/>
        <v>284.57598178713715</v>
      </c>
      <c r="X181">
        <f t="shared" si="63"/>
        <v>170.06802721088434</v>
      </c>
      <c r="Y181">
        <f t="shared" si="64"/>
        <v>0.56688442587079113</v>
      </c>
      <c r="Z181">
        <f t="shared" si="65"/>
        <v>3.9711798336000004</v>
      </c>
    </row>
    <row r="182" spans="1:26" hidden="1">
      <c r="A182" s="8">
        <v>15</v>
      </c>
      <c r="B182" s="1">
        <v>6</v>
      </c>
      <c r="C182" s="1">
        <v>7</v>
      </c>
      <c r="D182">
        <f t="shared" si="44"/>
        <v>840</v>
      </c>
      <c r="E182">
        <f t="shared" si="45"/>
        <v>420</v>
      </c>
      <c r="F182">
        <f t="shared" si="46"/>
        <v>42.21</v>
      </c>
      <c r="G182">
        <f t="shared" si="47"/>
        <v>0.12250000000000001</v>
      </c>
      <c r="H182">
        <f t="shared" si="48"/>
        <v>185.22</v>
      </c>
      <c r="I182">
        <f t="shared" si="49"/>
        <v>441</v>
      </c>
      <c r="J182">
        <f t="shared" si="50"/>
        <v>315</v>
      </c>
      <c r="K182">
        <f t="shared" si="51"/>
        <v>132.30000000000001</v>
      </c>
      <c r="L182">
        <f t="shared" si="52"/>
        <v>10.187100000000001</v>
      </c>
      <c r="M182">
        <f t="shared" si="53"/>
        <v>9.7902000000000005</v>
      </c>
      <c r="N182">
        <f t="shared" si="54"/>
        <v>7.8057000000000007</v>
      </c>
      <c r="O182">
        <f t="shared" si="55"/>
        <v>7.1908941176470602</v>
      </c>
      <c r="P182">
        <f t="shared" si="56"/>
        <v>5.4427645788336934</v>
      </c>
      <c r="Q182">
        <f t="shared" si="57"/>
        <v>63</v>
      </c>
      <c r="R182">
        <f t="shared" si="58"/>
        <v>630</v>
      </c>
      <c r="S182">
        <f t="shared" si="59"/>
        <v>263.55</v>
      </c>
      <c r="T182">
        <f t="shared" si="60"/>
        <v>51.45</v>
      </c>
      <c r="U182">
        <f>I182*E182/'[1]Inverter Analysis'!$L$2</f>
        <v>443.84336165032249</v>
      </c>
      <c r="V182">
        <f t="shared" si="61"/>
        <v>253.96825396825398</v>
      </c>
      <c r="W182">
        <f t="shared" si="62"/>
        <v>303.54771390627963</v>
      </c>
      <c r="X182">
        <f t="shared" si="63"/>
        <v>181.40589569160997</v>
      </c>
      <c r="Y182">
        <f t="shared" si="64"/>
        <v>0.64498850232410021</v>
      </c>
      <c r="Z182">
        <f t="shared" si="65"/>
        <v>3.2721513521484376</v>
      </c>
    </row>
    <row r="183" spans="1:26" hidden="1">
      <c r="A183">
        <v>14</v>
      </c>
      <c r="B183" s="1">
        <v>6</v>
      </c>
      <c r="C183" s="1">
        <v>7</v>
      </c>
      <c r="D183">
        <f t="shared" si="44"/>
        <v>840</v>
      </c>
      <c r="E183">
        <f t="shared" si="45"/>
        <v>420</v>
      </c>
      <c r="F183">
        <f t="shared" si="46"/>
        <v>39.396000000000001</v>
      </c>
      <c r="G183">
        <f t="shared" si="47"/>
        <v>0.11433333333333334</v>
      </c>
      <c r="H183">
        <f t="shared" si="48"/>
        <v>172.87200000000001</v>
      </c>
      <c r="I183">
        <f t="shared" si="49"/>
        <v>411.6</v>
      </c>
      <c r="J183">
        <f t="shared" si="50"/>
        <v>294</v>
      </c>
      <c r="K183">
        <f t="shared" si="51"/>
        <v>123.48</v>
      </c>
      <c r="L183">
        <f t="shared" si="52"/>
        <v>9.5079600000000006</v>
      </c>
      <c r="M183">
        <f t="shared" si="53"/>
        <v>9.1375200000000003</v>
      </c>
      <c r="N183">
        <f t="shared" si="54"/>
        <v>7.2853199999999996</v>
      </c>
      <c r="O183">
        <f t="shared" si="55"/>
        <v>6.7115011764705894</v>
      </c>
      <c r="P183">
        <f t="shared" si="56"/>
        <v>5.0799136069114477</v>
      </c>
      <c r="Q183">
        <f t="shared" si="57"/>
        <v>58.800000000000004</v>
      </c>
      <c r="R183">
        <f t="shared" si="58"/>
        <v>588</v>
      </c>
      <c r="S183">
        <f t="shared" si="59"/>
        <v>245.98</v>
      </c>
      <c r="T183">
        <f t="shared" si="60"/>
        <v>48.02</v>
      </c>
      <c r="U183">
        <f>I183*E183/'[1]Inverter Analysis'!$L$2</f>
        <v>414.25380420696769</v>
      </c>
      <c r="V183">
        <f t="shared" si="61"/>
        <v>272.10884353741494</v>
      </c>
      <c r="W183">
        <f t="shared" si="62"/>
        <v>325.22969347101395</v>
      </c>
      <c r="X183">
        <f t="shared" si="63"/>
        <v>194.36345966958211</v>
      </c>
      <c r="Y183">
        <f t="shared" si="64"/>
        <v>0.74042047460674776</v>
      </c>
      <c r="Z183">
        <f t="shared" si="65"/>
        <v>2.6603802400875001</v>
      </c>
    </row>
    <row r="184" spans="1:26" hidden="1">
      <c r="A184">
        <v>13</v>
      </c>
      <c r="B184" s="1">
        <v>6</v>
      </c>
      <c r="C184" s="1">
        <v>7</v>
      </c>
      <c r="D184">
        <f t="shared" si="44"/>
        <v>840</v>
      </c>
      <c r="E184">
        <f t="shared" si="45"/>
        <v>420</v>
      </c>
      <c r="F184">
        <f t="shared" si="46"/>
        <v>36.582000000000001</v>
      </c>
      <c r="G184">
        <f t="shared" si="47"/>
        <v>0.10616666666666669</v>
      </c>
      <c r="H184">
        <f t="shared" si="48"/>
        <v>160.524</v>
      </c>
      <c r="I184">
        <f t="shared" si="49"/>
        <v>382.2</v>
      </c>
      <c r="J184">
        <f t="shared" si="50"/>
        <v>273</v>
      </c>
      <c r="K184">
        <f t="shared" si="51"/>
        <v>114.66</v>
      </c>
      <c r="L184">
        <f t="shared" si="52"/>
        <v>8.8288200000000003</v>
      </c>
      <c r="M184">
        <f t="shared" si="53"/>
        <v>8.4848400000000002</v>
      </c>
      <c r="N184">
        <f t="shared" si="54"/>
        <v>6.7649400000000002</v>
      </c>
      <c r="O184">
        <f t="shared" si="55"/>
        <v>6.2321082352941186</v>
      </c>
      <c r="P184">
        <f t="shared" si="56"/>
        <v>4.7170626349892002</v>
      </c>
      <c r="Q184">
        <f t="shared" si="57"/>
        <v>54.6</v>
      </c>
      <c r="R184">
        <f t="shared" si="58"/>
        <v>546</v>
      </c>
      <c r="S184">
        <f t="shared" si="59"/>
        <v>228.41</v>
      </c>
      <c r="T184">
        <f t="shared" si="60"/>
        <v>44.590000000000011</v>
      </c>
      <c r="U184">
        <f>I184*E184/'[1]Inverter Analysis'!$L$2</f>
        <v>384.66424676361282</v>
      </c>
      <c r="V184">
        <f t="shared" si="61"/>
        <v>293.04029304029302</v>
      </c>
      <c r="W184">
        <f t="shared" si="62"/>
        <v>350.24736219955344</v>
      </c>
      <c r="X184">
        <f t="shared" si="63"/>
        <v>209.31449502878075</v>
      </c>
      <c r="Y184">
        <f t="shared" si="64"/>
        <v>0.85871250309421621</v>
      </c>
      <c r="Z184">
        <f t="shared" si="65"/>
        <v>2.1300493394578126</v>
      </c>
    </row>
    <row r="185" spans="1:26" hidden="1">
      <c r="A185">
        <v>12</v>
      </c>
      <c r="B185" s="1">
        <v>6</v>
      </c>
      <c r="C185" s="1">
        <v>7</v>
      </c>
      <c r="D185">
        <f t="shared" si="44"/>
        <v>840</v>
      </c>
      <c r="E185">
        <f t="shared" si="45"/>
        <v>420</v>
      </c>
      <c r="F185">
        <f t="shared" si="46"/>
        <v>33.768000000000001</v>
      </c>
      <c r="G185">
        <f t="shared" si="47"/>
        <v>9.8000000000000018E-2</v>
      </c>
      <c r="H185">
        <f t="shared" si="48"/>
        <v>148.17599999999999</v>
      </c>
      <c r="I185">
        <f t="shared" si="49"/>
        <v>352.8</v>
      </c>
      <c r="J185">
        <f t="shared" si="50"/>
        <v>252</v>
      </c>
      <c r="K185">
        <f t="shared" si="51"/>
        <v>105.84</v>
      </c>
      <c r="L185">
        <f t="shared" si="52"/>
        <v>8.14968</v>
      </c>
      <c r="M185">
        <f t="shared" si="53"/>
        <v>7.8321600000000009</v>
      </c>
      <c r="N185">
        <f t="shared" si="54"/>
        <v>6.2445599999999999</v>
      </c>
      <c r="O185">
        <f t="shared" si="55"/>
        <v>5.7527152941176478</v>
      </c>
      <c r="P185">
        <f t="shared" si="56"/>
        <v>4.3542116630669545</v>
      </c>
      <c r="Q185">
        <f t="shared" si="57"/>
        <v>50.4</v>
      </c>
      <c r="R185">
        <f t="shared" si="58"/>
        <v>504</v>
      </c>
      <c r="S185">
        <f t="shared" si="59"/>
        <v>210.83999999999997</v>
      </c>
      <c r="T185">
        <f t="shared" si="60"/>
        <v>41.160000000000011</v>
      </c>
      <c r="U185">
        <f>I185*E185/'[1]Inverter Analysis'!$L$2</f>
        <v>355.07468932025802</v>
      </c>
      <c r="V185">
        <f t="shared" si="61"/>
        <v>317.46031746031747</v>
      </c>
      <c r="W185">
        <f t="shared" si="62"/>
        <v>379.43464238284957</v>
      </c>
      <c r="X185">
        <f t="shared" si="63"/>
        <v>226.75736961451247</v>
      </c>
      <c r="Y185">
        <f t="shared" si="64"/>
        <v>1.0077945348814066</v>
      </c>
      <c r="Z185">
        <f t="shared" si="65"/>
        <v>1.6753414922999998</v>
      </c>
    </row>
    <row r="186" spans="1:26" hidden="1">
      <c r="A186">
        <v>11</v>
      </c>
      <c r="B186" s="1">
        <v>6</v>
      </c>
      <c r="C186" s="1">
        <v>7</v>
      </c>
      <c r="D186">
        <f t="shared" si="44"/>
        <v>840</v>
      </c>
      <c r="E186">
        <f t="shared" si="45"/>
        <v>420</v>
      </c>
      <c r="F186">
        <f t="shared" si="46"/>
        <v>30.954000000000001</v>
      </c>
      <c r="G186">
        <f t="shared" si="47"/>
        <v>8.9833333333333334E-2</v>
      </c>
      <c r="H186">
        <f t="shared" si="48"/>
        <v>135.828</v>
      </c>
      <c r="I186">
        <f t="shared" si="49"/>
        <v>323.40000000000003</v>
      </c>
      <c r="J186">
        <f t="shared" si="50"/>
        <v>231</v>
      </c>
      <c r="K186">
        <f t="shared" si="51"/>
        <v>97.02</v>
      </c>
      <c r="L186">
        <f t="shared" si="52"/>
        <v>7.4705400000000006</v>
      </c>
      <c r="M186">
        <f t="shared" si="53"/>
        <v>7.1794800000000016</v>
      </c>
      <c r="N186">
        <f t="shared" si="54"/>
        <v>5.7241800000000014</v>
      </c>
      <c r="O186">
        <f t="shared" si="55"/>
        <v>5.273322352941177</v>
      </c>
      <c r="P186">
        <f t="shared" si="56"/>
        <v>3.9913606911447088</v>
      </c>
      <c r="Q186">
        <f t="shared" si="57"/>
        <v>46.2</v>
      </c>
      <c r="R186">
        <f t="shared" si="58"/>
        <v>462</v>
      </c>
      <c r="S186">
        <f t="shared" si="59"/>
        <v>193.26999999999998</v>
      </c>
      <c r="T186">
        <f t="shared" si="60"/>
        <v>37.730000000000004</v>
      </c>
      <c r="U186">
        <f>I186*E186/'[1]Inverter Analysis'!$L$2</f>
        <v>325.48513187690315</v>
      </c>
      <c r="V186">
        <f t="shared" si="61"/>
        <v>346.32034632034635</v>
      </c>
      <c r="W186">
        <f t="shared" si="62"/>
        <v>413.92870078129044</v>
      </c>
      <c r="X186">
        <f t="shared" si="63"/>
        <v>247.37167594310449</v>
      </c>
      <c r="Y186">
        <f t="shared" si="64"/>
        <v>1.1993587853134096</v>
      </c>
      <c r="Z186">
        <f t="shared" si="65"/>
        <v>1.2904395406546876</v>
      </c>
    </row>
    <row r="187" spans="1:26" hidden="1">
      <c r="A187">
        <v>10</v>
      </c>
      <c r="B187" s="1">
        <v>6</v>
      </c>
      <c r="C187" s="1">
        <v>7</v>
      </c>
      <c r="D187">
        <f t="shared" si="44"/>
        <v>840</v>
      </c>
      <c r="E187">
        <f t="shared" si="45"/>
        <v>420</v>
      </c>
      <c r="F187">
        <f t="shared" si="46"/>
        <v>28.14</v>
      </c>
      <c r="G187">
        <f t="shared" si="47"/>
        <v>8.1666666666666665E-2</v>
      </c>
      <c r="H187">
        <f t="shared" si="48"/>
        <v>123.48</v>
      </c>
      <c r="I187">
        <f t="shared" si="49"/>
        <v>294</v>
      </c>
      <c r="J187">
        <f t="shared" si="50"/>
        <v>210</v>
      </c>
      <c r="K187">
        <f t="shared" si="51"/>
        <v>88.2</v>
      </c>
      <c r="L187">
        <f t="shared" si="52"/>
        <v>6.7914000000000003</v>
      </c>
      <c r="M187">
        <f t="shared" si="53"/>
        <v>6.5267999999999997</v>
      </c>
      <c r="N187">
        <f t="shared" si="54"/>
        <v>5.2038000000000002</v>
      </c>
      <c r="O187">
        <f t="shared" si="55"/>
        <v>4.7939294117647062</v>
      </c>
      <c r="P187">
        <f t="shared" si="56"/>
        <v>3.6285097192224618</v>
      </c>
      <c r="Q187">
        <f t="shared" si="57"/>
        <v>42</v>
      </c>
      <c r="R187">
        <f t="shared" si="58"/>
        <v>420</v>
      </c>
      <c r="S187">
        <f t="shared" si="59"/>
        <v>175.7</v>
      </c>
      <c r="T187">
        <f t="shared" si="60"/>
        <v>34.299999999999997</v>
      </c>
      <c r="U187">
        <f>I187*E187/'[1]Inverter Analysis'!$L$2</f>
        <v>295.89557443354835</v>
      </c>
      <c r="V187">
        <f t="shared" si="61"/>
        <v>380.95238095238096</v>
      </c>
      <c r="W187">
        <f t="shared" si="62"/>
        <v>455.32157085941947</v>
      </c>
      <c r="X187">
        <f t="shared" si="63"/>
        <v>272.10884353741494</v>
      </c>
      <c r="Y187">
        <f t="shared" si="64"/>
        <v>1.4512241302292255</v>
      </c>
      <c r="Z187">
        <f t="shared" si="65"/>
        <v>0.96952632656249982</v>
      </c>
    </row>
    <row r="188" spans="1:26" hidden="1">
      <c r="A188" s="8">
        <v>16</v>
      </c>
      <c r="B188" s="9">
        <v>5</v>
      </c>
      <c r="C188" s="1">
        <v>7</v>
      </c>
      <c r="D188">
        <f t="shared" si="44"/>
        <v>700</v>
      </c>
      <c r="E188">
        <f t="shared" si="45"/>
        <v>350</v>
      </c>
      <c r="F188">
        <f t="shared" si="46"/>
        <v>37.520000000000003</v>
      </c>
      <c r="G188">
        <f t="shared" si="47"/>
        <v>0.15679999999999999</v>
      </c>
      <c r="H188">
        <f t="shared" si="48"/>
        <v>164.64</v>
      </c>
      <c r="I188">
        <f t="shared" si="49"/>
        <v>470.40000000000003</v>
      </c>
      <c r="J188">
        <f t="shared" si="50"/>
        <v>336</v>
      </c>
      <c r="K188">
        <f t="shared" si="51"/>
        <v>117.6</v>
      </c>
      <c r="L188">
        <f t="shared" si="52"/>
        <v>9.055200000000001</v>
      </c>
      <c r="M188">
        <f t="shared" si="53"/>
        <v>8.7024000000000008</v>
      </c>
      <c r="N188">
        <f t="shared" si="54"/>
        <v>6.9384000000000015</v>
      </c>
      <c r="O188">
        <f t="shared" si="55"/>
        <v>6.3919058823529422</v>
      </c>
      <c r="P188">
        <f t="shared" si="56"/>
        <v>4.838012958963283</v>
      </c>
      <c r="Q188">
        <f t="shared" si="57"/>
        <v>67.2</v>
      </c>
      <c r="R188">
        <f t="shared" si="58"/>
        <v>560</v>
      </c>
      <c r="S188">
        <f t="shared" si="59"/>
        <v>281.12</v>
      </c>
      <c r="T188">
        <f t="shared" si="60"/>
        <v>54.879999999999995</v>
      </c>
      <c r="U188">
        <f>I188*E188/'[1]Inverter Analysis'!$L$2</f>
        <v>394.52743257806446</v>
      </c>
      <c r="V188">
        <f t="shared" si="61"/>
        <v>238.0952380952381</v>
      </c>
      <c r="W188">
        <f t="shared" si="62"/>
        <v>284.57598178713715</v>
      </c>
      <c r="X188">
        <f t="shared" si="63"/>
        <v>170.06802721088434</v>
      </c>
      <c r="Y188">
        <f t="shared" si="64"/>
        <v>0.56688442587079113</v>
      </c>
      <c r="Z188">
        <f t="shared" si="65"/>
        <v>3.309316528000001</v>
      </c>
    </row>
    <row r="189" spans="1:26" hidden="1">
      <c r="A189" s="8">
        <v>15</v>
      </c>
      <c r="B189" s="9">
        <v>5</v>
      </c>
      <c r="C189" s="1">
        <v>7</v>
      </c>
      <c r="D189">
        <f t="shared" si="44"/>
        <v>700</v>
      </c>
      <c r="E189">
        <f t="shared" si="45"/>
        <v>350</v>
      </c>
      <c r="F189">
        <f t="shared" si="46"/>
        <v>35.174999999999997</v>
      </c>
      <c r="G189">
        <f t="shared" si="47"/>
        <v>0.14700000000000002</v>
      </c>
      <c r="H189">
        <f t="shared" si="48"/>
        <v>154.35</v>
      </c>
      <c r="I189">
        <f t="shared" si="49"/>
        <v>441</v>
      </c>
      <c r="J189">
        <f t="shared" si="50"/>
        <v>315</v>
      </c>
      <c r="K189">
        <f t="shared" si="51"/>
        <v>110.25</v>
      </c>
      <c r="L189">
        <f t="shared" si="52"/>
        <v>8.4892500000000002</v>
      </c>
      <c r="M189">
        <f t="shared" si="53"/>
        <v>8.1585000000000001</v>
      </c>
      <c r="N189">
        <f t="shared" si="54"/>
        <v>6.5047499999999996</v>
      </c>
      <c r="O189">
        <f t="shared" si="55"/>
        <v>5.9924117647058832</v>
      </c>
      <c r="P189">
        <f t="shared" si="56"/>
        <v>4.5356371490280774</v>
      </c>
      <c r="Q189">
        <f t="shared" si="57"/>
        <v>63</v>
      </c>
      <c r="R189">
        <f t="shared" si="58"/>
        <v>525</v>
      </c>
      <c r="S189">
        <f t="shared" si="59"/>
        <v>263.55</v>
      </c>
      <c r="T189">
        <f t="shared" si="60"/>
        <v>51.45000000000001</v>
      </c>
      <c r="U189">
        <f>I189*E189/'[1]Inverter Analysis'!$L$2</f>
        <v>369.86946804193542</v>
      </c>
      <c r="V189">
        <f t="shared" si="61"/>
        <v>253.96825396825398</v>
      </c>
      <c r="W189">
        <f t="shared" si="62"/>
        <v>303.54771390627963</v>
      </c>
      <c r="X189">
        <f t="shared" si="63"/>
        <v>181.40589569160997</v>
      </c>
      <c r="Y189">
        <f t="shared" si="64"/>
        <v>0.64498850232410021</v>
      </c>
      <c r="Z189">
        <f t="shared" si="65"/>
        <v>2.7267927934570313</v>
      </c>
    </row>
    <row r="190" spans="1:26" hidden="1">
      <c r="A190">
        <v>14</v>
      </c>
      <c r="B190" s="9">
        <v>5</v>
      </c>
      <c r="C190" s="1">
        <v>7</v>
      </c>
      <c r="D190">
        <f t="shared" si="44"/>
        <v>700</v>
      </c>
      <c r="E190">
        <f t="shared" si="45"/>
        <v>350</v>
      </c>
      <c r="F190">
        <f t="shared" si="46"/>
        <v>32.83</v>
      </c>
      <c r="G190">
        <f t="shared" si="47"/>
        <v>0.13719999999999999</v>
      </c>
      <c r="H190">
        <f t="shared" si="48"/>
        <v>144.06</v>
      </c>
      <c r="I190">
        <f t="shared" si="49"/>
        <v>411.6</v>
      </c>
      <c r="J190">
        <f t="shared" si="50"/>
        <v>294</v>
      </c>
      <c r="K190">
        <f t="shared" si="51"/>
        <v>102.9</v>
      </c>
      <c r="L190">
        <f t="shared" si="52"/>
        <v>7.9233000000000002</v>
      </c>
      <c r="M190">
        <f t="shared" si="53"/>
        <v>7.6146000000000003</v>
      </c>
      <c r="N190">
        <f t="shared" si="54"/>
        <v>6.0711000000000004</v>
      </c>
      <c r="O190">
        <f t="shared" si="55"/>
        <v>5.5929176470588242</v>
      </c>
      <c r="P190">
        <f t="shared" si="56"/>
        <v>4.2332613390928726</v>
      </c>
      <c r="Q190">
        <f t="shared" si="57"/>
        <v>58.800000000000004</v>
      </c>
      <c r="R190">
        <f t="shared" si="58"/>
        <v>490</v>
      </c>
      <c r="S190">
        <f t="shared" si="59"/>
        <v>245.98000000000002</v>
      </c>
      <c r="T190">
        <f t="shared" si="60"/>
        <v>48.019999999999996</v>
      </c>
      <c r="U190">
        <f>I190*E190/'[1]Inverter Analysis'!$L$2</f>
        <v>345.21150350580638</v>
      </c>
      <c r="V190">
        <f t="shared" si="61"/>
        <v>272.10884353741494</v>
      </c>
      <c r="W190">
        <f t="shared" si="62"/>
        <v>325.22969347101389</v>
      </c>
      <c r="X190">
        <f t="shared" si="63"/>
        <v>194.36345966958211</v>
      </c>
      <c r="Y190">
        <f t="shared" si="64"/>
        <v>0.74042047460674754</v>
      </c>
      <c r="Z190">
        <f t="shared" si="65"/>
        <v>2.2169835334062498</v>
      </c>
    </row>
    <row r="191" spans="1:26" hidden="1">
      <c r="A191">
        <v>13</v>
      </c>
      <c r="B191" s="9">
        <v>5</v>
      </c>
      <c r="C191" s="1">
        <v>7</v>
      </c>
      <c r="D191">
        <f t="shared" si="44"/>
        <v>700</v>
      </c>
      <c r="E191">
        <f t="shared" si="45"/>
        <v>350</v>
      </c>
      <c r="F191">
        <f t="shared" si="46"/>
        <v>30.484999999999999</v>
      </c>
      <c r="G191">
        <f t="shared" si="47"/>
        <v>0.12740000000000001</v>
      </c>
      <c r="H191">
        <f t="shared" si="48"/>
        <v>133.77000000000001</v>
      </c>
      <c r="I191">
        <f t="shared" si="49"/>
        <v>382.2</v>
      </c>
      <c r="J191">
        <f t="shared" si="50"/>
        <v>273</v>
      </c>
      <c r="K191">
        <f t="shared" si="51"/>
        <v>95.55</v>
      </c>
      <c r="L191">
        <f t="shared" si="52"/>
        <v>7.3573500000000003</v>
      </c>
      <c r="M191">
        <f t="shared" si="53"/>
        <v>7.0707000000000004</v>
      </c>
      <c r="N191">
        <f t="shared" si="54"/>
        <v>5.6374499999999994</v>
      </c>
      <c r="O191">
        <f t="shared" si="55"/>
        <v>5.1934235294117652</v>
      </c>
      <c r="P191">
        <f t="shared" si="56"/>
        <v>3.930885529157667</v>
      </c>
      <c r="Q191">
        <f t="shared" si="57"/>
        <v>54.6</v>
      </c>
      <c r="R191">
        <f t="shared" si="58"/>
        <v>455</v>
      </c>
      <c r="S191">
        <f t="shared" si="59"/>
        <v>228.41</v>
      </c>
      <c r="T191">
        <f t="shared" si="60"/>
        <v>44.59</v>
      </c>
      <c r="U191">
        <f>I191*E191/'[1]Inverter Analysis'!$L$2</f>
        <v>320.55353896967733</v>
      </c>
      <c r="V191">
        <f t="shared" si="61"/>
        <v>293.04029304029302</v>
      </c>
      <c r="W191">
        <f t="shared" si="62"/>
        <v>350.24736219955344</v>
      </c>
      <c r="X191">
        <f t="shared" si="63"/>
        <v>209.31449502878075</v>
      </c>
      <c r="Y191">
        <f t="shared" si="64"/>
        <v>0.85871250309421621</v>
      </c>
      <c r="Z191">
        <f t="shared" si="65"/>
        <v>1.7750411162148438</v>
      </c>
    </row>
    <row r="192" spans="1:26">
      <c r="A192">
        <v>12</v>
      </c>
      <c r="B192" s="9">
        <v>5</v>
      </c>
      <c r="C192" s="1">
        <v>7</v>
      </c>
      <c r="D192">
        <f t="shared" si="44"/>
        <v>700</v>
      </c>
      <c r="E192">
        <f t="shared" si="45"/>
        <v>350</v>
      </c>
      <c r="F192">
        <f t="shared" si="46"/>
        <v>28.14</v>
      </c>
      <c r="G192">
        <f t="shared" si="47"/>
        <v>0.1176</v>
      </c>
      <c r="H192">
        <f t="shared" si="48"/>
        <v>123.48</v>
      </c>
      <c r="I192">
        <f t="shared" si="49"/>
        <v>352.8</v>
      </c>
      <c r="J192">
        <f t="shared" si="50"/>
        <v>252</v>
      </c>
      <c r="K192">
        <f t="shared" si="51"/>
        <v>88.2</v>
      </c>
      <c r="L192">
        <f t="shared" si="52"/>
        <v>6.7913999999999994</v>
      </c>
      <c r="M192">
        <f t="shared" si="53"/>
        <v>6.5268000000000015</v>
      </c>
      <c r="N192">
        <f t="shared" si="54"/>
        <v>5.2038000000000002</v>
      </c>
      <c r="O192">
        <f t="shared" si="55"/>
        <v>4.7939294117647062</v>
      </c>
      <c r="P192">
        <f t="shared" si="56"/>
        <v>3.6285097192224618</v>
      </c>
      <c r="Q192">
        <f t="shared" si="57"/>
        <v>50.4</v>
      </c>
      <c r="R192">
        <f t="shared" si="58"/>
        <v>420</v>
      </c>
      <c r="S192">
        <f t="shared" si="59"/>
        <v>210.84</v>
      </c>
      <c r="T192">
        <f t="shared" si="60"/>
        <v>41.16</v>
      </c>
      <c r="U192">
        <f>I192*E192/'[1]Inverter Analysis'!$L$2</f>
        <v>295.89557443354835</v>
      </c>
      <c r="V192">
        <f t="shared" si="61"/>
        <v>317.46031746031747</v>
      </c>
      <c r="W192">
        <f t="shared" si="62"/>
        <v>379.43464238284957</v>
      </c>
      <c r="X192">
        <f t="shared" si="63"/>
        <v>226.75736961451247</v>
      </c>
      <c r="Y192">
        <f t="shared" si="64"/>
        <v>1.0077945348814066</v>
      </c>
      <c r="Z192">
        <f t="shared" si="65"/>
        <v>1.3961179102499999</v>
      </c>
    </row>
    <row r="193" spans="1:26" hidden="1">
      <c r="A193">
        <v>11</v>
      </c>
      <c r="B193" s="9">
        <v>5</v>
      </c>
      <c r="C193" s="1">
        <v>7</v>
      </c>
      <c r="D193">
        <f t="shared" si="44"/>
        <v>700</v>
      </c>
      <c r="E193">
        <f t="shared" si="45"/>
        <v>350</v>
      </c>
      <c r="F193">
        <f t="shared" si="46"/>
        <v>25.795000000000002</v>
      </c>
      <c r="G193">
        <f t="shared" si="47"/>
        <v>0.10780000000000001</v>
      </c>
      <c r="H193">
        <f t="shared" si="48"/>
        <v>113.19000000000001</v>
      </c>
      <c r="I193">
        <f t="shared" si="49"/>
        <v>323.40000000000003</v>
      </c>
      <c r="J193">
        <f t="shared" si="50"/>
        <v>231</v>
      </c>
      <c r="K193">
        <f t="shared" si="51"/>
        <v>80.849999999999994</v>
      </c>
      <c r="L193">
        <f t="shared" si="52"/>
        <v>6.2254500000000004</v>
      </c>
      <c r="M193">
        <f t="shared" si="53"/>
        <v>5.9829000000000008</v>
      </c>
      <c r="N193">
        <f t="shared" si="54"/>
        <v>4.7701500000000019</v>
      </c>
      <c r="O193">
        <f t="shared" si="55"/>
        <v>4.3944352941176472</v>
      </c>
      <c r="P193">
        <f t="shared" si="56"/>
        <v>3.3261339092872575</v>
      </c>
      <c r="Q193">
        <f t="shared" si="57"/>
        <v>46.2</v>
      </c>
      <c r="R193">
        <f t="shared" si="58"/>
        <v>385</v>
      </c>
      <c r="S193">
        <f t="shared" si="59"/>
        <v>193.26999999999998</v>
      </c>
      <c r="T193">
        <f t="shared" si="60"/>
        <v>37.730000000000004</v>
      </c>
      <c r="U193">
        <f>I193*E193/'[1]Inverter Analysis'!$L$2</f>
        <v>271.23760989741936</v>
      </c>
      <c r="V193">
        <f t="shared" si="61"/>
        <v>346.32034632034635</v>
      </c>
      <c r="W193">
        <f t="shared" si="62"/>
        <v>413.92870078129044</v>
      </c>
      <c r="X193">
        <f t="shared" si="63"/>
        <v>247.37167594310449</v>
      </c>
      <c r="Y193">
        <f t="shared" si="64"/>
        <v>1.1993587853134096</v>
      </c>
      <c r="Z193">
        <f t="shared" si="65"/>
        <v>1.0753662838789064</v>
      </c>
    </row>
    <row r="194" spans="1:26" hidden="1">
      <c r="A194">
        <v>10</v>
      </c>
      <c r="B194" s="9">
        <v>5</v>
      </c>
      <c r="C194" s="1">
        <v>7</v>
      </c>
      <c r="D194">
        <f t="shared" si="44"/>
        <v>700</v>
      </c>
      <c r="E194">
        <f t="shared" si="45"/>
        <v>350</v>
      </c>
      <c r="F194">
        <f t="shared" si="46"/>
        <v>23.45</v>
      </c>
      <c r="G194">
        <f t="shared" si="47"/>
        <v>9.8000000000000004E-2</v>
      </c>
      <c r="H194">
        <f t="shared" si="48"/>
        <v>102.9</v>
      </c>
      <c r="I194">
        <f t="shared" si="49"/>
        <v>294</v>
      </c>
      <c r="J194">
        <f t="shared" si="50"/>
        <v>210</v>
      </c>
      <c r="K194">
        <f t="shared" si="51"/>
        <v>73.5</v>
      </c>
      <c r="L194">
        <f t="shared" si="52"/>
        <v>5.6595000000000004</v>
      </c>
      <c r="M194">
        <f t="shared" si="53"/>
        <v>5.4390000000000001</v>
      </c>
      <c r="N194">
        <f t="shared" si="54"/>
        <v>4.3365</v>
      </c>
      <c r="O194">
        <f t="shared" si="55"/>
        <v>3.9949411764705887</v>
      </c>
      <c r="P194">
        <f t="shared" si="56"/>
        <v>3.0237580993520514</v>
      </c>
      <c r="Q194">
        <f t="shared" si="57"/>
        <v>42</v>
      </c>
      <c r="R194">
        <f t="shared" si="58"/>
        <v>350</v>
      </c>
      <c r="S194">
        <f t="shared" si="59"/>
        <v>175.7</v>
      </c>
      <c r="T194">
        <f t="shared" si="60"/>
        <v>34.300000000000004</v>
      </c>
      <c r="U194">
        <f>I194*E194/'[1]Inverter Analysis'!$L$2</f>
        <v>246.57964536129029</v>
      </c>
      <c r="V194">
        <f t="shared" si="61"/>
        <v>380.95238095238096</v>
      </c>
      <c r="W194">
        <f t="shared" si="62"/>
        <v>455.32157085941947</v>
      </c>
      <c r="X194">
        <f t="shared" si="63"/>
        <v>272.10884353741494</v>
      </c>
      <c r="Y194">
        <f t="shared" si="64"/>
        <v>1.4512241302292255</v>
      </c>
      <c r="Z194">
        <f t="shared" si="65"/>
        <v>0.80793860546874996</v>
      </c>
    </row>
    <row r="195" spans="1:26" hidden="1">
      <c r="A195">
        <v>16</v>
      </c>
      <c r="B195">
        <v>4</v>
      </c>
      <c r="C195" s="1">
        <v>7</v>
      </c>
      <c r="D195">
        <f t="shared" si="44"/>
        <v>560</v>
      </c>
      <c r="E195">
        <f t="shared" si="45"/>
        <v>280</v>
      </c>
      <c r="F195">
        <f t="shared" si="46"/>
        <v>30.015999999999998</v>
      </c>
      <c r="G195">
        <f t="shared" si="47"/>
        <v>0.19600000000000001</v>
      </c>
      <c r="H195">
        <f t="shared" si="48"/>
        <v>131.71199999999999</v>
      </c>
      <c r="I195">
        <f t="shared" si="49"/>
        <v>470.40000000000003</v>
      </c>
      <c r="J195">
        <f t="shared" si="50"/>
        <v>336</v>
      </c>
      <c r="K195">
        <f t="shared" si="51"/>
        <v>94.08</v>
      </c>
      <c r="L195">
        <f t="shared" si="52"/>
        <v>7.2441600000000008</v>
      </c>
      <c r="M195">
        <f t="shared" si="53"/>
        <v>6.961920000000001</v>
      </c>
      <c r="N195">
        <f t="shared" si="54"/>
        <v>5.550720000000001</v>
      </c>
      <c r="O195">
        <f t="shared" si="55"/>
        <v>5.1135247058823534</v>
      </c>
      <c r="P195">
        <f t="shared" si="56"/>
        <v>3.8704103671706265</v>
      </c>
      <c r="Q195">
        <f t="shared" si="57"/>
        <v>67.2</v>
      </c>
      <c r="R195">
        <f t="shared" si="58"/>
        <v>448</v>
      </c>
      <c r="S195">
        <f t="shared" si="59"/>
        <v>281.12</v>
      </c>
      <c r="T195">
        <f t="shared" si="60"/>
        <v>54.88</v>
      </c>
      <c r="U195">
        <f>I195*E195/'[1]Inverter Analysis'!$L$2</f>
        <v>315.62194606245157</v>
      </c>
      <c r="V195">
        <f t="shared" si="61"/>
        <v>238.0952380952381</v>
      </c>
      <c r="W195">
        <f t="shared" si="62"/>
        <v>284.57598178713715</v>
      </c>
      <c r="X195">
        <f t="shared" si="63"/>
        <v>170.06802721088434</v>
      </c>
      <c r="Y195">
        <f t="shared" si="64"/>
        <v>0.56688442587079113</v>
      </c>
      <c r="Z195">
        <f t="shared" si="65"/>
        <v>2.6474532223999998</v>
      </c>
    </row>
    <row r="196" spans="1:26" hidden="1">
      <c r="A196">
        <v>15</v>
      </c>
      <c r="B196">
        <v>4</v>
      </c>
      <c r="C196" s="1">
        <v>7</v>
      </c>
      <c r="D196">
        <f t="shared" si="44"/>
        <v>560</v>
      </c>
      <c r="E196">
        <f t="shared" si="45"/>
        <v>280</v>
      </c>
      <c r="F196">
        <f t="shared" si="46"/>
        <v>28.14</v>
      </c>
      <c r="G196">
        <f t="shared" si="47"/>
        <v>0.18375</v>
      </c>
      <c r="H196">
        <f t="shared" si="48"/>
        <v>123.48</v>
      </c>
      <c r="I196">
        <f t="shared" si="49"/>
        <v>441</v>
      </c>
      <c r="J196">
        <f t="shared" si="50"/>
        <v>315</v>
      </c>
      <c r="K196">
        <f t="shared" si="51"/>
        <v>88.2</v>
      </c>
      <c r="L196">
        <f t="shared" si="52"/>
        <v>6.7914000000000003</v>
      </c>
      <c r="M196">
        <f t="shared" si="53"/>
        <v>6.5268000000000006</v>
      </c>
      <c r="N196">
        <f t="shared" si="54"/>
        <v>5.2038000000000002</v>
      </c>
      <c r="O196">
        <f t="shared" si="55"/>
        <v>4.7939294117647062</v>
      </c>
      <c r="P196">
        <f t="shared" si="56"/>
        <v>3.6285097192224618</v>
      </c>
      <c r="Q196">
        <f t="shared" si="57"/>
        <v>63</v>
      </c>
      <c r="R196">
        <f t="shared" si="58"/>
        <v>420</v>
      </c>
      <c r="S196">
        <f t="shared" si="59"/>
        <v>263.55</v>
      </c>
      <c r="T196">
        <f t="shared" si="60"/>
        <v>51.449999999999996</v>
      </c>
      <c r="U196">
        <f>I196*E196/'[1]Inverter Analysis'!$L$2</f>
        <v>295.89557443354835</v>
      </c>
      <c r="V196">
        <f t="shared" si="61"/>
        <v>253.96825396825398</v>
      </c>
      <c r="W196">
        <f t="shared" si="62"/>
        <v>303.54771390627963</v>
      </c>
      <c r="X196">
        <f t="shared" si="63"/>
        <v>181.40589569160997</v>
      </c>
      <c r="Y196">
        <f t="shared" si="64"/>
        <v>0.64498850232410021</v>
      </c>
      <c r="Z196">
        <f t="shared" si="65"/>
        <v>2.181434234765625</v>
      </c>
    </row>
    <row r="197" spans="1:26">
      <c r="A197">
        <v>14</v>
      </c>
      <c r="B197">
        <v>4</v>
      </c>
      <c r="C197" s="1">
        <v>7</v>
      </c>
      <c r="D197">
        <f t="shared" si="44"/>
        <v>560</v>
      </c>
      <c r="E197">
        <f t="shared" si="45"/>
        <v>280</v>
      </c>
      <c r="F197">
        <f t="shared" si="46"/>
        <v>26.263999999999999</v>
      </c>
      <c r="G197">
        <f t="shared" si="47"/>
        <v>0.17150000000000001</v>
      </c>
      <c r="H197">
        <f t="shared" si="48"/>
        <v>115.248</v>
      </c>
      <c r="I197">
        <f t="shared" si="49"/>
        <v>411.6</v>
      </c>
      <c r="J197">
        <f t="shared" si="50"/>
        <v>294</v>
      </c>
      <c r="K197">
        <f t="shared" si="51"/>
        <v>82.32</v>
      </c>
      <c r="L197">
        <f t="shared" si="52"/>
        <v>6.3386400000000007</v>
      </c>
      <c r="M197">
        <f t="shared" si="53"/>
        <v>6.0916800000000002</v>
      </c>
      <c r="N197">
        <f t="shared" si="54"/>
        <v>4.8568800000000003</v>
      </c>
      <c r="O197">
        <f t="shared" si="55"/>
        <v>4.4743341176470599</v>
      </c>
      <c r="P197">
        <f t="shared" si="56"/>
        <v>3.386609071274298</v>
      </c>
      <c r="Q197">
        <f t="shared" si="57"/>
        <v>58.800000000000004</v>
      </c>
      <c r="R197">
        <f t="shared" si="58"/>
        <v>392</v>
      </c>
      <c r="S197">
        <f t="shared" si="59"/>
        <v>245.98</v>
      </c>
      <c r="T197">
        <f t="shared" si="60"/>
        <v>48.02</v>
      </c>
      <c r="U197">
        <f>I197*E197/'[1]Inverter Analysis'!$L$2</f>
        <v>276.16920280464512</v>
      </c>
      <c r="V197">
        <f t="shared" si="61"/>
        <v>272.10884353741494</v>
      </c>
      <c r="W197">
        <f t="shared" si="62"/>
        <v>325.22969347101395</v>
      </c>
      <c r="X197">
        <f t="shared" si="63"/>
        <v>194.36345966958211</v>
      </c>
      <c r="Y197">
        <f t="shared" si="64"/>
        <v>0.74042047460674776</v>
      </c>
      <c r="Z197">
        <f t="shared" si="65"/>
        <v>1.7735868267249997</v>
      </c>
    </row>
    <row r="198" spans="1:26">
      <c r="A198">
        <v>13</v>
      </c>
      <c r="B198">
        <v>4</v>
      </c>
      <c r="C198" s="1">
        <v>7</v>
      </c>
      <c r="D198">
        <f t="shared" si="44"/>
        <v>560</v>
      </c>
      <c r="E198">
        <f t="shared" si="45"/>
        <v>280</v>
      </c>
      <c r="F198">
        <f t="shared" si="46"/>
        <v>24.388000000000002</v>
      </c>
      <c r="G198">
        <f t="shared" si="47"/>
        <v>0.15925</v>
      </c>
      <c r="H198">
        <f t="shared" si="48"/>
        <v>107.01600000000001</v>
      </c>
      <c r="I198">
        <f t="shared" si="49"/>
        <v>382.2</v>
      </c>
      <c r="J198">
        <f t="shared" si="50"/>
        <v>273</v>
      </c>
      <c r="K198">
        <f t="shared" si="51"/>
        <v>76.44</v>
      </c>
      <c r="L198">
        <f t="shared" si="52"/>
        <v>5.8858800000000002</v>
      </c>
      <c r="M198">
        <f t="shared" si="53"/>
        <v>5.6565600000000007</v>
      </c>
      <c r="N198">
        <f t="shared" si="54"/>
        <v>4.5099600000000004</v>
      </c>
      <c r="O198">
        <f t="shared" si="55"/>
        <v>4.1547388235294118</v>
      </c>
      <c r="P198">
        <f t="shared" si="56"/>
        <v>3.1447084233261338</v>
      </c>
      <c r="Q198">
        <f t="shared" si="57"/>
        <v>54.6</v>
      </c>
      <c r="R198">
        <f t="shared" si="58"/>
        <v>364</v>
      </c>
      <c r="S198">
        <f t="shared" si="59"/>
        <v>228.41</v>
      </c>
      <c r="T198">
        <f t="shared" si="60"/>
        <v>44.59</v>
      </c>
      <c r="U198">
        <f>I198*E198/'[1]Inverter Analysis'!$L$2</f>
        <v>256.4428311757419</v>
      </c>
      <c r="V198">
        <f t="shared" si="61"/>
        <v>293.04029304029302</v>
      </c>
      <c r="W198">
        <f t="shared" si="62"/>
        <v>350.24736219955344</v>
      </c>
      <c r="X198">
        <f t="shared" si="63"/>
        <v>209.31449502878075</v>
      </c>
      <c r="Y198">
        <f t="shared" si="64"/>
        <v>0.85871250309421621</v>
      </c>
      <c r="Z198">
        <f t="shared" si="65"/>
        <v>1.4200328929718751</v>
      </c>
    </row>
    <row r="199" spans="1:26">
      <c r="A199">
        <v>12</v>
      </c>
      <c r="B199">
        <v>4</v>
      </c>
      <c r="C199" s="1">
        <v>7</v>
      </c>
      <c r="D199">
        <f t="shared" ref="D199:D227" si="66">B199*$J$3</f>
        <v>560</v>
      </c>
      <c r="E199">
        <f t="shared" ref="E199:E227" si="67">B199*$I$3</f>
        <v>280</v>
      </c>
      <c r="F199">
        <f t="shared" ref="F199:F227" si="68">A199*B199*C199*$Q$3/1000</f>
        <v>22.512</v>
      </c>
      <c r="G199">
        <f t="shared" ref="G199:G227" si="69">((B199*$R$3^(-1))^(-1))*A199*C199</f>
        <v>0.14700000000000002</v>
      </c>
      <c r="H199">
        <f t="shared" ref="H199:H227" si="70">E199*I199/1000</f>
        <v>98.784000000000006</v>
      </c>
      <c r="I199">
        <f t="shared" ref="I199:I227" si="71">A199*C199*4.2</f>
        <v>352.8</v>
      </c>
      <c r="J199">
        <f t="shared" ref="J199:J227" si="72">C199*A199*$K$3</f>
        <v>252</v>
      </c>
      <c r="K199">
        <f t="shared" ref="K199:K227" si="73">E199*J199/1000</f>
        <v>70.56</v>
      </c>
      <c r="L199">
        <f t="shared" ref="L199:L227" si="74">$N$3/1000*I199*B199/1000</f>
        <v>5.4331199999999997</v>
      </c>
      <c r="M199">
        <f t="shared" ref="M199:M227" si="75">$O$3/1000*I199*B199/1000</f>
        <v>5.2214400000000003</v>
      </c>
      <c r="N199">
        <f t="shared" ref="N199:N227" si="76">$P$3/1000*I199*B199/1000</f>
        <v>4.1630399999999996</v>
      </c>
      <c r="O199">
        <f t="shared" ref="O199:O227" si="77">L199*(($L$3-$K$3)/($L$3-$M$3))</f>
        <v>3.8351435294117646</v>
      </c>
      <c r="P199">
        <f t="shared" ref="P199:P227" si="78">$H$3/1000*B199*I199/277.8/C199</f>
        <v>2.9028077753779695</v>
      </c>
      <c r="Q199">
        <f t="shared" ref="Q199:Q227" si="79">I199/C199</f>
        <v>50.4</v>
      </c>
      <c r="R199">
        <f t="shared" ref="R199:R227" si="80">(A199*B199*C199)</f>
        <v>336</v>
      </c>
      <c r="S199">
        <f t="shared" ref="S199:S227" si="81">J199-(G199*E199)</f>
        <v>210.84</v>
      </c>
      <c r="T199">
        <f t="shared" ref="T199:T227" si="82">G199*E199</f>
        <v>41.160000000000004</v>
      </c>
      <c r="U199">
        <f>I199*E199/'[1]Inverter Analysis'!$L$2</f>
        <v>236.71645954683868</v>
      </c>
      <c r="V199">
        <f t="shared" ref="V199:V227" si="83">80000/J199</f>
        <v>317.46031746031747</v>
      </c>
      <c r="W199">
        <f t="shared" ref="W199:W227" si="84">80000/S199</f>
        <v>379.43464238284957</v>
      </c>
      <c r="X199">
        <f t="shared" ref="X199:X227" si="85">80000/I199</f>
        <v>226.75736961451247</v>
      </c>
      <c r="Y199">
        <f t="shared" ref="Y199:Y227" si="86">(MAX(V199:X199)^2)*$R$3/1000</f>
        <v>1.0077945348814066</v>
      </c>
      <c r="Z199">
        <f t="shared" ref="Z199:Z227" si="87">($S$3*F199/(Y199*1000))*10</f>
        <v>1.1168943282000001</v>
      </c>
    </row>
    <row r="200" spans="1:26" hidden="1">
      <c r="A200">
        <v>11</v>
      </c>
      <c r="B200">
        <v>4</v>
      </c>
      <c r="C200" s="1">
        <v>7</v>
      </c>
      <c r="D200">
        <f t="shared" si="66"/>
        <v>560</v>
      </c>
      <c r="E200">
        <f t="shared" si="67"/>
        <v>280</v>
      </c>
      <c r="F200">
        <f t="shared" si="68"/>
        <v>20.635999999999999</v>
      </c>
      <c r="G200">
        <f t="shared" si="69"/>
        <v>0.13475000000000001</v>
      </c>
      <c r="H200">
        <f t="shared" si="70"/>
        <v>90.552000000000021</v>
      </c>
      <c r="I200">
        <f t="shared" si="71"/>
        <v>323.40000000000003</v>
      </c>
      <c r="J200">
        <f t="shared" si="72"/>
        <v>231</v>
      </c>
      <c r="K200">
        <f t="shared" si="73"/>
        <v>64.680000000000007</v>
      </c>
      <c r="L200">
        <f t="shared" si="74"/>
        <v>4.980360000000001</v>
      </c>
      <c r="M200">
        <f t="shared" si="75"/>
        <v>4.7863200000000008</v>
      </c>
      <c r="N200">
        <f t="shared" si="76"/>
        <v>3.8161200000000006</v>
      </c>
      <c r="O200">
        <f t="shared" si="77"/>
        <v>3.5155482352941188</v>
      </c>
      <c r="P200">
        <f t="shared" si="78"/>
        <v>2.6609071274298057</v>
      </c>
      <c r="Q200">
        <f t="shared" si="79"/>
        <v>46.2</v>
      </c>
      <c r="R200">
        <f t="shared" si="80"/>
        <v>308</v>
      </c>
      <c r="S200">
        <f t="shared" si="81"/>
        <v>193.26999999999998</v>
      </c>
      <c r="T200">
        <f t="shared" si="82"/>
        <v>37.730000000000004</v>
      </c>
      <c r="U200">
        <f>I200*E200/'[1]Inverter Analysis'!$L$2</f>
        <v>216.99008791793548</v>
      </c>
      <c r="V200">
        <f t="shared" si="83"/>
        <v>346.32034632034635</v>
      </c>
      <c r="W200">
        <f t="shared" si="84"/>
        <v>413.92870078129044</v>
      </c>
      <c r="X200">
        <f t="shared" si="85"/>
        <v>247.37167594310449</v>
      </c>
      <c r="Y200">
        <f t="shared" si="86"/>
        <v>1.1993587853134096</v>
      </c>
      <c r="Z200">
        <f t="shared" si="87"/>
        <v>0.86029302710312494</v>
      </c>
    </row>
    <row r="201" spans="1:26" hidden="1">
      <c r="A201">
        <v>10</v>
      </c>
      <c r="B201">
        <v>4</v>
      </c>
      <c r="C201" s="1">
        <v>7</v>
      </c>
      <c r="D201">
        <f t="shared" si="66"/>
        <v>560</v>
      </c>
      <c r="E201">
        <f t="shared" si="67"/>
        <v>280</v>
      </c>
      <c r="F201">
        <f t="shared" si="68"/>
        <v>18.760000000000002</v>
      </c>
      <c r="G201">
        <f t="shared" si="69"/>
        <v>0.12250000000000001</v>
      </c>
      <c r="H201">
        <f t="shared" si="70"/>
        <v>82.32</v>
      </c>
      <c r="I201">
        <f t="shared" si="71"/>
        <v>294</v>
      </c>
      <c r="J201">
        <f t="shared" si="72"/>
        <v>210</v>
      </c>
      <c r="K201">
        <f t="shared" si="73"/>
        <v>58.8</v>
      </c>
      <c r="L201">
        <f t="shared" si="74"/>
        <v>4.5276000000000005</v>
      </c>
      <c r="M201">
        <f t="shared" si="75"/>
        <v>4.3511999999999995</v>
      </c>
      <c r="N201">
        <f t="shared" si="76"/>
        <v>3.4692000000000003</v>
      </c>
      <c r="O201">
        <f t="shared" si="77"/>
        <v>3.1959529411764711</v>
      </c>
      <c r="P201">
        <f t="shared" si="78"/>
        <v>2.4190064794816415</v>
      </c>
      <c r="Q201">
        <f t="shared" si="79"/>
        <v>42</v>
      </c>
      <c r="R201">
        <f t="shared" si="80"/>
        <v>280</v>
      </c>
      <c r="S201">
        <f t="shared" si="81"/>
        <v>175.7</v>
      </c>
      <c r="T201">
        <f t="shared" si="82"/>
        <v>34.300000000000004</v>
      </c>
      <c r="U201">
        <f>I201*E201/'[1]Inverter Analysis'!$L$2</f>
        <v>197.26371628903223</v>
      </c>
      <c r="V201">
        <f t="shared" si="83"/>
        <v>380.95238095238096</v>
      </c>
      <c r="W201">
        <f t="shared" si="84"/>
        <v>455.32157085941947</v>
      </c>
      <c r="X201">
        <f t="shared" si="85"/>
        <v>272.10884353741494</v>
      </c>
      <c r="Y201">
        <f t="shared" si="86"/>
        <v>1.4512241302292255</v>
      </c>
      <c r="Z201">
        <f t="shared" si="87"/>
        <v>0.64635088437499999</v>
      </c>
    </row>
    <row r="202" spans="1:26" hidden="1">
      <c r="A202">
        <v>16</v>
      </c>
      <c r="B202">
        <v>3</v>
      </c>
      <c r="C202" s="1">
        <v>7</v>
      </c>
      <c r="D202">
        <f t="shared" si="66"/>
        <v>420</v>
      </c>
      <c r="E202">
        <f t="shared" si="67"/>
        <v>210</v>
      </c>
      <c r="F202">
        <f t="shared" si="68"/>
        <v>22.512</v>
      </c>
      <c r="G202">
        <f t="shared" si="69"/>
        <v>0.26133333333333336</v>
      </c>
      <c r="H202">
        <f t="shared" si="70"/>
        <v>98.784000000000006</v>
      </c>
      <c r="I202">
        <f t="shared" si="71"/>
        <v>470.40000000000003</v>
      </c>
      <c r="J202">
        <f t="shared" si="72"/>
        <v>336</v>
      </c>
      <c r="K202">
        <f t="shared" si="73"/>
        <v>70.56</v>
      </c>
      <c r="L202">
        <f t="shared" si="74"/>
        <v>5.4331200000000006</v>
      </c>
      <c r="M202">
        <f t="shared" si="75"/>
        <v>5.2214400000000003</v>
      </c>
      <c r="N202">
        <f t="shared" si="76"/>
        <v>4.1630400000000005</v>
      </c>
      <c r="O202">
        <f t="shared" si="77"/>
        <v>3.8351435294117655</v>
      </c>
      <c r="P202">
        <f t="shared" si="78"/>
        <v>2.9028077753779695</v>
      </c>
      <c r="Q202">
        <f t="shared" si="79"/>
        <v>67.2</v>
      </c>
      <c r="R202">
        <f t="shared" si="80"/>
        <v>336</v>
      </c>
      <c r="S202">
        <f t="shared" si="81"/>
        <v>281.12</v>
      </c>
      <c r="T202">
        <f t="shared" si="82"/>
        <v>54.88</v>
      </c>
      <c r="U202">
        <f>I202*E202/'[1]Inverter Analysis'!$L$2</f>
        <v>236.71645954683868</v>
      </c>
      <c r="V202">
        <f t="shared" si="83"/>
        <v>238.0952380952381</v>
      </c>
      <c r="W202">
        <f t="shared" si="84"/>
        <v>284.57598178713715</v>
      </c>
      <c r="X202">
        <f t="shared" si="85"/>
        <v>170.06802721088434</v>
      </c>
      <c r="Y202">
        <f t="shared" si="86"/>
        <v>0.56688442587079113</v>
      </c>
      <c r="Z202">
        <f t="shared" si="87"/>
        <v>1.9855899168000002</v>
      </c>
    </row>
    <row r="203" spans="1:26" hidden="1">
      <c r="A203">
        <v>15</v>
      </c>
      <c r="B203">
        <v>3</v>
      </c>
      <c r="C203" s="1">
        <v>7</v>
      </c>
      <c r="D203">
        <f t="shared" si="66"/>
        <v>420</v>
      </c>
      <c r="E203">
        <f t="shared" si="67"/>
        <v>210</v>
      </c>
      <c r="F203">
        <f t="shared" si="68"/>
        <v>21.105</v>
      </c>
      <c r="G203">
        <f t="shared" si="69"/>
        <v>0.24500000000000002</v>
      </c>
      <c r="H203">
        <f t="shared" si="70"/>
        <v>92.61</v>
      </c>
      <c r="I203">
        <f t="shared" si="71"/>
        <v>441</v>
      </c>
      <c r="J203">
        <f t="shared" si="72"/>
        <v>315</v>
      </c>
      <c r="K203">
        <f t="shared" si="73"/>
        <v>66.150000000000006</v>
      </c>
      <c r="L203">
        <f t="shared" si="74"/>
        <v>5.0935500000000005</v>
      </c>
      <c r="M203">
        <f t="shared" si="75"/>
        <v>4.8951000000000002</v>
      </c>
      <c r="N203">
        <f t="shared" si="76"/>
        <v>3.9028500000000004</v>
      </c>
      <c r="O203">
        <f t="shared" si="77"/>
        <v>3.5954470588235301</v>
      </c>
      <c r="P203">
        <f t="shared" si="78"/>
        <v>2.7213822894168467</v>
      </c>
      <c r="Q203">
        <f t="shared" si="79"/>
        <v>63</v>
      </c>
      <c r="R203">
        <f t="shared" si="80"/>
        <v>315</v>
      </c>
      <c r="S203">
        <f t="shared" si="81"/>
        <v>263.55</v>
      </c>
      <c r="T203">
        <f t="shared" si="82"/>
        <v>51.45</v>
      </c>
      <c r="U203">
        <f>I203*E203/'[1]Inverter Analysis'!$L$2</f>
        <v>221.92168082516125</v>
      </c>
      <c r="V203">
        <f t="shared" si="83"/>
        <v>253.96825396825398</v>
      </c>
      <c r="W203">
        <f t="shared" si="84"/>
        <v>303.54771390627963</v>
      </c>
      <c r="X203">
        <f t="shared" si="85"/>
        <v>181.40589569160997</v>
      </c>
      <c r="Y203">
        <f t="shared" si="86"/>
        <v>0.64498850232410021</v>
      </c>
      <c r="Z203">
        <f t="shared" si="87"/>
        <v>1.6360756760742188</v>
      </c>
    </row>
    <row r="204" spans="1:26">
      <c r="A204">
        <v>14</v>
      </c>
      <c r="B204">
        <v>3</v>
      </c>
      <c r="C204" s="1">
        <v>7</v>
      </c>
      <c r="D204">
        <f t="shared" si="66"/>
        <v>420</v>
      </c>
      <c r="E204">
        <f t="shared" si="67"/>
        <v>210</v>
      </c>
      <c r="F204">
        <f t="shared" si="68"/>
        <v>19.698</v>
      </c>
      <c r="G204">
        <f t="shared" si="69"/>
        <v>0.22866666666666668</v>
      </c>
      <c r="H204">
        <f t="shared" si="70"/>
        <v>86.436000000000007</v>
      </c>
      <c r="I204">
        <f t="shared" si="71"/>
        <v>411.6</v>
      </c>
      <c r="J204">
        <f t="shared" si="72"/>
        <v>294</v>
      </c>
      <c r="K204">
        <f t="shared" si="73"/>
        <v>61.74</v>
      </c>
      <c r="L204">
        <f t="shared" si="74"/>
        <v>4.7539800000000003</v>
      </c>
      <c r="M204">
        <f t="shared" si="75"/>
        <v>4.5687600000000002</v>
      </c>
      <c r="N204">
        <f t="shared" si="76"/>
        <v>3.6426599999999998</v>
      </c>
      <c r="O204">
        <f t="shared" si="77"/>
        <v>3.3557505882352947</v>
      </c>
      <c r="P204">
        <f t="shared" si="78"/>
        <v>2.5399568034557238</v>
      </c>
      <c r="Q204">
        <f t="shared" si="79"/>
        <v>58.800000000000004</v>
      </c>
      <c r="R204">
        <f t="shared" si="80"/>
        <v>294</v>
      </c>
      <c r="S204">
        <f t="shared" si="81"/>
        <v>245.98</v>
      </c>
      <c r="T204">
        <f t="shared" si="82"/>
        <v>48.02</v>
      </c>
      <c r="U204">
        <f>I204*E204/'[1]Inverter Analysis'!$L$2</f>
        <v>207.12690210348384</v>
      </c>
      <c r="V204">
        <f t="shared" si="83"/>
        <v>272.10884353741494</v>
      </c>
      <c r="W204">
        <f t="shared" si="84"/>
        <v>325.22969347101395</v>
      </c>
      <c r="X204">
        <f t="shared" si="85"/>
        <v>194.36345966958211</v>
      </c>
      <c r="Y204">
        <f t="shared" si="86"/>
        <v>0.74042047460674776</v>
      </c>
      <c r="Z204">
        <f t="shared" si="87"/>
        <v>1.33019012004375</v>
      </c>
    </row>
    <row r="205" spans="1:26">
      <c r="A205">
        <v>13</v>
      </c>
      <c r="B205">
        <v>3</v>
      </c>
      <c r="C205" s="1">
        <v>7</v>
      </c>
      <c r="D205">
        <f t="shared" si="66"/>
        <v>420</v>
      </c>
      <c r="E205">
        <f t="shared" si="67"/>
        <v>210</v>
      </c>
      <c r="F205">
        <f t="shared" si="68"/>
        <v>18.291</v>
      </c>
      <c r="G205">
        <f t="shared" si="69"/>
        <v>0.21233333333333337</v>
      </c>
      <c r="H205">
        <f t="shared" si="70"/>
        <v>80.262</v>
      </c>
      <c r="I205">
        <f t="shared" si="71"/>
        <v>382.2</v>
      </c>
      <c r="J205">
        <f t="shared" si="72"/>
        <v>273</v>
      </c>
      <c r="K205">
        <f t="shared" si="73"/>
        <v>57.33</v>
      </c>
      <c r="L205">
        <f t="shared" si="74"/>
        <v>4.4144100000000002</v>
      </c>
      <c r="M205">
        <f t="shared" si="75"/>
        <v>4.2424200000000001</v>
      </c>
      <c r="N205">
        <f t="shared" si="76"/>
        <v>3.3824700000000001</v>
      </c>
      <c r="O205">
        <f t="shared" si="77"/>
        <v>3.1160541176470593</v>
      </c>
      <c r="P205">
        <f t="shared" si="78"/>
        <v>2.3585313174946001</v>
      </c>
      <c r="Q205">
        <f t="shared" si="79"/>
        <v>54.6</v>
      </c>
      <c r="R205">
        <f t="shared" si="80"/>
        <v>273</v>
      </c>
      <c r="S205">
        <f t="shared" si="81"/>
        <v>228.41</v>
      </c>
      <c r="T205">
        <f t="shared" si="82"/>
        <v>44.590000000000011</v>
      </c>
      <c r="U205">
        <f>I205*E205/'[1]Inverter Analysis'!$L$2</f>
        <v>192.33212338180641</v>
      </c>
      <c r="V205">
        <f t="shared" si="83"/>
        <v>293.04029304029302</v>
      </c>
      <c r="W205">
        <f t="shared" si="84"/>
        <v>350.24736219955344</v>
      </c>
      <c r="X205">
        <f t="shared" si="85"/>
        <v>209.31449502878075</v>
      </c>
      <c r="Y205">
        <f t="shared" si="86"/>
        <v>0.85871250309421621</v>
      </c>
      <c r="Z205">
        <f t="shared" si="87"/>
        <v>1.0650246697289063</v>
      </c>
    </row>
    <row r="206" spans="1:26" hidden="1">
      <c r="A206">
        <v>12</v>
      </c>
      <c r="B206">
        <v>3</v>
      </c>
      <c r="C206" s="1">
        <v>7</v>
      </c>
      <c r="D206">
        <f t="shared" si="66"/>
        <v>420</v>
      </c>
      <c r="E206">
        <f t="shared" si="67"/>
        <v>210</v>
      </c>
      <c r="F206">
        <f t="shared" si="68"/>
        <v>16.884</v>
      </c>
      <c r="G206">
        <f t="shared" si="69"/>
        <v>0.19600000000000004</v>
      </c>
      <c r="H206">
        <f t="shared" si="70"/>
        <v>74.087999999999994</v>
      </c>
      <c r="I206">
        <f t="shared" si="71"/>
        <v>352.8</v>
      </c>
      <c r="J206">
        <f t="shared" si="72"/>
        <v>252</v>
      </c>
      <c r="K206">
        <f t="shared" si="73"/>
        <v>52.92</v>
      </c>
      <c r="L206">
        <f t="shared" si="74"/>
        <v>4.07484</v>
      </c>
      <c r="M206">
        <f t="shared" si="75"/>
        <v>3.9160800000000004</v>
      </c>
      <c r="N206">
        <f t="shared" si="76"/>
        <v>3.1222799999999999</v>
      </c>
      <c r="O206">
        <f t="shared" si="77"/>
        <v>2.8763576470588239</v>
      </c>
      <c r="P206">
        <f t="shared" si="78"/>
        <v>2.1771058315334773</v>
      </c>
      <c r="Q206">
        <f t="shared" si="79"/>
        <v>50.4</v>
      </c>
      <c r="R206">
        <f t="shared" si="80"/>
        <v>252</v>
      </c>
      <c r="S206">
        <f t="shared" si="81"/>
        <v>210.83999999999997</v>
      </c>
      <c r="T206">
        <f t="shared" si="82"/>
        <v>41.160000000000011</v>
      </c>
      <c r="U206">
        <f>I206*E206/'[1]Inverter Analysis'!$L$2</f>
        <v>177.53734466012901</v>
      </c>
      <c r="V206">
        <f t="shared" si="83"/>
        <v>317.46031746031747</v>
      </c>
      <c r="W206">
        <f t="shared" si="84"/>
        <v>379.43464238284957</v>
      </c>
      <c r="X206">
        <f t="shared" si="85"/>
        <v>226.75736961451247</v>
      </c>
      <c r="Y206">
        <f t="shared" si="86"/>
        <v>1.0077945348814066</v>
      </c>
      <c r="Z206">
        <f t="shared" si="87"/>
        <v>0.83767074614999992</v>
      </c>
    </row>
    <row r="207" spans="1:26" hidden="1">
      <c r="A207">
        <v>11</v>
      </c>
      <c r="B207">
        <v>3</v>
      </c>
      <c r="C207" s="1">
        <v>7</v>
      </c>
      <c r="D207">
        <f t="shared" si="66"/>
        <v>420</v>
      </c>
      <c r="E207">
        <f t="shared" si="67"/>
        <v>210</v>
      </c>
      <c r="F207">
        <f t="shared" si="68"/>
        <v>15.477</v>
      </c>
      <c r="G207">
        <f t="shared" si="69"/>
        <v>0.17966666666666667</v>
      </c>
      <c r="H207">
        <f t="shared" si="70"/>
        <v>67.914000000000001</v>
      </c>
      <c r="I207">
        <f t="shared" si="71"/>
        <v>323.40000000000003</v>
      </c>
      <c r="J207">
        <f t="shared" si="72"/>
        <v>231</v>
      </c>
      <c r="K207">
        <f t="shared" si="73"/>
        <v>48.51</v>
      </c>
      <c r="L207">
        <f t="shared" si="74"/>
        <v>3.7352700000000003</v>
      </c>
      <c r="M207">
        <f t="shared" si="75"/>
        <v>3.5897400000000008</v>
      </c>
      <c r="N207">
        <f t="shared" si="76"/>
        <v>2.8620900000000007</v>
      </c>
      <c r="O207">
        <f t="shared" si="77"/>
        <v>2.6366611764705885</v>
      </c>
      <c r="P207">
        <f t="shared" si="78"/>
        <v>1.9956803455723544</v>
      </c>
      <c r="Q207">
        <f t="shared" si="79"/>
        <v>46.2</v>
      </c>
      <c r="R207">
        <f t="shared" si="80"/>
        <v>231</v>
      </c>
      <c r="S207">
        <f t="shared" si="81"/>
        <v>193.26999999999998</v>
      </c>
      <c r="T207">
        <f t="shared" si="82"/>
        <v>37.730000000000004</v>
      </c>
      <c r="U207">
        <f>I207*E207/'[1]Inverter Analysis'!$L$2</f>
        <v>162.74256593845158</v>
      </c>
      <c r="V207">
        <f t="shared" si="83"/>
        <v>346.32034632034635</v>
      </c>
      <c r="W207">
        <f t="shared" si="84"/>
        <v>413.92870078129044</v>
      </c>
      <c r="X207">
        <f t="shared" si="85"/>
        <v>247.37167594310449</v>
      </c>
      <c r="Y207">
        <f t="shared" si="86"/>
        <v>1.1993587853134096</v>
      </c>
      <c r="Z207">
        <f t="shared" si="87"/>
        <v>0.64521977032734379</v>
      </c>
    </row>
    <row r="208" spans="1:26" hidden="1">
      <c r="A208">
        <v>10</v>
      </c>
      <c r="B208">
        <v>3</v>
      </c>
      <c r="C208" s="1">
        <v>7</v>
      </c>
      <c r="D208">
        <f t="shared" si="66"/>
        <v>420</v>
      </c>
      <c r="E208">
        <f t="shared" si="67"/>
        <v>210</v>
      </c>
      <c r="F208">
        <f t="shared" si="68"/>
        <v>14.07</v>
      </c>
      <c r="G208">
        <f t="shared" si="69"/>
        <v>0.16333333333333333</v>
      </c>
      <c r="H208">
        <f t="shared" si="70"/>
        <v>61.74</v>
      </c>
      <c r="I208">
        <f t="shared" si="71"/>
        <v>294</v>
      </c>
      <c r="J208">
        <f t="shared" si="72"/>
        <v>210</v>
      </c>
      <c r="K208">
        <f t="shared" si="73"/>
        <v>44.1</v>
      </c>
      <c r="L208">
        <f t="shared" si="74"/>
        <v>3.3957000000000002</v>
      </c>
      <c r="M208">
        <f t="shared" si="75"/>
        <v>3.2633999999999999</v>
      </c>
      <c r="N208">
        <f t="shared" si="76"/>
        <v>2.6019000000000001</v>
      </c>
      <c r="O208">
        <f t="shared" si="77"/>
        <v>2.3969647058823531</v>
      </c>
      <c r="P208">
        <f t="shared" si="78"/>
        <v>1.8142548596112309</v>
      </c>
      <c r="Q208">
        <f t="shared" si="79"/>
        <v>42</v>
      </c>
      <c r="R208">
        <f t="shared" si="80"/>
        <v>210</v>
      </c>
      <c r="S208">
        <f t="shared" si="81"/>
        <v>175.7</v>
      </c>
      <c r="T208">
        <f t="shared" si="82"/>
        <v>34.299999999999997</v>
      </c>
      <c r="U208">
        <f>I208*E208/'[1]Inverter Analysis'!$L$2</f>
        <v>147.94778721677417</v>
      </c>
      <c r="V208">
        <f t="shared" si="83"/>
        <v>380.95238095238096</v>
      </c>
      <c r="W208">
        <f t="shared" si="84"/>
        <v>455.32157085941947</v>
      </c>
      <c r="X208">
        <f t="shared" si="85"/>
        <v>272.10884353741494</v>
      </c>
      <c r="Y208">
        <f t="shared" si="86"/>
        <v>1.4512241302292255</v>
      </c>
      <c r="Z208">
        <f t="shared" si="87"/>
        <v>0.48476316328124991</v>
      </c>
    </row>
    <row r="209" spans="1:26" hidden="1">
      <c r="A209">
        <v>16</v>
      </c>
      <c r="B209">
        <v>2</v>
      </c>
      <c r="C209" s="1">
        <v>7</v>
      </c>
      <c r="D209">
        <f t="shared" si="66"/>
        <v>280</v>
      </c>
      <c r="E209">
        <f t="shared" si="67"/>
        <v>140</v>
      </c>
      <c r="F209">
        <f t="shared" si="68"/>
        <v>15.007999999999999</v>
      </c>
      <c r="G209">
        <f t="shared" si="69"/>
        <v>0.39200000000000002</v>
      </c>
      <c r="H209">
        <f t="shared" si="70"/>
        <v>65.855999999999995</v>
      </c>
      <c r="I209">
        <f t="shared" si="71"/>
        <v>470.40000000000003</v>
      </c>
      <c r="J209">
        <f t="shared" si="72"/>
        <v>336</v>
      </c>
      <c r="K209">
        <f t="shared" si="73"/>
        <v>47.04</v>
      </c>
      <c r="L209">
        <f t="shared" si="74"/>
        <v>3.6220800000000004</v>
      </c>
      <c r="M209">
        <f t="shared" si="75"/>
        <v>3.4809600000000005</v>
      </c>
      <c r="N209">
        <f t="shared" si="76"/>
        <v>2.7753600000000005</v>
      </c>
      <c r="O209">
        <f t="shared" si="77"/>
        <v>2.5567623529411767</v>
      </c>
      <c r="P209">
        <f t="shared" si="78"/>
        <v>1.9352051835853132</v>
      </c>
      <c r="Q209">
        <f t="shared" si="79"/>
        <v>67.2</v>
      </c>
      <c r="R209">
        <f t="shared" si="80"/>
        <v>224</v>
      </c>
      <c r="S209">
        <f t="shared" si="81"/>
        <v>281.12</v>
      </c>
      <c r="T209">
        <f t="shared" si="82"/>
        <v>54.88</v>
      </c>
      <c r="U209">
        <f>I209*E209/'[1]Inverter Analysis'!$L$2</f>
        <v>157.81097303122579</v>
      </c>
      <c r="V209">
        <f t="shared" si="83"/>
        <v>238.0952380952381</v>
      </c>
      <c r="W209">
        <f t="shared" si="84"/>
        <v>284.57598178713715</v>
      </c>
      <c r="X209">
        <f t="shared" si="85"/>
        <v>170.06802721088434</v>
      </c>
      <c r="Y209">
        <f t="shared" si="86"/>
        <v>0.56688442587079113</v>
      </c>
      <c r="Z209">
        <f t="shared" si="87"/>
        <v>1.3237266111999999</v>
      </c>
    </row>
    <row r="210" spans="1:26" hidden="1">
      <c r="A210">
        <v>15</v>
      </c>
      <c r="B210">
        <v>2</v>
      </c>
      <c r="C210" s="1">
        <v>7</v>
      </c>
      <c r="D210">
        <f t="shared" si="66"/>
        <v>280</v>
      </c>
      <c r="E210">
        <f t="shared" si="67"/>
        <v>140</v>
      </c>
      <c r="F210">
        <f t="shared" si="68"/>
        <v>14.07</v>
      </c>
      <c r="G210">
        <f t="shared" si="69"/>
        <v>0.36749999999999999</v>
      </c>
      <c r="H210">
        <f t="shared" si="70"/>
        <v>61.74</v>
      </c>
      <c r="I210">
        <f t="shared" si="71"/>
        <v>441</v>
      </c>
      <c r="J210">
        <f t="shared" si="72"/>
        <v>315</v>
      </c>
      <c r="K210">
        <f t="shared" si="73"/>
        <v>44.1</v>
      </c>
      <c r="L210">
        <f t="shared" si="74"/>
        <v>3.3957000000000002</v>
      </c>
      <c r="M210">
        <f t="shared" si="75"/>
        <v>3.2634000000000003</v>
      </c>
      <c r="N210">
        <f t="shared" si="76"/>
        <v>2.6019000000000001</v>
      </c>
      <c r="O210">
        <f t="shared" si="77"/>
        <v>2.3969647058823531</v>
      </c>
      <c r="P210">
        <f t="shared" si="78"/>
        <v>1.8142548596112309</v>
      </c>
      <c r="Q210">
        <f t="shared" si="79"/>
        <v>63</v>
      </c>
      <c r="R210">
        <f t="shared" si="80"/>
        <v>210</v>
      </c>
      <c r="S210">
        <f t="shared" si="81"/>
        <v>263.55</v>
      </c>
      <c r="T210">
        <f t="shared" si="82"/>
        <v>51.449999999999996</v>
      </c>
      <c r="U210">
        <f>I210*E210/'[1]Inverter Analysis'!$L$2</f>
        <v>147.94778721677417</v>
      </c>
      <c r="V210">
        <f t="shared" si="83"/>
        <v>253.96825396825398</v>
      </c>
      <c r="W210">
        <f t="shared" si="84"/>
        <v>303.54771390627963</v>
      </c>
      <c r="X210">
        <f t="shared" si="85"/>
        <v>181.40589569160997</v>
      </c>
      <c r="Y210">
        <f t="shared" si="86"/>
        <v>0.64498850232410021</v>
      </c>
      <c r="Z210">
        <f t="shared" si="87"/>
        <v>1.0907171173828125</v>
      </c>
    </row>
    <row r="211" spans="1:26" hidden="1">
      <c r="A211">
        <v>14</v>
      </c>
      <c r="B211">
        <v>2</v>
      </c>
      <c r="C211" s="1">
        <v>7</v>
      </c>
      <c r="D211">
        <f t="shared" si="66"/>
        <v>280</v>
      </c>
      <c r="E211">
        <f t="shared" si="67"/>
        <v>140</v>
      </c>
      <c r="F211">
        <f t="shared" si="68"/>
        <v>13.132</v>
      </c>
      <c r="G211">
        <f t="shared" si="69"/>
        <v>0.34300000000000003</v>
      </c>
      <c r="H211">
        <f t="shared" si="70"/>
        <v>57.624000000000002</v>
      </c>
      <c r="I211">
        <f t="shared" si="71"/>
        <v>411.6</v>
      </c>
      <c r="J211">
        <f t="shared" si="72"/>
        <v>294</v>
      </c>
      <c r="K211">
        <f t="shared" si="73"/>
        <v>41.16</v>
      </c>
      <c r="L211">
        <f t="shared" si="74"/>
        <v>3.1693200000000004</v>
      </c>
      <c r="M211">
        <f t="shared" si="75"/>
        <v>3.0458400000000001</v>
      </c>
      <c r="N211">
        <f t="shared" si="76"/>
        <v>2.4284400000000002</v>
      </c>
      <c r="O211">
        <f t="shared" si="77"/>
        <v>2.23716705882353</v>
      </c>
      <c r="P211">
        <f t="shared" si="78"/>
        <v>1.693304535637149</v>
      </c>
      <c r="Q211">
        <f t="shared" si="79"/>
        <v>58.800000000000004</v>
      </c>
      <c r="R211">
        <f t="shared" si="80"/>
        <v>196</v>
      </c>
      <c r="S211">
        <f t="shared" si="81"/>
        <v>245.98</v>
      </c>
      <c r="T211">
        <f t="shared" si="82"/>
        <v>48.02</v>
      </c>
      <c r="U211">
        <f>I211*E211/'[1]Inverter Analysis'!$L$2</f>
        <v>138.08460140232256</v>
      </c>
      <c r="V211">
        <f t="shared" si="83"/>
        <v>272.10884353741494</v>
      </c>
      <c r="W211">
        <f t="shared" si="84"/>
        <v>325.22969347101395</v>
      </c>
      <c r="X211">
        <f t="shared" si="85"/>
        <v>194.36345966958211</v>
      </c>
      <c r="Y211">
        <f t="shared" si="86"/>
        <v>0.74042047460674776</v>
      </c>
      <c r="Z211">
        <f t="shared" si="87"/>
        <v>0.88679341336249984</v>
      </c>
    </row>
    <row r="212" spans="1:26" hidden="1">
      <c r="A212">
        <v>13</v>
      </c>
      <c r="B212">
        <v>2</v>
      </c>
      <c r="C212" s="1">
        <v>7</v>
      </c>
      <c r="D212">
        <f t="shared" si="66"/>
        <v>280</v>
      </c>
      <c r="E212">
        <f t="shared" si="67"/>
        <v>140</v>
      </c>
      <c r="F212">
        <f t="shared" si="68"/>
        <v>12.194000000000001</v>
      </c>
      <c r="G212">
        <f t="shared" si="69"/>
        <v>0.31850000000000001</v>
      </c>
      <c r="H212">
        <f t="shared" si="70"/>
        <v>53.508000000000003</v>
      </c>
      <c r="I212">
        <f t="shared" si="71"/>
        <v>382.2</v>
      </c>
      <c r="J212">
        <f t="shared" si="72"/>
        <v>273</v>
      </c>
      <c r="K212">
        <f t="shared" si="73"/>
        <v>38.22</v>
      </c>
      <c r="L212">
        <f t="shared" si="74"/>
        <v>2.9429400000000001</v>
      </c>
      <c r="M212">
        <f t="shared" si="75"/>
        <v>2.8282800000000003</v>
      </c>
      <c r="N212">
        <f t="shared" si="76"/>
        <v>2.2549800000000002</v>
      </c>
      <c r="O212">
        <f t="shared" si="77"/>
        <v>2.0773694117647059</v>
      </c>
      <c r="P212">
        <f t="shared" si="78"/>
        <v>1.5723542116630669</v>
      </c>
      <c r="Q212">
        <f t="shared" si="79"/>
        <v>54.6</v>
      </c>
      <c r="R212">
        <f t="shared" si="80"/>
        <v>182</v>
      </c>
      <c r="S212">
        <f t="shared" si="81"/>
        <v>228.41</v>
      </c>
      <c r="T212">
        <f t="shared" si="82"/>
        <v>44.59</v>
      </c>
      <c r="U212">
        <f>I212*E212/'[1]Inverter Analysis'!$L$2</f>
        <v>128.22141558787095</v>
      </c>
      <c r="V212">
        <f t="shared" si="83"/>
        <v>293.04029304029302</v>
      </c>
      <c r="W212">
        <f t="shared" si="84"/>
        <v>350.24736219955344</v>
      </c>
      <c r="X212">
        <f t="shared" si="85"/>
        <v>209.31449502878075</v>
      </c>
      <c r="Y212">
        <f t="shared" si="86"/>
        <v>0.85871250309421621</v>
      </c>
      <c r="Z212">
        <f t="shared" si="87"/>
        <v>0.71001644648593754</v>
      </c>
    </row>
    <row r="213" spans="1:26" hidden="1">
      <c r="A213">
        <v>12</v>
      </c>
      <c r="B213">
        <v>2</v>
      </c>
      <c r="C213" s="1">
        <v>7</v>
      </c>
      <c r="D213">
        <f t="shared" si="66"/>
        <v>280</v>
      </c>
      <c r="E213">
        <f t="shared" si="67"/>
        <v>140</v>
      </c>
      <c r="F213">
        <f t="shared" si="68"/>
        <v>11.256</v>
      </c>
      <c r="G213">
        <f t="shared" si="69"/>
        <v>0.29400000000000004</v>
      </c>
      <c r="H213">
        <f t="shared" si="70"/>
        <v>49.392000000000003</v>
      </c>
      <c r="I213">
        <f t="shared" si="71"/>
        <v>352.8</v>
      </c>
      <c r="J213">
        <f t="shared" si="72"/>
        <v>252</v>
      </c>
      <c r="K213">
        <f t="shared" si="73"/>
        <v>35.28</v>
      </c>
      <c r="L213">
        <f t="shared" si="74"/>
        <v>2.7165599999999999</v>
      </c>
      <c r="M213">
        <f t="shared" si="75"/>
        <v>2.6107200000000002</v>
      </c>
      <c r="N213">
        <f t="shared" si="76"/>
        <v>2.0815199999999998</v>
      </c>
      <c r="O213">
        <f t="shared" si="77"/>
        <v>1.9175717647058823</v>
      </c>
      <c r="P213">
        <f t="shared" si="78"/>
        <v>1.4514038876889848</v>
      </c>
      <c r="Q213">
        <f t="shared" si="79"/>
        <v>50.4</v>
      </c>
      <c r="R213">
        <f t="shared" si="80"/>
        <v>168</v>
      </c>
      <c r="S213">
        <f t="shared" si="81"/>
        <v>210.84</v>
      </c>
      <c r="T213">
        <f t="shared" si="82"/>
        <v>41.160000000000004</v>
      </c>
      <c r="U213">
        <f>I213*E213/'[1]Inverter Analysis'!$L$2</f>
        <v>118.35822977341934</v>
      </c>
      <c r="V213">
        <f t="shared" si="83"/>
        <v>317.46031746031747</v>
      </c>
      <c r="W213">
        <f t="shared" si="84"/>
        <v>379.43464238284957</v>
      </c>
      <c r="X213">
        <f t="shared" si="85"/>
        <v>226.75736961451247</v>
      </c>
      <c r="Y213">
        <f t="shared" si="86"/>
        <v>1.0077945348814066</v>
      </c>
      <c r="Z213">
        <f t="shared" si="87"/>
        <v>0.55844716410000006</v>
      </c>
    </row>
    <row r="214" spans="1:26" hidden="1">
      <c r="A214">
        <v>11</v>
      </c>
      <c r="B214">
        <v>2</v>
      </c>
      <c r="C214" s="1">
        <v>7</v>
      </c>
      <c r="D214">
        <f t="shared" si="66"/>
        <v>280</v>
      </c>
      <c r="E214">
        <f t="shared" si="67"/>
        <v>140</v>
      </c>
      <c r="F214">
        <f t="shared" si="68"/>
        <v>10.318</v>
      </c>
      <c r="G214">
        <f t="shared" si="69"/>
        <v>0.26950000000000002</v>
      </c>
      <c r="H214">
        <f t="shared" si="70"/>
        <v>45.27600000000001</v>
      </c>
      <c r="I214">
        <f t="shared" si="71"/>
        <v>323.40000000000003</v>
      </c>
      <c r="J214">
        <f t="shared" si="72"/>
        <v>231</v>
      </c>
      <c r="K214">
        <f t="shared" si="73"/>
        <v>32.340000000000003</v>
      </c>
      <c r="L214">
        <f t="shared" si="74"/>
        <v>2.4901800000000005</v>
      </c>
      <c r="M214">
        <f t="shared" si="75"/>
        <v>2.3931600000000004</v>
      </c>
      <c r="N214">
        <f t="shared" si="76"/>
        <v>1.9080600000000003</v>
      </c>
      <c r="O214">
        <f t="shared" si="77"/>
        <v>1.7577741176470594</v>
      </c>
      <c r="P214">
        <f t="shared" si="78"/>
        <v>1.3304535637149029</v>
      </c>
      <c r="Q214">
        <f t="shared" si="79"/>
        <v>46.2</v>
      </c>
      <c r="R214">
        <f t="shared" si="80"/>
        <v>154</v>
      </c>
      <c r="S214">
        <f t="shared" si="81"/>
        <v>193.26999999999998</v>
      </c>
      <c r="T214">
        <f t="shared" si="82"/>
        <v>37.730000000000004</v>
      </c>
      <c r="U214">
        <f>I214*E214/'[1]Inverter Analysis'!$L$2</f>
        <v>108.49504395896774</v>
      </c>
      <c r="V214">
        <f t="shared" si="83"/>
        <v>346.32034632034635</v>
      </c>
      <c r="W214">
        <f t="shared" si="84"/>
        <v>413.92870078129044</v>
      </c>
      <c r="X214">
        <f t="shared" si="85"/>
        <v>247.37167594310449</v>
      </c>
      <c r="Y214">
        <f t="shared" si="86"/>
        <v>1.1993587853134096</v>
      </c>
      <c r="Z214">
        <f t="shared" si="87"/>
        <v>0.43014651355156247</v>
      </c>
    </row>
    <row r="215" spans="1:26" hidden="1">
      <c r="A215">
        <v>10</v>
      </c>
      <c r="B215">
        <v>2</v>
      </c>
      <c r="C215" s="1">
        <v>7</v>
      </c>
      <c r="D215">
        <f t="shared" si="66"/>
        <v>280</v>
      </c>
      <c r="E215">
        <f t="shared" si="67"/>
        <v>140</v>
      </c>
      <c r="F215">
        <f t="shared" si="68"/>
        <v>9.3800000000000008</v>
      </c>
      <c r="G215">
        <f t="shared" si="69"/>
        <v>0.24500000000000002</v>
      </c>
      <c r="H215">
        <f t="shared" si="70"/>
        <v>41.16</v>
      </c>
      <c r="I215">
        <f t="shared" si="71"/>
        <v>294</v>
      </c>
      <c r="J215">
        <f t="shared" si="72"/>
        <v>210</v>
      </c>
      <c r="K215">
        <f t="shared" si="73"/>
        <v>29.4</v>
      </c>
      <c r="L215">
        <f t="shared" si="74"/>
        <v>2.2638000000000003</v>
      </c>
      <c r="M215">
        <f t="shared" si="75"/>
        <v>2.1755999999999998</v>
      </c>
      <c r="N215">
        <f t="shared" si="76"/>
        <v>1.7346000000000001</v>
      </c>
      <c r="O215">
        <f t="shared" si="77"/>
        <v>1.5979764705882356</v>
      </c>
      <c r="P215">
        <f t="shared" si="78"/>
        <v>1.2095032397408207</v>
      </c>
      <c r="Q215">
        <f t="shared" si="79"/>
        <v>42</v>
      </c>
      <c r="R215">
        <f t="shared" si="80"/>
        <v>140</v>
      </c>
      <c r="S215">
        <f t="shared" si="81"/>
        <v>175.7</v>
      </c>
      <c r="T215">
        <f t="shared" si="82"/>
        <v>34.300000000000004</v>
      </c>
      <c r="U215">
        <f>I215*E215/'[1]Inverter Analysis'!$L$2</f>
        <v>98.631858144516116</v>
      </c>
      <c r="V215">
        <f t="shared" si="83"/>
        <v>380.95238095238096</v>
      </c>
      <c r="W215">
        <f t="shared" si="84"/>
        <v>455.32157085941947</v>
      </c>
      <c r="X215">
        <f t="shared" si="85"/>
        <v>272.10884353741494</v>
      </c>
      <c r="Y215">
        <f t="shared" si="86"/>
        <v>1.4512241302292255</v>
      </c>
      <c r="Z215">
        <f t="shared" si="87"/>
        <v>0.32317544218749999</v>
      </c>
    </row>
    <row r="216" spans="1:26" hidden="1">
      <c r="A216" s="8">
        <v>16</v>
      </c>
      <c r="B216" s="1">
        <v>6</v>
      </c>
      <c r="C216">
        <v>6</v>
      </c>
      <c r="D216">
        <f t="shared" si="66"/>
        <v>840</v>
      </c>
      <c r="E216">
        <f t="shared" si="67"/>
        <v>420</v>
      </c>
      <c r="F216">
        <f t="shared" si="68"/>
        <v>38.591999999999999</v>
      </c>
      <c r="G216">
        <f t="shared" si="69"/>
        <v>0.11200000000000002</v>
      </c>
      <c r="H216">
        <f t="shared" si="70"/>
        <v>169.34400000000002</v>
      </c>
      <c r="I216">
        <f t="shared" si="71"/>
        <v>403.20000000000005</v>
      </c>
      <c r="J216">
        <f t="shared" si="72"/>
        <v>288</v>
      </c>
      <c r="K216">
        <f t="shared" si="73"/>
        <v>120.96</v>
      </c>
      <c r="L216">
        <f t="shared" si="74"/>
        <v>9.3139200000000013</v>
      </c>
      <c r="M216">
        <f t="shared" si="75"/>
        <v>8.9510400000000008</v>
      </c>
      <c r="N216">
        <f t="shared" si="76"/>
        <v>7.1366400000000016</v>
      </c>
      <c r="O216">
        <f t="shared" si="77"/>
        <v>6.5745317647058839</v>
      </c>
      <c r="P216">
        <f t="shared" si="78"/>
        <v>5.8056155507559408</v>
      </c>
      <c r="Q216">
        <f t="shared" si="79"/>
        <v>67.2</v>
      </c>
      <c r="R216">
        <f t="shared" si="80"/>
        <v>576</v>
      </c>
      <c r="S216">
        <f t="shared" si="81"/>
        <v>240.95999999999998</v>
      </c>
      <c r="T216">
        <f t="shared" si="82"/>
        <v>47.040000000000006</v>
      </c>
      <c r="U216">
        <f>I216*E216/'[1]Inverter Analysis'!$L$2</f>
        <v>405.79964493743779</v>
      </c>
      <c r="V216">
        <f t="shared" si="83"/>
        <v>277.77777777777777</v>
      </c>
      <c r="W216">
        <f t="shared" si="84"/>
        <v>332.00531208499336</v>
      </c>
      <c r="X216">
        <f t="shared" si="85"/>
        <v>198.4126984126984</v>
      </c>
      <c r="Y216">
        <f t="shared" si="86"/>
        <v>0.77159269076857695</v>
      </c>
      <c r="Z216">
        <f t="shared" si="87"/>
        <v>2.5008012946285705</v>
      </c>
    </row>
    <row r="217" spans="1:26" hidden="1">
      <c r="A217" s="8">
        <v>15</v>
      </c>
      <c r="B217" s="1">
        <v>6</v>
      </c>
      <c r="C217">
        <v>6</v>
      </c>
      <c r="D217">
        <f t="shared" si="66"/>
        <v>840</v>
      </c>
      <c r="E217">
        <f t="shared" si="67"/>
        <v>420</v>
      </c>
      <c r="F217">
        <f t="shared" si="68"/>
        <v>36.18</v>
      </c>
      <c r="G217">
        <f t="shared" si="69"/>
        <v>0.10500000000000001</v>
      </c>
      <c r="H217">
        <f t="shared" si="70"/>
        <v>158.76</v>
      </c>
      <c r="I217">
        <f t="shared" si="71"/>
        <v>378</v>
      </c>
      <c r="J217">
        <f t="shared" si="72"/>
        <v>270</v>
      </c>
      <c r="K217">
        <f t="shared" si="73"/>
        <v>113.4</v>
      </c>
      <c r="L217">
        <f t="shared" si="74"/>
        <v>8.7317999999999998</v>
      </c>
      <c r="M217">
        <f t="shared" si="75"/>
        <v>8.3916000000000004</v>
      </c>
      <c r="N217">
        <f t="shared" si="76"/>
        <v>6.6906000000000008</v>
      </c>
      <c r="O217">
        <f t="shared" si="77"/>
        <v>6.1636235294117654</v>
      </c>
      <c r="P217">
        <f t="shared" si="78"/>
        <v>5.4427645788336934</v>
      </c>
      <c r="Q217">
        <f t="shared" si="79"/>
        <v>63</v>
      </c>
      <c r="R217">
        <f t="shared" si="80"/>
        <v>540</v>
      </c>
      <c r="S217">
        <f t="shared" si="81"/>
        <v>225.9</v>
      </c>
      <c r="T217">
        <f t="shared" si="82"/>
        <v>44.1</v>
      </c>
      <c r="U217">
        <f>I217*E217/'[1]Inverter Analysis'!$L$2</f>
        <v>380.43716712884788</v>
      </c>
      <c r="V217">
        <f t="shared" si="83"/>
        <v>296.2962962962963</v>
      </c>
      <c r="W217">
        <f t="shared" si="84"/>
        <v>354.13899955732626</v>
      </c>
      <c r="X217">
        <f t="shared" si="85"/>
        <v>211.64021164021165</v>
      </c>
      <c r="Y217">
        <f t="shared" si="86"/>
        <v>0.87790101705224743</v>
      </c>
      <c r="Z217">
        <f t="shared" si="87"/>
        <v>2.0605967698660717</v>
      </c>
    </row>
    <row r="218" spans="1:26" hidden="1">
      <c r="A218">
        <v>14</v>
      </c>
      <c r="B218" s="1">
        <v>6</v>
      </c>
      <c r="C218">
        <v>6</v>
      </c>
      <c r="D218">
        <f t="shared" si="66"/>
        <v>840</v>
      </c>
      <c r="E218">
        <f t="shared" si="67"/>
        <v>420</v>
      </c>
      <c r="F218">
        <f t="shared" si="68"/>
        <v>33.768000000000001</v>
      </c>
      <c r="G218">
        <f t="shared" si="69"/>
        <v>9.8000000000000004E-2</v>
      </c>
      <c r="H218">
        <f t="shared" si="70"/>
        <v>148.17599999999999</v>
      </c>
      <c r="I218">
        <f t="shared" si="71"/>
        <v>352.8</v>
      </c>
      <c r="J218">
        <f t="shared" si="72"/>
        <v>252</v>
      </c>
      <c r="K218">
        <f t="shared" si="73"/>
        <v>105.84</v>
      </c>
      <c r="L218">
        <f t="shared" si="74"/>
        <v>8.14968</v>
      </c>
      <c r="M218">
        <f t="shared" si="75"/>
        <v>7.8321600000000009</v>
      </c>
      <c r="N218">
        <f t="shared" si="76"/>
        <v>6.2445599999999999</v>
      </c>
      <c r="O218">
        <f t="shared" si="77"/>
        <v>5.7527152941176478</v>
      </c>
      <c r="P218">
        <f t="shared" si="78"/>
        <v>5.0799136069114477</v>
      </c>
      <c r="Q218">
        <f t="shared" si="79"/>
        <v>58.800000000000004</v>
      </c>
      <c r="R218">
        <f t="shared" si="80"/>
        <v>504</v>
      </c>
      <c r="S218">
        <f t="shared" si="81"/>
        <v>210.84</v>
      </c>
      <c r="T218">
        <f t="shared" si="82"/>
        <v>41.160000000000004</v>
      </c>
      <c r="U218">
        <f>I218*E218/'[1]Inverter Analysis'!$L$2</f>
        <v>355.07468932025802</v>
      </c>
      <c r="V218">
        <f t="shared" si="83"/>
        <v>317.46031746031747</v>
      </c>
      <c r="W218">
        <f t="shared" si="84"/>
        <v>379.43464238284957</v>
      </c>
      <c r="X218">
        <f t="shared" si="85"/>
        <v>226.75736961451247</v>
      </c>
      <c r="Y218">
        <f t="shared" si="86"/>
        <v>1.0077945348814066</v>
      </c>
      <c r="Z218">
        <f t="shared" si="87"/>
        <v>1.6753414922999998</v>
      </c>
    </row>
    <row r="219" spans="1:26" hidden="1">
      <c r="A219">
        <v>13</v>
      </c>
      <c r="B219" s="1">
        <v>6</v>
      </c>
      <c r="C219">
        <v>6</v>
      </c>
      <c r="D219">
        <f t="shared" si="66"/>
        <v>840</v>
      </c>
      <c r="E219">
        <f t="shared" si="67"/>
        <v>420</v>
      </c>
      <c r="F219">
        <f t="shared" si="68"/>
        <v>31.356000000000002</v>
      </c>
      <c r="G219">
        <f t="shared" si="69"/>
        <v>9.1000000000000011E-2</v>
      </c>
      <c r="H219">
        <f t="shared" si="70"/>
        <v>137.59200000000001</v>
      </c>
      <c r="I219">
        <f t="shared" si="71"/>
        <v>327.60000000000002</v>
      </c>
      <c r="J219">
        <f t="shared" si="72"/>
        <v>234</v>
      </c>
      <c r="K219">
        <f t="shared" si="73"/>
        <v>98.28</v>
      </c>
      <c r="L219">
        <f t="shared" si="74"/>
        <v>7.5675600000000012</v>
      </c>
      <c r="M219">
        <f t="shared" si="75"/>
        <v>7.2727200000000014</v>
      </c>
      <c r="N219">
        <f t="shared" si="76"/>
        <v>5.7985200000000008</v>
      </c>
      <c r="O219">
        <f t="shared" si="77"/>
        <v>5.3418070588235302</v>
      </c>
      <c r="P219">
        <f t="shared" si="78"/>
        <v>4.7170626349892011</v>
      </c>
      <c r="Q219">
        <f t="shared" si="79"/>
        <v>54.6</v>
      </c>
      <c r="R219">
        <f t="shared" si="80"/>
        <v>468</v>
      </c>
      <c r="S219">
        <f t="shared" si="81"/>
        <v>195.78</v>
      </c>
      <c r="T219">
        <f t="shared" si="82"/>
        <v>38.220000000000006</v>
      </c>
      <c r="U219">
        <f>I219*E219/'[1]Inverter Analysis'!$L$2</f>
        <v>329.71221151166816</v>
      </c>
      <c r="V219">
        <f t="shared" si="83"/>
        <v>341.88034188034186</v>
      </c>
      <c r="W219">
        <f t="shared" si="84"/>
        <v>408.62192256614566</v>
      </c>
      <c r="X219">
        <f t="shared" si="85"/>
        <v>244.20024420024419</v>
      </c>
      <c r="Y219">
        <f t="shared" si="86"/>
        <v>1.1688031292115719</v>
      </c>
      <c r="Z219">
        <f t="shared" si="87"/>
        <v>1.3413721787839286</v>
      </c>
    </row>
    <row r="220" spans="1:26" hidden="1">
      <c r="A220">
        <v>12</v>
      </c>
      <c r="B220" s="1">
        <v>6</v>
      </c>
      <c r="C220">
        <v>6</v>
      </c>
      <c r="D220">
        <f t="shared" si="66"/>
        <v>840</v>
      </c>
      <c r="E220">
        <f t="shared" si="67"/>
        <v>420</v>
      </c>
      <c r="F220">
        <f t="shared" si="68"/>
        <v>28.943999999999999</v>
      </c>
      <c r="G220">
        <f t="shared" si="69"/>
        <v>8.4000000000000019E-2</v>
      </c>
      <c r="H220">
        <f t="shared" si="70"/>
        <v>127.00800000000001</v>
      </c>
      <c r="I220">
        <f t="shared" si="71"/>
        <v>302.40000000000003</v>
      </c>
      <c r="J220">
        <f t="shared" si="72"/>
        <v>216</v>
      </c>
      <c r="K220">
        <f t="shared" si="73"/>
        <v>90.72</v>
      </c>
      <c r="L220">
        <f t="shared" si="74"/>
        <v>6.9854400000000014</v>
      </c>
      <c r="M220">
        <f t="shared" si="75"/>
        <v>6.713280000000001</v>
      </c>
      <c r="N220">
        <f t="shared" si="76"/>
        <v>5.3524800000000017</v>
      </c>
      <c r="O220">
        <f t="shared" si="77"/>
        <v>4.9308988235294127</v>
      </c>
      <c r="P220">
        <f t="shared" si="78"/>
        <v>4.3542116630669545</v>
      </c>
      <c r="Q220">
        <f t="shared" si="79"/>
        <v>50.400000000000006</v>
      </c>
      <c r="R220">
        <f t="shared" si="80"/>
        <v>432</v>
      </c>
      <c r="S220">
        <f t="shared" si="81"/>
        <v>180.72</v>
      </c>
      <c r="T220">
        <f t="shared" si="82"/>
        <v>35.280000000000008</v>
      </c>
      <c r="U220">
        <f>I220*E220/'[1]Inverter Analysis'!$L$2</f>
        <v>304.3497337030783</v>
      </c>
      <c r="V220">
        <f t="shared" si="83"/>
        <v>370.37037037037038</v>
      </c>
      <c r="W220">
        <f t="shared" si="84"/>
        <v>442.67374944665784</v>
      </c>
      <c r="X220">
        <f t="shared" si="85"/>
        <v>264.5502645502645</v>
      </c>
      <c r="Y220">
        <f t="shared" si="86"/>
        <v>1.3717203391441366</v>
      </c>
      <c r="Z220">
        <f t="shared" si="87"/>
        <v>1.0550255461714284</v>
      </c>
    </row>
    <row r="221" spans="1:26" hidden="1">
      <c r="A221">
        <v>11</v>
      </c>
      <c r="B221" s="1">
        <v>6</v>
      </c>
      <c r="C221">
        <v>6</v>
      </c>
      <c r="D221">
        <f t="shared" si="66"/>
        <v>840</v>
      </c>
      <c r="E221">
        <f t="shared" si="67"/>
        <v>420</v>
      </c>
      <c r="F221">
        <f t="shared" si="68"/>
        <v>26.532</v>
      </c>
      <c r="G221">
        <f t="shared" si="69"/>
        <v>7.6999999999999999E-2</v>
      </c>
      <c r="H221">
        <f t="shared" si="70"/>
        <v>116.42400000000001</v>
      </c>
      <c r="I221">
        <f t="shared" si="71"/>
        <v>277.2</v>
      </c>
      <c r="J221">
        <f t="shared" si="72"/>
        <v>198</v>
      </c>
      <c r="K221">
        <f t="shared" si="73"/>
        <v>83.16</v>
      </c>
      <c r="L221">
        <f t="shared" si="74"/>
        <v>6.4033199999999999</v>
      </c>
      <c r="M221">
        <f t="shared" si="75"/>
        <v>6.1538399999999998</v>
      </c>
      <c r="N221">
        <f t="shared" si="76"/>
        <v>4.9064400000000008</v>
      </c>
      <c r="O221">
        <f t="shared" si="77"/>
        <v>4.5199905882352942</v>
      </c>
      <c r="P221">
        <f t="shared" si="78"/>
        <v>3.9913606911447079</v>
      </c>
      <c r="Q221">
        <f t="shared" si="79"/>
        <v>46.199999999999996</v>
      </c>
      <c r="R221">
        <f t="shared" si="80"/>
        <v>396</v>
      </c>
      <c r="S221">
        <f t="shared" si="81"/>
        <v>165.66</v>
      </c>
      <c r="T221">
        <f t="shared" si="82"/>
        <v>32.339999999999996</v>
      </c>
      <c r="U221">
        <f>I221*E221/'[1]Inverter Analysis'!$L$2</f>
        <v>278.98725589448844</v>
      </c>
      <c r="V221">
        <f t="shared" si="83"/>
        <v>404.04040404040404</v>
      </c>
      <c r="W221">
        <f t="shared" si="84"/>
        <v>482.91681757817219</v>
      </c>
      <c r="X221">
        <f t="shared" si="85"/>
        <v>288.60028860028859</v>
      </c>
      <c r="Y221">
        <f t="shared" si="86"/>
        <v>1.6324605688988074</v>
      </c>
      <c r="Z221">
        <f t="shared" si="87"/>
        <v>0.81263831131607134</v>
      </c>
    </row>
    <row r="222" spans="1:26" hidden="1">
      <c r="A222">
        <v>10</v>
      </c>
      <c r="B222" s="1">
        <v>6</v>
      </c>
      <c r="C222">
        <v>6</v>
      </c>
      <c r="D222">
        <f t="shared" si="66"/>
        <v>840</v>
      </c>
      <c r="E222">
        <f t="shared" si="67"/>
        <v>420</v>
      </c>
      <c r="F222">
        <f t="shared" si="68"/>
        <v>24.12</v>
      </c>
      <c r="G222">
        <f t="shared" si="69"/>
        <v>7.0000000000000007E-2</v>
      </c>
      <c r="H222">
        <f t="shared" si="70"/>
        <v>105.84</v>
      </c>
      <c r="I222">
        <f t="shared" si="71"/>
        <v>252</v>
      </c>
      <c r="J222">
        <f t="shared" si="72"/>
        <v>180</v>
      </c>
      <c r="K222">
        <f t="shared" si="73"/>
        <v>75.599999999999994</v>
      </c>
      <c r="L222">
        <f t="shared" si="74"/>
        <v>5.821200000000001</v>
      </c>
      <c r="M222">
        <f t="shared" si="75"/>
        <v>5.5944000000000003</v>
      </c>
      <c r="N222">
        <f t="shared" si="76"/>
        <v>4.4604000000000008</v>
      </c>
      <c r="O222">
        <f t="shared" si="77"/>
        <v>4.1090823529411775</v>
      </c>
      <c r="P222">
        <f t="shared" si="78"/>
        <v>3.6285097192224622</v>
      </c>
      <c r="Q222">
        <f t="shared" si="79"/>
        <v>42</v>
      </c>
      <c r="R222">
        <f t="shared" si="80"/>
        <v>360</v>
      </c>
      <c r="S222">
        <f t="shared" si="81"/>
        <v>150.6</v>
      </c>
      <c r="T222">
        <f t="shared" si="82"/>
        <v>29.400000000000002</v>
      </c>
      <c r="U222">
        <f>I222*E222/'[1]Inverter Analysis'!$L$2</f>
        <v>253.62477808589858</v>
      </c>
      <c r="V222">
        <f t="shared" si="83"/>
        <v>444.44444444444446</v>
      </c>
      <c r="W222">
        <f t="shared" si="84"/>
        <v>531.20849933598936</v>
      </c>
      <c r="X222">
        <f t="shared" si="85"/>
        <v>317.46031746031747</v>
      </c>
      <c r="Y222">
        <f t="shared" si="86"/>
        <v>1.9752772883675569</v>
      </c>
      <c r="Z222">
        <f t="shared" si="87"/>
        <v>0.61054719107142863</v>
      </c>
    </row>
    <row r="223" spans="1:26" hidden="1">
      <c r="A223" s="8">
        <v>16</v>
      </c>
      <c r="B223" s="9">
        <v>5</v>
      </c>
      <c r="C223">
        <v>6</v>
      </c>
      <c r="D223">
        <f t="shared" si="66"/>
        <v>700</v>
      </c>
      <c r="E223">
        <f t="shared" si="67"/>
        <v>350</v>
      </c>
      <c r="F223">
        <f t="shared" si="68"/>
        <v>32.159999999999997</v>
      </c>
      <c r="G223">
        <f t="shared" si="69"/>
        <v>0.13439999999999999</v>
      </c>
      <c r="H223">
        <f t="shared" si="70"/>
        <v>141.12000000000003</v>
      </c>
      <c r="I223">
        <f t="shared" si="71"/>
        <v>403.20000000000005</v>
      </c>
      <c r="J223">
        <f t="shared" si="72"/>
        <v>288</v>
      </c>
      <c r="K223">
        <f t="shared" si="73"/>
        <v>100.8</v>
      </c>
      <c r="L223">
        <f t="shared" si="74"/>
        <v>7.7616000000000005</v>
      </c>
      <c r="M223">
        <f t="shared" si="75"/>
        <v>7.4592000000000009</v>
      </c>
      <c r="N223">
        <f t="shared" si="76"/>
        <v>5.9472000000000014</v>
      </c>
      <c r="O223">
        <f t="shared" si="77"/>
        <v>5.4787764705882358</v>
      </c>
      <c r="P223">
        <f t="shared" si="78"/>
        <v>4.8380129589632839</v>
      </c>
      <c r="Q223">
        <f t="shared" si="79"/>
        <v>67.2</v>
      </c>
      <c r="R223">
        <f t="shared" si="80"/>
        <v>480</v>
      </c>
      <c r="S223">
        <f t="shared" si="81"/>
        <v>240.96</v>
      </c>
      <c r="T223">
        <f t="shared" si="82"/>
        <v>47.04</v>
      </c>
      <c r="U223">
        <f>I223*E223/'[1]Inverter Analysis'!$L$2</f>
        <v>338.16637078119817</v>
      </c>
      <c r="V223">
        <f t="shared" si="83"/>
        <v>277.77777777777777</v>
      </c>
      <c r="W223">
        <f t="shared" si="84"/>
        <v>332.00531208499336</v>
      </c>
      <c r="X223">
        <f t="shared" si="85"/>
        <v>198.4126984126984</v>
      </c>
      <c r="Y223">
        <f t="shared" si="86"/>
        <v>0.77159269076857695</v>
      </c>
      <c r="Z223">
        <f t="shared" si="87"/>
        <v>2.0840010788571424</v>
      </c>
    </row>
    <row r="224" spans="1:26" hidden="1">
      <c r="A224" s="8">
        <v>15</v>
      </c>
      <c r="B224" s="9">
        <v>5</v>
      </c>
      <c r="C224">
        <v>6</v>
      </c>
      <c r="D224">
        <f t="shared" si="66"/>
        <v>700</v>
      </c>
      <c r="E224">
        <f t="shared" si="67"/>
        <v>350</v>
      </c>
      <c r="F224">
        <f t="shared" si="68"/>
        <v>30.15</v>
      </c>
      <c r="G224">
        <f t="shared" si="69"/>
        <v>0.126</v>
      </c>
      <c r="H224">
        <f t="shared" si="70"/>
        <v>132.30000000000001</v>
      </c>
      <c r="I224">
        <f t="shared" si="71"/>
        <v>378</v>
      </c>
      <c r="J224">
        <f t="shared" si="72"/>
        <v>270</v>
      </c>
      <c r="K224">
        <f t="shared" si="73"/>
        <v>94.5</v>
      </c>
      <c r="L224">
        <f t="shared" si="74"/>
        <v>7.2765000000000004</v>
      </c>
      <c r="M224">
        <f t="shared" si="75"/>
        <v>6.9930000000000012</v>
      </c>
      <c r="N224">
        <f t="shared" si="76"/>
        <v>5.5755000000000008</v>
      </c>
      <c r="O224">
        <f t="shared" si="77"/>
        <v>5.1363529411764715</v>
      </c>
      <c r="P224">
        <f t="shared" si="78"/>
        <v>4.5356371490280774</v>
      </c>
      <c r="Q224">
        <f t="shared" si="79"/>
        <v>63</v>
      </c>
      <c r="R224">
        <f t="shared" si="80"/>
        <v>450</v>
      </c>
      <c r="S224">
        <f t="shared" si="81"/>
        <v>225.9</v>
      </c>
      <c r="T224">
        <f t="shared" si="82"/>
        <v>44.1</v>
      </c>
      <c r="U224">
        <f>I224*E224/'[1]Inverter Analysis'!$L$2</f>
        <v>317.0309726073732</v>
      </c>
      <c r="V224">
        <f t="shared" si="83"/>
        <v>296.2962962962963</v>
      </c>
      <c r="W224">
        <f t="shared" si="84"/>
        <v>354.13899955732626</v>
      </c>
      <c r="X224">
        <f t="shared" si="85"/>
        <v>211.64021164021165</v>
      </c>
      <c r="Y224">
        <f t="shared" si="86"/>
        <v>0.87790101705224743</v>
      </c>
      <c r="Z224">
        <f t="shared" si="87"/>
        <v>1.7171639748883929</v>
      </c>
    </row>
    <row r="225" spans="1:26">
      <c r="A225">
        <v>14</v>
      </c>
      <c r="B225" s="9">
        <v>5</v>
      </c>
      <c r="C225">
        <v>6</v>
      </c>
      <c r="D225">
        <f t="shared" si="66"/>
        <v>700</v>
      </c>
      <c r="E225">
        <f t="shared" si="67"/>
        <v>350</v>
      </c>
      <c r="F225">
        <f t="shared" si="68"/>
        <v>28.14</v>
      </c>
      <c r="G225">
        <f t="shared" si="69"/>
        <v>0.1176</v>
      </c>
      <c r="H225">
        <f t="shared" si="70"/>
        <v>123.48</v>
      </c>
      <c r="I225">
        <f t="shared" si="71"/>
        <v>352.8</v>
      </c>
      <c r="J225">
        <f t="shared" si="72"/>
        <v>252</v>
      </c>
      <c r="K225">
        <f t="shared" si="73"/>
        <v>88.2</v>
      </c>
      <c r="L225">
        <f t="shared" si="74"/>
        <v>6.7913999999999994</v>
      </c>
      <c r="M225">
        <f t="shared" si="75"/>
        <v>6.5268000000000015</v>
      </c>
      <c r="N225">
        <f t="shared" si="76"/>
        <v>5.2038000000000002</v>
      </c>
      <c r="O225">
        <f t="shared" si="77"/>
        <v>4.7939294117647062</v>
      </c>
      <c r="P225">
        <f t="shared" si="78"/>
        <v>4.2332613390928726</v>
      </c>
      <c r="Q225">
        <f t="shared" si="79"/>
        <v>58.800000000000004</v>
      </c>
      <c r="R225">
        <f t="shared" si="80"/>
        <v>420</v>
      </c>
      <c r="S225">
        <f t="shared" si="81"/>
        <v>210.84</v>
      </c>
      <c r="T225">
        <f t="shared" si="82"/>
        <v>41.16</v>
      </c>
      <c r="U225">
        <f>I225*E225/'[1]Inverter Analysis'!$L$2</f>
        <v>295.89557443354835</v>
      </c>
      <c r="V225">
        <f t="shared" si="83"/>
        <v>317.46031746031747</v>
      </c>
      <c r="W225">
        <f t="shared" si="84"/>
        <v>379.43464238284957</v>
      </c>
      <c r="X225">
        <f t="shared" si="85"/>
        <v>226.75736961451247</v>
      </c>
      <c r="Y225">
        <f t="shared" si="86"/>
        <v>1.0077945348814066</v>
      </c>
      <c r="Z225">
        <f t="shared" si="87"/>
        <v>1.3961179102499999</v>
      </c>
    </row>
    <row r="226" spans="1:26" hidden="1">
      <c r="A226">
        <v>13</v>
      </c>
      <c r="B226" s="9">
        <v>5</v>
      </c>
      <c r="C226">
        <v>6</v>
      </c>
      <c r="D226">
        <f t="shared" si="66"/>
        <v>700</v>
      </c>
      <c r="E226">
        <f t="shared" si="67"/>
        <v>350</v>
      </c>
      <c r="F226">
        <f t="shared" si="68"/>
        <v>26.13</v>
      </c>
      <c r="G226">
        <f t="shared" si="69"/>
        <v>0.10920000000000001</v>
      </c>
      <c r="H226">
        <f t="shared" si="70"/>
        <v>114.66000000000001</v>
      </c>
      <c r="I226">
        <f t="shared" si="71"/>
        <v>327.60000000000002</v>
      </c>
      <c r="J226">
        <f t="shared" si="72"/>
        <v>234</v>
      </c>
      <c r="K226">
        <f t="shared" si="73"/>
        <v>81.900000000000006</v>
      </c>
      <c r="L226">
        <f t="shared" si="74"/>
        <v>6.3063000000000011</v>
      </c>
      <c r="M226">
        <f t="shared" si="75"/>
        <v>6.0606</v>
      </c>
      <c r="N226">
        <f t="shared" si="76"/>
        <v>4.8321000000000005</v>
      </c>
      <c r="O226">
        <f t="shared" si="77"/>
        <v>4.4515058823529419</v>
      </c>
      <c r="P226">
        <f t="shared" si="78"/>
        <v>3.930885529157667</v>
      </c>
      <c r="Q226">
        <f t="shared" si="79"/>
        <v>54.6</v>
      </c>
      <c r="R226">
        <f t="shared" si="80"/>
        <v>390</v>
      </c>
      <c r="S226">
        <f t="shared" si="81"/>
        <v>195.78</v>
      </c>
      <c r="T226">
        <f t="shared" si="82"/>
        <v>38.22</v>
      </c>
      <c r="U226">
        <f>I226*E226/'[1]Inverter Analysis'!$L$2</f>
        <v>274.76017625972349</v>
      </c>
      <c r="V226">
        <f t="shared" si="83"/>
        <v>341.88034188034186</v>
      </c>
      <c r="W226">
        <f t="shared" si="84"/>
        <v>408.62192256614566</v>
      </c>
      <c r="X226">
        <f t="shared" si="85"/>
        <v>244.20024420024419</v>
      </c>
      <c r="Y226">
        <f t="shared" si="86"/>
        <v>1.1688031292115719</v>
      </c>
      <c r="Z226">
        <f t="shared" si="87"/>
        <v>1.1178101489866072</v>
      </c>
    </row>
    <row r="227" spans="1:26" hidden="1">
      <c r="A227">
        <v>12</v>
      </c>
      <c r="B227" s="9">
        <v>5</v>
      </c>
      <c r="C227">
        <v>6</v>
      </c>
      <c r="D227">
        <f t="shared" si="66"/>
        <v>700</v>
      </c>
      <c r="E227">
        <f t="shared" si="67"/>
        <v>350</v>
      </c>
      <c r="F227">
        <f t="shared" si="68"/>
        <v>24.12</v>
      </c>
      <c r="G227">
        <f t="shared" si="69"/>
        <v>0.1008</v>
      </c>
      <c r="H227">
        <f t="shared" si="70"/>
        <v>105.84000000000002</v>
      </c>
      <c r="I227">
        <f t="shared" si="71"/>
        <v>302.40000000000003</v>
      </c>
      <c r="J227">
        <f t="shared" si="72"/>
        <v>216</v>
      </c>
      <c r="K227">
        <f t="shared" si="73"/>
        <v>75.599999999999994</v>
      </c>
      <c r="L227">
        <f t="shared" si="74"/>
        <v>5.821200000000001</v>
      </c>
      <c r="M227">
        <f t="shared" si="75"/>
        <v>5.5944000000000003</v>
      </c>
      <c r="N227">
        <f t="shared" si="76"/>
        <v>4.4604000000000008</v>
      </c>
      <c r="O227">
        <f t="shared" si="77"/>
        <v>4.1090823529411775</v>
      </c>
      <c r="P227">
        <f t="shared" si="78"/>
        <v>3.6285097192224627</v>
      </c>
      <c r="Q227">
        <f t="shared" si="79"/>
        <v>50.400000000000006</v>
      </c>
      <c r="R227">
        <f t="shared" si="80"/>
        <v>360</v>
      </c>
      <c r="S227">
        <f t="shared" si="81"/>
        <v>180.72</v>
      </c>
      <c r="T227">
        <f t="shared" si="82"/>
        <v>35.28</v>
      </c>
      <c r="U227">
        <f>I227*E227/'[1]Inverter Analysis'!$L$2</f>
        <v>253.62477808589861</v>
      </c>
      <c r="V227">
        <f t="shared" si="83"/>
        <v>370.37037037037038</v>
      </c>
      <c r="W227">
        <f t="shared" si="84"/>
        <v>442.67374944665784</v>
      </c>
      <c r="X227">
        <f t="shared" si="85"/>
        <v>264.5502645502645</v>
      </c>
      <c r="Y227">
        <f t="shared" si="86"/>
        <v>1.3717203391441366</v>
      </c>
      <c r="Z227">
        <f t="shared" si="87"/>
        <v>0.87918795514285719</v>
      </c>
    </row>
    <row r="228" spans="1:26" hidden="1">
      <c r="A228">
        <v>11</v>
      </c>
      <c r="B228" s="9">
        <v>5</v>
      </c>
      <c r="C228">
        <v>6</v>
      </c>
      <c r="D228">
        <f>B228*$J$3</f>
        <v>700</v>
      </c>
      <c r="E228">
        <f>B228*$I$3</f>
        <v>350</v>
      </c>
      <c r="F228">
        <f>A228*B228*C228*$Q$3/1000</f>
        <v>22.11</v>
      </c>
      <c r="G228">
        <f>((B228*$R$3^(-1))^(-1))*A228*C228</f>
        <v>9.240000000000001E-2</v>
      </c>
      <c r="H228">
        <f>E228*I228/1000</f>
        <v>97.02</v>
      </c>
      <c r="I228">
        <f>A228*C228*4.2</f>
        <v>277.2</v>
      </c>
      <c r="J228">
        <f>C228*A228*$K$3</f>
        <v>198</v>
      </c>
      <c r="K228">
        <f>E228*J228/1000</f>
        <v>69.3</v>
      </c>
      <c r="L228">
        <f>$N$3/1000*I228*B228/1000</f>
        <v>5.3361000000000001</v>
      </c>
      <c r="M228">
        <f>$O$3/1000*I228*B228/1000</f>
        <v>5.1282000000000005</v>
      </c>
      <c r="N228">
        <f>$P$3/1000*I228*B228/1000</f>
        <v>4.0887000000000002</v>
      </c>
      <c r="O228">
        <f>L228*(($L$3-$K$3)/($L$3-$M$3))</f>
        <v>3.7666588235294118</v>
      </c>
      <c r="P228">
        <f>$H$3/1000*B228*I228/277.8/C228</f>
        <v>3.3261339092872571</v>
      </c>
      <c r="Q228">
        <f>I228/C228</f>
        <v>46.199999999999996</v>
      </c>
      <c r="R228">
        <f>(A228*B228*C228)</f>
        <v>330</v>
      </c>
      <c r="S228">
        <f>J228-(G228*E228)</f>
        <v>165.66</v>
      </c>
      <c r="T228">
        <f>G228*E228</f>
        <v>32.340000000000003</v>
      </c>
      <c r="U228">
        <f>I228*E228/'[1]Inverter Analysis'!$L$2</f>
        <v>232.4893799120737</v>
      </c>
      <c r="V228">
        <f>80000/J228</f>
        <v>404.04040404040404</v>
      </c>
      <c r="W228">
        <f>80000/S228</f>
        <v>482.91681757817219</v>
      </c>
      <c r="X228">
        <f>80000/I228</f>
        <v>288.60028860028859</v>
      </c>
      <c r="Y228">
        <f>(MAX(V228:X228)^2)*$R$3/1000</f>
        <v>1.6324605688988074</v>
      </c>
      <c r="Z228">
        <f>($S$3*F228/(Y228*1000))*10</f>
        <v>0.67719859276339278</v>
      </c>
    </row>
    <row r="229" spans="1:26" hidden="1">
      <c r="A229">
        <v>10</v>
      </c>
      <c r="B229" s="9">
        <v>5</v>
      </c>
      <c r="C229">
        <v>6</v>
      </c>
      <c r="D229">
        <f t="shared" ref="D229:D250" si="88">B229*$J$3</f>
        <v>700</v>
      </c>
      <c r="E229">
        <f t="shared" ref="E229:E250" si="89">B229*$I$3</f>
        <v>350</v>
      </c>
      <c r="F229">
        <f t="shared" ref="F229:F250" si="90">A229*B229*C229*$Q$3/1000</f>
        <v>20.100000000000001</v>
      </c>
      <c r="G229">
        <f t="shared" ref="G229:G250" si="91">((B229*$R$3^(-1))^(-1))*A229*C229</f>
        <v>8.4000000000000005E-2</v>
      </c>
      <c r="H229">
        <f t="shared" ref="H229:H250" si="92">E229*I229/1000</f>
        <v>88.2</v>
      </c>
      <c r="I229">
        <f t="shared" ref="I229:I250" si="93">A229*C229*4.2</f>
        <v>252</v>
      </c>
      <c r="J229">
        <f t="shared" ref="J229:J250" si="94">C229*A229*$K$3</f>
        <v>180</v>
      </c>
      <c r="K229">
        <f t="shared" ref="K229:K250" si="95">E229*J229/1000</f>
        <v>63</v>
      </c>
      <c r="L229">
        <f t="shared" ref="L229:L250" si="96">$N$3/1000*I229*B229/1000</f>
        <v>4.851</v>
      </c>
      <c r="M229">
        <f t="shared" ref="M229:M250" si="97">$O$3/1000*I229*B229/1000</f>
        <v>4.6619999999999999</v>
      </c>
      <c r="N229">
        <f t="shared" ref="N229:N250" si="98">$P$3/1000*I229*B229/1000</f>
        <v>3.7170000000000005</v>
      </c>
      <c r="O229">
        <f t="shared" ref="O229:O250" si="99">L229*(($L$3-$K$3)/($L$3-$M$3))</f>
        <v>3.424235294117647</v>
      </c>
      <c r="P229">
        <f t="shared" ref="P229:P250" si="100">$H$3/1000*B229*I229/277.8/C229</f>
        <v>3.0237580993520514</v>
      </c>
      <c r="Q229">
        <f t="shared" ref="Q229:Q250" si="101">I229/C229</f>
        <v>42</v>
      </c>
      <c r="R229">
        <f t="shared" ref="R229:R250" si="102">(A229*B229*C229)</f>
        <v>300</v>
      </c>
      <c r="S229">
        <f t="shared" ref="S229:S250" si="103">J229-(G229*E229)</f>
        <v>150.6</v>
      </c>
      <c r="T229">
        <f t="shared" ref="T229:T250" si="104">G229*E229</f>
        <v>29.400000000000002</v>
      </c>
      <c r="U229">
        <f>I229*E229/'[1]Inverter Analysis'!$L$2</f>
        <v>211.35398173824882</v>
      </c>
      <c r="V229">
        <f t="shared" ref="V229:V250" si="105">80000/J229</f>
        <v>444.44444444444446</v>
      </c>
      <c r="W229">
        <f t="shared" ref="W229:W250" si="106">80000/S229</f>
        <v>531.20849933598936</v>
      </c>
      <c r="X229">
        <f t="shared" ref="X229:X250" si="107">80000/I229</f>
        <v>317.46031746031747</v>
      </c>
      <c r="Y229">
        <f t="shared" ref="Y229:Y250" si="108">(MAX(V229:X229)^2)*$R$3/1000</f>
        <v>1.9752772883675569</v>
      </c>
      <c r="Z229">
        <f t="shared" ref="Z229:Z250" si="109">($S$3*F229/(Y229*1000))*10</f>
        <v>0.50878932589285708</v>
      </c>
    </row>
    <row r="230" spans="1:26">
      <c r="A230">
        <v>16</v>
      </c>
      <c r="B230">
        <v>4</v>
      </c>
      <c r="C230">
        <v>6</v>
      </c>
      <c r="D230">
        <f t="shared" si="88"/>
        <v>560</v>
      </c>
      <c r="E230">
        <f t="shared" si="89"/>
        <v>280</v>
      </c>
      <c r="F230">
        <f t="shared" si="90"/>
        <v>25.728000000000002</v>
      </c>
      <c r="G230">
        <f t="shared" si="91"/>
        <v>0.16800000000000001</v>
      </c>
      <c r="H230">
        <f t="shared" si="92"/>
        <v>112.89600000000002</v>
      </c>
      <c r="I230">
        <f t="shared" si="93"/>
        <v>403.20000000000005</v>
      </c>
      <c r="J230">
        <f t="shared" si="94"/>
        <v>288</v>
      </c>
      <c r="K230">
        <f t="shared" si="95"/>
        <v>80.64</v>
      </c>
      <c r="L230">
        <f t="shared" si="96"/>
        <v>6.2092800000000006</v>
      </c>
      <c r="M230">
        <f t="shared" si="97"/>
        <v>5.9673600000000002</v>
      </c>
      <c r="N230">
        <f t="shared" si="98"/>
        <v>4.7577600000000011</v>
      </c>
      <c r="O230">
        <f t="shared" si="99"/>
        <v>4.3830211764705886</v>
      </c>
      <c r="P230">
        <f t="shared" si="100"/>
        <v>3.8704103671706265</v>
      </c>
      <c r="Q230">
        <f t="shared" si="101"/>
        <v>67.2</v>
      </c>
      <c r="R230">
        <f t="shared" si="102"/>
        <v>384</v>
      </c>
      <c r="S230">
        <f t="shared" si="103"/>
        <v>240.95999999999998</v>
      </c>
      <c r="T230">
        <f t="shared" si="104"/>
        <v>47.040000000000006</v>
      </c>
      <c r="U230">
        <f>I230*E230/'[1]Inverter Analysis'!$L$2</f>
        <v>270.53309662495849</v>
      </c>
      <c r="V230">
        <f t="shared" si="105"/>
        <v>277.77777777777777</v>
      </c>
      <c r="W230">
        <f t="shared" si="106"/>
        <v>332.00531208499336</v>
      </c>
      <c r="X230">
        <f t="shared" si="107"/>
        <v>198.4126984126984</v>
      </c>
      <c r="Y230">
        <f t="shared" si="108"/>
        <v>0.77159269076857695</v>
      </c>
      <c r="Z230">
        <f t="shared" si="109"/>
        <v>1.6672008630857142</v>
      </c>
    </row>
    <row r="231" spans="1:26">
      <c r="A231">
        <v>15</v>
      </c>
      <c r="B231">
        <v>4</v>
      </c>
      <c r="C231">
        <v>6</v>
      </c>
      <c r="D231">
        <f t="shared" si="88"/>
        <v>560</v>
      </c>
      <c r="E231">
        <f t="shared" si="89"/>
        <v>280</v>
      </c>
      <c r="F231">
        <f t="shared" si="90"/>
        <v>24.12</v>
      </c>
      <c r="G231">
        <f t="shared" si="91"/>
        <v>0.1575</v>
      </c>
      <c r="H231">
        <f t="shared" si="92"/>
        <v>105.84</v>
      </c>
      <c r="I231">
        <f t="shared" si="93"/>
        <v>378</v>
      </c>
      <c r="J231">
        <f t="shared" si="94"/>
        <v>270</v>
      </c>
      <c r="K231">
        <f t="shared" si="95"/>
        <v>75.599999999999994</v>
      </c>
      <c r="L231">
        <f t="shared" si="96"/>
        <v>5.8212000000000002</v>
      </c>
      <c r="M231">
        <f t="shared" si="97"/>
        <v>5.5944000000000003</v>
      </c>
      <c r="N231">
        <f t="shared" si="98"/>
        <v>4.4604000000000008</v>
      </c>
      <c r="O231">
        <f t="shared" si="99"/>
        <v>4.1090823529411766</v>
      </c>
      <c r="P231">
        <f t="shared" si="100"/>
        <v>3.6285097192224622</v>
      </c>
      <c r="Q231">
        <f t="shared" si="101"/>
        <v>63</v>
      </c>
      <c r="R231">
        <f t="shared" si="102"/>
        <v>360</v>
      </c>
      <c r="S231">
        <f t="shared" si="103"/>
        <v>225.9</v>
      </c>
      <c r="T231">
        <f t="shared" si="104"/>
        <v>44.1</v>
      </c>
      <c r="U231">
        <f>I231*E231/'[1]Inverter Analysis'!$L$2</f>
        <v>253.62477808589858</v>
      </c>
      <c r="V231">
        <f t="shared" si="105"/>
        <v>296.2962962962963</v>
      </c>
      <c r="W231">
        <f t="shared" si="106"/>
        <v>354.13899955732626</v>
      </c>
      <c r="X231">
        <f t="shared" si="107"/>
        <v>211.64021164021165</v>
      </c>
      <c r="Y231">
        <f t="shared" si="108"/>
        <v>0.87790101705224743</v>
      </c>
      <c r="Z231">
        <f t="shared" si="109"/>
        <v>1.3737311799107144</v>
      </c>
    </row>
    <row r="232" spans="1:26">
      <c r="A232">
        <v>14</v>
      </c>
      <c r="B232">
        <v>4</v>
      </c>
      <c r="C232">
        <v>6</v>
      </c>
      <c r="D232">
        <f t="shared" si="88"/>
        <v>560</v>
      </c>
      <c r="E232">
        <f t="shared" si="89"/>
        <v>280</v>
      </c>
      <c r="F232">
        <f t="shared" si="90"/>
        <v>22.512</v>
      </c>
      <c r="G232">
        <f t="shared" si="91"/>
        <v>0.14700000000000002</v>
      </c>
      <c r="H232">
        <f t="shared" si="92"/>
        <v>98.784000000000006</v>
      </c>
      <c r="I232">
        <f t="shared" si="93"/>
        <v>352.8</v>
      </c>
      <c r="J232">
        <f t="shared" si="94"/>
        <v>252</v>
      </c>
      <c r="K232">
        <f t="shared" si="95"/>
        <v>70.56</v>
      </c>
      <c r="L232">
        <f t="shared" si="96"/>
        <v>5.4331199999999997</v>
      </c>
      <c r="M232">
        <f t="shared" si="97"/>
        <v>5.2214400000000003</v>
      </c>
      <c r="N232">
        <f t="shared" si="98"/>
        <v>4.1630399999999996</v>
      </c>
      <c r="O232">
        <f t="shared" si="99"/>
        <v>3.8351435294117646</v>
      </c>
      <c r="P232">
        <f t="shared" si="100"/>
        <v>3.386609071274298</v>
      </c>
      <c r="Q232">
        <f t="shared" si="101"/>
        <v>58.800000000000004</v>
      </c>
      <c r="R232">
        <f t="shared" si="102"/>
        <v>336</v>
      </c>
      <c r="S232">
        <f t="shared" si="103"/>
        <v>210.84</v>
      </c>
      <c r="T232">
        <f t="shared" si="104"/>
        <v>41.160000000000004</v>
      </c>
      <c r="U232">
        <f>I232*E232/'[1]Inverter Analysis'!$L$2</f>
        <v>236.71645954683868</v>
      </c>
      <c r="V232">
        <f t="shared" si="105"/>
        <v>317.46031746031747</v>
      </c>
      <c r="W232">
        <f t="shared" si="106"/>
        <v>379.43464238284957</v>
      </c>
      <c r="X232">
        <f t="shared" si="107"/>
        <v>226.75736961451247</v>
      </c>
      <c r="Y232">
        <f t="shared" si="108"/>
        <v>1.0077945348814066</v>
      </c>
      <c r="Z232">
        <f t="shared" si="109"/>
        <v>1.1168943282000001</v>
      </c>
    </row>
    <row r="233" spans="1:26" hidden="1">
      <c r="A233">
        <v>13</v>
      </c>
      <c r="B233">
        <v>4</v>
      </c>
      <c r="C233">
        <v>6</v>
      </c>
      <c r="D233">
        <f t="shared" si="88"/>
        <v>560</v>
      </c>
      <c r="E233">
        <f t="shared" si="89"/>
        <v>280</v>
      </c>
      <c r="F233">
        <f t="shared" si="90"/>
        <v>20.904</v>
      </c>
      <c r="G233">
        <f t="shared" si="91"/>
        <v>0.13650000000000001</v>
      </c>
      <c r="H233">
        <f t="shared" si="92"/>
        <v>91.727999999999994</v>
      </c>
      <c r="I233">
        <f t="shared" si="93"/>
        <v>327.60000000000002</v>
      </c>
      <c r="J233">
        <f t="shared" si="94"/>
        <v>234</v>
      </c>
      <c r="K233">
        <f t="shared" si="95"/>
        <v>65.52</v>
      </c>
      <c r="L233">
        <f t="shared" si="96"/>
        <v>5.0450400000000011</v>
      </c>
      <c r="M233">
        <f t="shared" si="97"/>
        <v>4.8484800000000003</v>
      </c>
      <c r="N233">
        <f t="shared" si="98"/>
        <v>3.8656800000000002</v>
      </c>
      <c r="O233">
        <f t="shared" si="99"/>
        <v>3.5612047058823539</v>
      </c>
      <c r="P233">
        <f t="shared" si="100"/>
        <v>3.1447084233261342</v>
      </c>
      <c r="Q233">
        <f t="shared" si="101"/>
        <v>54.6</v>
      </c>
      <c r="R233">
        <f t="shared" si="102"/>
        <v>312</v>
      </c>
      <c r="S233">
        <f t="shared" si="103"/>
        <v>195.78</v>
      </c>
      <c r="T233">
        <f t="shared" si="104"/>
        <v>38.220000000000006</v>
      </c>
      <c r="U233">
        <f>I233*E233/'[1]Inverter Analysis'!$L$2</f>
        <v>219.80814100777877</v>
      </c>
      <c r="V233">
        <f t="shared" si="105"/>
        <v>341.88034188034186</v>
      </c>
      <c r="W233">
        <f t="shared" si="106"/>
        <v>408.62192256614566</v>
      </c>
      <c r="X233">
        <f t="shared" si="107"/>
        <v>244.20024420024419</v>
      </c>
      <c r="Y233">
        <f t="shared" si="108"/>
        <v>1.1688031292115719</v>
      </c>
      <c r="Z233">
        <f t="shared" si="109"/>
        <v>0.89424811918928571</v>
      </c>
    </row>
    <row r="234" spans="1:26" hidden="1">
      <c r="A234">
        <v>12</v>
      </c>
      <c r="B234">
        <v>4</v>
      </c>
      <c r="C234">
        <v>6</v>
      </c>
      <c r="D234">
        <f t="shared" si="88"/>
        <v>560</v>
      </c>
      <c r="E234">
        <f t="shared" si="89"/>
        <v>280</v>
      </c>
      <c r="F234">
        <f t="shared" si="90"/>
        <v>19.295999999999999</v>
      </c>
      <c r="G234">
        <f t="shared" si="91"/>
        <v>0.126</v>
      </c>
      <c r="H234">
        <f t="shared" si="92"/>
        <v>84.672000000000011</v>
      </c>
      <c r="I234">
        <f t="shared" si="93"/>
        <v>302.40000000000003</v>
      </c>
      <c r="J234">
        <f t="shared" si="94"/>
        <v>216</v>
      </c>
      <c r="K234">
        <f t="shared" si="95"/>
        <v>60.48</v>
      </c>
      <c r="L234">
        <f t="shared" si="96"/>
        <v>4.6569600000000007</v>
      </c>
      <c r="M234">
        <f t="shared" si="97"/>
        <v>4.4755200000000004</v>
      </c>
      <c r="N234">
        <f t="shared" si="98"/>
        <v>3.5683200000000008</v>
      </c>
      <c r="O234">
        <f t="shared" si="99"/>
        <v>3.2872658823529419</v>
      </c>
      <c r="P234">
        <f t="shared" si="100"/>
        <v>2.9028077753779704</v>
      </c>
      <c r="Q234">
        <f t="shared" si="101"/>
        <v>50.400000000000006</v>
      </c>
      <c r="R234">
        <f t="shared" si="102"/>
        <v>288</v>
      </c>
      <c r="S234">
        <f t="shared" si="103"/>
        <v>180.72</v>
      </c>
      <c r="T234">
        <f t="shared" si="104"/>
        <v>35.28</v>
      </c>
      <c r="U234">
        <f>I234*E234/'[1]Inverter Analysis'!$L$2</f>
        <v>202.8998224687189</v>
      </c>
      <c r="V234">
        <f t="shared" si="105"/>
        <v>370.37037037037038</v>
      </c>
      <c r="W234">
        <f t="shared" si="106"/>
        <v>442.67374944665784</v>
      </c>
      <c r="X234">
        <f t="shared" si="107"/>
        <v>264.5502645502645</v>
      </c>
      <c r="Y234">
        <f t="shared" si="108"/>
        <v>1.3717203391441366</v>
      </c>
      <c r="Z234">
        <f t="shared" si="109"/>
        <v>0.70335036411428564</v>
      </c>
    </row>
    <row r="235" spans="1:26" hidden="1">
      <c r="A235">
        <v>11</v>
      </c>
      <c r="B235">
        <v>4</v>
      </c>
      <c r="C235">
        <v>6</v>
      </c>
      <c r="D235">
        <f t="shared" si="88"/>
        <v>560</v>
      </c>
      <c r="E235">
        <f t="shared" si="89"/>
        <v>280</v>
      </c>
      <c r="F235">
        <f t="shared" si="90"/>
        <v>17.687999999999999</v>
      </c>
      <c r="G235">
        <f t="shared" si="91"/>
        <v>0.11549999999999999</v>
      </c>
      <c r="H235">
        <f t="shared" si="92"/>
        <v>77.616</v>
      </c>
      <c r="I235">
        <f t="shared" si="93"/>
        <v>277.2</v>
      </c>
      <c r="J235">
        <f t="shared" si="94"/>
        <v>198</v>
      </c>
      <c r="K235">
        <f t="shared" si="95"/>
        <v>55.44</v>
      </c>
      <c r="L235">
        <f t="shared" si="96"/>
        <v>4.2688800000000002</v>
      </c>
      <c r="M235">
        <f t="shared" si="97"/>
        <v>4.1025600000000004</v>
      </c>
      <c r="N235">
        <f t="shared" si="98"/>
        <v>3.2709600000000001</v>
      </c>
      <c r="O235">
        <f t="shared" si="99"/>
        <v>3.0133270588235299</v>
      </c>
      <c r="P235">
        <f t="shared" si="100"/>
        <v>2.6609071274298053</v>
      </c>
      <c r="Q235">
        <f t="shared" si="101"/>
        <v>46.199999999999996</v>
      </c>
      <c r="R235">
        <f t="shared" si="102"/>
        <v>264</v>
      </c>
      <c r="S235">
        <f t="shared" si="103"/>
        <v>165.66</v>
      </c>
      <c r="T235">
        <f t="shared" si="104"/>
        <v>32.339999999999996</v>
      </c>
      <c r="U235">
        <f>I235*E235/'[1]Inverter Analysis'!$L$2</f>
        <v>185.99150392965896</v>
      </c>
      <c r="V235">
        <f t="shared" si="105"/>
        <v>404.04040404040404</v>
      </c>
      <c r="W235">
        <f t="shared" si="106"/>
        <v>482.91681757817219</v>
      </c>
      <c r="X235">
        <f t="shared" si="107"/>
        <v>288.60028860028859</v>
      </c>
      <c r="Y235">
        <f t="shared" si="108"/>
        <v>1.6324605688988074</v>
      </c>
      <c r="Z235">
        <f t="shared" si="109"/>
        <v>0.54175887421071423</v>
      </c>
    </row>
    <row r="236" spans="1:26" hidden="1">
      <c r="A236">
        <v>10</v>
      </c>
      <c r="B236">
        <v>4</v>
      </c>
      <c r="C236">
        <v>6</v>
      </c>
      <c r="D236">
        <f t="shared" si="88"/>
        <v>560</v>
      </c>
      <c r="E236">
        <f t="shared" si="89"/>
        <v>280</v>
      </c>
      <c r="F236">
        <f t="shared" si="90"/>
        <v>16.079999999999998</v>
      </c>
      <c r="G236">
        <f t="shared" si="91"/>
        <v>0.10500000000000001</v>
      </c>
      <c r="H236">
        <f t="shared" si="92"/>
        <v>70.56</v>
      </c>
      <c r="I236">
        <f t="shared" si="93"/>
        <v>252</v>
      </c>
      <c r="J236">
        <f t="shared" si="94"/>
        <v>180</v>
      </c>
      <c r="K236">
        <f t="shared" si="95"/>
        <v>50.4</v>
      </c>
      <c r="L236">
        <f t="shared" si="96"/>
        <v>3.8808000000000002</v>
      </c>
      <c r="M236">
        <f t="shared" si="97"/>
        <v>3.7296000000000005</v>
      </c>
      <c r="N236">
        <f t="shared" si="98"/>
        <v>2.9736000000000002</v>
      </c>
      <c r="O236">
        <f t="shared" si="99"/>
        <v>2.7393882352941179</v>
      </c>
      <c r="P236">
        <f t="shared" si="100"/>
        <v>2.4190064794816415</v>
      </c>
      <c r="Q236">
        <f t="shared" si="101"/>
        <v>42</v>
      </c>
      <c r="R236">
        <f t="shared" si="102"/>
        <v>240</v>
      </c>
      <c r="S236">
        <f t="shared" si="103"/>
        <v>150.6</v>
      </c>
      <c r="T236">
        <f t="shared" si="104"/>
        <v>29.400000000000002</v>
      </c>
      <c r="U236">
        <f>I236*E236/'[1]Inverter Analysis'!$L$2</f>
        <v>169.08318539059906</v>
      </c>
      <c r="V236">
        <f t="shared" si="105"/>
        <v>444.44444444444446</v>
      </c>
      <c r="W236">
        <f t="shared" si="106"/>
        <v>531.20849933598936</v>
      </c>
      <c r="X236">
        <f t="shared" si="107"/>
        <v>317.46031746031747</v>
      </c>
      <c r="Y236">
        <f t="shared" si="108"/>
        <v>1.9752772883675569</v>
      </c>
      <c r="Z236">
        <f t="shared" si="109"/>
        <v>0.40703146071428564</v>
      </c>
    </row>
    <row r="237" spans="1:26">
      <c r="A237">
        <v>16</v>
      </c>
      <c r="B237">
        <v>3</v>
      </c>
      <c r="C237">
        <v>6</v>
      </c>
      <c r="D237">
        <f t="shared" si="88"/>
        <v>420</v>
      </c>
      <c r="E237">
        <f t="shared" si="89"/>
        <v>210</v>
      </c>
      <c r="F237">
        <f t="shared" si="90"/>
        <v>19.295999999999999</v>
      </c>
      <c r="G237">
        <f t="shared" si="91"/>
        <v>0.22400000000000003</v>
      </c>
      <c r="H237">
        <f t="shared" si="92"/>
        <v>84.672000000000011</v>
      </c>
      <c r="I237">
        <f t="shared" si="93"/>
        <v>403.20000000000005</v>
      </c>
      <c r="J237">
        <f t="shared" si="94"/>
        <v>288</v>
      </c>
      <c r="K237">
        <f t="shared" si="95"/>
        <v>60.48</v>
      </c>
      <c r="L237">
        <f t="shared" si="96"/>
        <v>4.6569600000000007</v>
      </c>
      <c r="M237">
        <f t="shared" si="97"/>
        <v>4.4755200000000004</v>
      </c>
      <c r="N237">
        <f t="shared" si="98"/>
        <v>3.5683200000000008</v>
      </c>
      <c r="O237">
        <f t="shared" si="99"/>
        <v>3.2872658823529419</v>
      </c>
      <c r="P237">
        <f t="shared" si="100"/>
        <v>2.9028077753779704</v>
      </c>
      <c r="Q237">
        <f t="shared" si="101"/>
        <v>67.2</v>
      </c>
      <c r="R237">
        <f t="shared" si="102"/>
        <v>288</v>
      </c>
      <c r="S237">
        <f t="shared" si="103"/>
        <v>240.95999999999998</v>
      </c>
      <c r="T237">
        <f t="shared" si="104"/>
        <v>47.040000000000006</v>
      </c>
      <c r="U237">
        <f>I237*E237/'[1]Inverter Analysis'!$L$2</f>
        <v>202.8998224687189</v>
      </c>
      <c r="V237">
        <f t="shared" si="105"/>
        <v>277.77777777777777</v>
      </c>
      <c r="W237">
        <f t="shared" si="106"/>
        <v>332.00531208499336</v>
      </c>
      <c r="X237">
        <f t="shared" si="107"/>
        <v>198.4126984126984</v>
      </c>
      <c r="Y237">
        <f t="shared" si="108"/>
        <v>0.77159269076857695</v>
      </c>
      <c r="Z237">
        <f t="shared" si="109"/>
        <v>1.2504006473142852</v>
      </c>
    </row>
    <row r="238" spans="1:26">
      <c r="A238">
        <v>15</v>
      </c>
      <c r="B238">
        <v>3</v>
      </c>
      <c r="C238">
        <v>6</v>
      </c>
      <c r="D238">
        <f t="shared" si="88"/>
        <v>420</v>
      </c>
      <c r="E238">
        <f t="shared" si="89"/>
        <v>210</v>
      </c>
      <c r="F238">
        <f t="shared" si="90"/>
        <v>18.09</v>
      </c>
      <c r="G238">
        <f t="shared" si="91"/>
        <v>0.21000000000000002</v>
      </c>
      <c r="H238">
        <f t="shared" si="92"/>
        <v>79.38</v>
      </c>
      <c r="I238">
        <f t="shared" si="93"/>
        <v>378</v>
      </c>
      <c r="J238">
        <f t="shared" si="94"/>
        <v>270</v>
      </c>
      <c r="K238">
        <f t="shared" si="95"/>
        <v>56.7</v>
      </c>
      <c r="L238">
        <f t="shared" si="96"/>
        <v>4.3658999999999999</v>
      </c>
      <c r="M238">
        <f t="shared" si="97"/>
        <v>4.1958000000000002</v>
      </c>
      <c r="N238">
        <f t="shared" si="98"/>
        <v>3.3453000000000004</v>
      </c>
      <c r="O238">
        <f t="shared" si="99"/>
        <v>3.0818117647058827</v>
      </c>
      <c r="P238">
        <f t="shared" si="100"/>
        <v>2.7213822894168467</v>
      </c>
      <c r="Q238">
        <f t="shared" si="101"/>
        <v>63</v>
      </c>
      <c r="R238">
        <f t="shared" si="102"/>
        <v>270</v>
      </c>
      <c r="S238">
        <f t="shared" si="103"/>
        <v>225.9</v>
      </c>
      <c r="T238">
        <f t="shared" si="104"/>
        <v>44.1</v>
      </c>
      <c r="U238">
        <f>I238*E238/'[1]Inverter Analysis'!$L$2</f>
        <v>190.21858356442394</v>
      </c>
      <c r="V238">
        <f t="shared" si="105"/>
        <v>296.2962962962963</v>
      </c>
      <c r="W238">
        <f t="shared" si="106"/>
        <v>354.13899955732626</v>
      </c>
      <c r="X238">
        <f t="shared" si="107"/>
        <v>211.64021164021165</v>
      </c>
      <c r="Y238">
        <f t="shared" si="108"/>
        <v>0.87790101705224743</v>
      </c>
      <c r="Z238">
        <f t="shared" si="109"/>
        <v>1.0302983849330358</v>
      </c>
    </row>
    <row r="239" spans="1:26" hidden="1">
      <c r="A239">
        <v>14</v>
      </c>
      <c r="B239">
        <v>3</v>
      </c>
      <c r="C239">
        <v>6</v>
      </c>
      <c r="D239">
        <f t="shared" si="88"/>
        <v>420</v>
      </c>
      <c r="E239">
        <f t="shared" si="89"/>
        <v>210</v>
      </c>
      <c r="F239">
        <f t="shared" si="90"/>
        <v>16.884</v>
      </c>
      <c r="G239">
        <f t="shared" si="91"/>
        <v>0.19600000000000001</v>
      </c>
      <c r="H239">
        <f t="shared" si="92"/>
        <v>74.087999999999994</v>
      </c>
      <c r="I239">
        <f t="shared" si="93"/>
        <v>352.8</v>
      </c>
      <c r="J239">
        <f t="shared" si="94"/>
        <v>252</v>
      </c>
      <c r="K239">
        <f t="shared" si="95"/>
        <v>52.92</v>
      </c>
      <c r="L239">
        <f t="shared" si="96"/>
        <v>4.07484</v>
      </c>
      <c r="M239">
        <f t="shared" si="97"/>
        <v>3.9160800000000004</v>
      </c>
      <c r="N239">
        <f t="shared" si="98"/>
        <v>3.1222799999999999</v>
      </c>
      <c r="O239">
        <f t="shared" si="99"/>
        <v>2.8763576470588239</v>
      </c>
      <c r="P239">
        <f t="shared" si="100"/>
        <v>2.5399568034557238</v>
      </c>
      <c r="Q239">
        <f t="shared" si="101"/>
        <v>58.800000000000004</v>
      </c>
      <c r="R239">
        <f t="shared" si="102"/>
        <v>252</v>
      </c>
      <c r="S239">
        <f t="shared" si="103"/>
        <v>210.84</v>
      </c>
      <c r="T239">
        <f t="shared" si="104"/>
        <v>41.160000000000004</v>
      </c>
      <c r="U239">
        <f>I239*E239/'[1]Inverter Analysis'!$L$2</f>
        <v>177.53734466012901</v>
      </c>
      <c r="V239">
        <f t="shared" si="105"/>
        <v>317.46031746031747</v>
      </c>
      <c r="W239">
        <f t="shared" si="106"/>
        <v>379.43464238284957</v>
      </c>
      <c r="X239">
        <f t="shared" si="107"/>
        <v>226.75736961451247</v>
      </c>
      <c r="Y239">
        <f t="shared" si="108"/>
        <v>1.0077945348814066</v>
      </c>
      <c r="Z239">
        <f t="shared" si="109"/>
        <v>0.83767074614999992</v>
      </c>
    </row>
    <row r="240" spans="1:26" hidden="1">
      <c r="A240">
        <v>13</v>
      </c>
      <c r="B240">
        <v>3</v>
      </c>
      <c r="C240">
        <v>6</v>
      </c>
      <c r="D240">
        <f t="shared" si="88"/>
        <v>420</v>
      </c>
      <c r="E240">
        <f t="shared" si="89"/>
        <v>210</v>
      </c>
      <c r="F240">
        <f t="shared" si="90"/>
        <v>15.678000000000001</v>
      </c>
      <c r="G240">
        <f t="shared" si="91"/>
        <v>0.18200000000000002</v>
      </c>
      <c r="H240">
        <f t="shared" si="92"/>
        <v>68.796000000000006</v>
      </c>
      <c r="I240">
        <f t="shared" si="93"/>
        <v>327.60000000000002</v>
      </c>
      <c r="J240">
        <f t="shared" si="94"/>
        <v>234</v>
      </c>
      <c r="K240">
        <f t="shared" si="95"/>
        <v>49.14</v>
      </c>
      <c r="L240">
        <f t="shared" si="96"/>
        <v>3.7837800000000006</v>
      </c>
      <c r="M240">
        <f t="shared" si="97"/>
        <v>3.6363600000000007</v>
      </c>
      <c r="N240">
        <f t="shared" si="98"/>
        <v>2.8992600000000004</v>
      </c>
      <c r="O240">
        <f t="shared" si="99"/>
        <v>2.6709035294117651</v>
      </c>
      <c r="P240">
        <f t="shared" si="100"/>
        <v>2.3585313174946005</v>
      </c>
      <c r="Q240">
        <f t="shared" si="101"/>
        <v>54.6</v>
      </c>
      <c r="R240">
        <f t="shared" si="102"/>
        <v>234</v>
      </c>
      <c r="S240">
        <f t="shared" si="103"/>
        <v>195.78</v>
      </c>
      <c r="T240">
        <f t="shared" si="104"/>
        <v>38.220000000000006</v>
      </c>
      <c r="U240">
        <f>I240*E240/'[1]Inverter Analysis'!$L$2</f>
        <v>164.85610575583408</v>
      </c>
      <c r="V240">
        <f t="shared" si="105"/>
        <v>341.88034188034186</v>
      </c>
      <c r="W240">
        <f t="shared" si="106"/>
        <v>408.62192256614566</v>
      </c>
      <c r="X240">
        <f t="shared" si="107"/>
        <v>244.20024420024419</v>
      </c>
      <c r="Y240">
        <f t="shared" si="108"/>
        <v>1.1688031292115719</v>
      </c>
      <c r="Z240">
        <f t="shared" si="109"/>
        <v>0.67068608939196428</v>
      </c>
    </row>
    <row r="241" spans="1:26" hidden="1">
      <c r="A241">
        <v>12</v>
      </c>
      <c r="B241">
        <v>3</v>
      </c>
      <c r="C241">
        <v>6</v>
      </c>
      <c r="D241">
        <f t="shared" si="88"/>
        <v>420</v>
      </c>
      <c r="E241">
        <f t="shared" si="89"/>
        <v>210</v>
      </c>
      <c r="F241">
        <f t="shared" si="90"/>
        <v>14.472</v>
      </c>
      <c r="G241">
        <f t="shared" si="91"/>
        <v>0.16800000000000004</v>
      </c>
      <c r="H241">
        <f t="shared" si="92"/>
        <v>63.504000000000005</v>
      </c>
      <c r="I241">
        <f t="shared" si="93"/>
        <v>302.40000000000003</v>
      </c>
      <c r="J241">
        <f t="shared" si="94"/>
        <v>216</v>
      </c>
      <c r="K241">
        <f t="shared" si="95"/>
        <v>45.36</v>
      </c>
      <c r="L241">
        <f t="shared" si="96"/>
        <v>3.4927200000000007</v>
      </c>
      <c r="M241">
        <f t="shared" si="97"/>
        <v>3.3566400000000005</v>
      </c>
      <c r="N241">
        <f t="shared" si="98"/>
        <v>2.6762400000000008</v>
      </c>
      <c r="O241">
        <f t="shared" si="99"/>
        <v>2.4654494117647063</v>
      </c>
      <c r="P241">
        <f t="shared" si="100"/>
        <v>2.1771058315334773</v>
      </c>
      <c r="Q241">
        <f t="shared" si="101"/>
        <v>50.400000000000006</v>
      </c>
      <c r="R241">
        <f t="shared" si="102"/>
        <v>216</v>
      </c>
      <c r="S241">
        <f t="shared" si="103"/>
        <v>180.72</v>
      </c>
      <c r="T241">
        <f t="shared" si="104"/>
        <v>35.280000000000008</v>
      </c>
      <c r="U241">
        <f>I241*E241/'[1]Inverter Analysis'!$L$2</f>
        <v>152.17486685153915</v>
      </c>
      <c r="V241">
        <f t="shared" si="105"/>
        <v>370.37037037037038</v>
      </c>
      <c r="W241">
        <f t="shared" si="106"/>
        <v>442.67374944665784</v>
      </c>
      <c r="X241">
        <f t="shared" si="107"/>
        <v>264.5502645502645</v>
      </c>
      <c r="Y241">
        <f t="shared" si="108"/>
        <v>1.3717203391441366</v>
      </c>
      <c r="Z241">
        <f t="shared" si="109"/>
        <v>0.5275127730857142</v>
      </c>
    </row>
    <row r="242" spans="1:26" hidden="1">
      <c r="A242">
        <v>11</v>
      </c>
      <c r="B242">
        <v>3</v>
      </c>
      <c r="C242">
        <v>6</v>
      </c>
      <c r="D242">
        <f t="shared" si="88"/>
        <v>420</v>
      </c>
      <c r="E242">
        <f t="shared" si="89"/>
        <v>210</v>
      </c>
      <c r="F242">
        <f t="shared" si="90"/>
        <v>13.266</v>
      </c>
      <c r="G242">
        <f t="shared" si="91"/>
        <v>0.154</v>
      </c>
      <c r="H242">
        <f t="shared" si="92"/>
        <v>58.212000000000003</v>
      </c>
      <c r="I242">
        <f t="shared" si="93"/>
        <v>277.2</v>
      </c>
      <c r="J242">
        <f t="shared" si="94"/>
        <v>198</v>
      </c>
      <c r="K242">
        <f t="shared" si="95"/>
        <v>41.58</v>
      </c>
      <c r="L242">
        <f t="shared" si="96"/>
        <v>3.20166</v>
      </c>
      <c r="M242">
        <f t="shared" si="97"/>
        <v>3.0769199999999999</v>
      </c>
      <c r="N242">
        <f t="shared" si="98"/>
        <v>2.4532200000000004</v>
      </c>
      <c r="O242">
        <f t="shared" si="99"/>
        <v>2.2599952941176471</v>
      </c>
      <c r="P242">
        <f t="shared" si="100"/>
        <v>1.995680345572354</v>
      </c>
      <c r="Q242">
        <f t="shared" si="101"/>
        <v>46.199999999999996</v>
      </c>
      <c r="R242">
        <f t="shared" si="102"/>
        <v>198</v>
      </c>
      <c r="S242">
        <f t="shared" si="103"/>
        <v>165.66</v>
      </c>
      <c r="T242">
        <f t="shared" si="104"/>
        <v>32.339999999999996</v>
      </c>
      <c r="U242">
        <f>I242*E242/'[1]Inverter Analysis'!$L$2</f>
        <v>139.49362794724422</v>
      </c>
      <c r="V242">
        <f t="shared" si="105"/>
        <v>404.04040404040404</v>
      </c>
      <c r="W242">
        <f t="shared" si="106"/>
        <v>482.91681757817219</v>
      </c>
      <c r="X242">
        <f t="shared" si="107"/>
        <v>288.60028860028859</v>
      </c>
      <c r="Y242">
        <f t="shared" si="108"/>
        <v>1.6324605688988074</v>
      </c>
      <c r="Z242">
        <f t="shared" si="109"/>
        <v>0.40631915565803567</v>
      </c>
    </row>
    <row r="243" spans="1:26" hidden="1">
      <c r="A243">
        <v>10</v>
      </c>
      <c r="B243">
        <v>3</v>
      </c>
      <c r="C243">
        <v>6</v>
      </c>
      <c r="D243">
        <f t="shared" si="88"/>
        <v>420</v>
      </c>
      <c r="E243">
        <f t="shared" si="89"/>
        <v>210</v>
      </c>
      <c r="F243">
        <f t="shared" si="90"/>
        <v>12.06</v>
      </c>
      <c r="G243">
        <f t="shared" si="91"/>
        <v>0.14000000000000001</v>
      </c>
      <c r="H243">
        <f t="shared" si="92"/>
        <v>52.92</v>
      </c>
      <c r="I243">
        <f t="shared" si="93"/>
        <v>252</v>
      </c>
      <c r="J243">
        <f t="shared" si="94"/>
        <v>180</v>
      </c>
      <c r="K243">
        <f t="shared" si="95"/>
        <v>37.799999999999997</v>
      </c>
      <c r="L243">
        <f t="shared" si="96"/>
        <v>2.9106000000000005</v>
      </c>
      <c r="M243">
        <f t="shared" si="97"/>
        <v>2.7972000000000001</v>
      </c>
      <c r="N243">
        <f t="shared" si="98"/>
        <v>2.2302000000000004</v>
      </c>
      <c r="O243">
        <f t="shared" si="99"/>
        <v>2.0545411764705888</v>
      </c>
      <c r="P243">
        <f t="shared" si="100"/>
        <v>1.8142548596112311</v>
      </c>
      <c r="Q243">
        <f t="shared" si="101"/>
        <v>42</v>
      </c>
      <c r="R243">
        <f t="shared" si="102"/>
        <v>180</v>
      </c>
      <c r="S243">
        <f t="shared" si="103"/>
        <v>150.6</v>
      </c>
      <c r="T243">
        <f t="shared" si="104"/>
        <v>29.400000000000002</v>
      </c>
      <c r="U243">
        <f>I243*E243/'[1]Inverter Analysis'!$L$2</f>
        <v>126.81238904294929</v>
      </c>
      <c r="V243">
        <f t="shared" si="105"/>
        <v>444.44444444444446</v>
      </c>
      <c r="W243">
        <f t="shared" si="106"/>
        <v>531.20849933598936</v>
      </c>
      <c r="X243">
        <f t="shared" si="107"/>
        <v>317.46031746031747</v>
      </c>
      <c r="Y243">
        <f t="shared" si="108"/>
        <v>1.9752772883675569</v>
      </c>
      <c r="Z243">
        <f t="shared" si="109"/>
        <v>0.30527359553571431</v>
      </c>
    </row>
    <row r="244" spans="1:26" hidden="1">
      <c r="A244">
        <v>16</v>
      </c>
      <c r="B244">
        <v>2</v>
      </c>
      <c r="C244">
        <v>6</v>
      </c>
      <c r="D244">
        <f t="shared" si="88"/>
        <v>280</v>
      </c>
      <c r="E244">
        <f t="shared" si="89"/>
        <v>140</v>
      </c>
      <c r="F244">
        <f t="shared" si="90"/>
        <v>12.864000000000001</v>
      </c>
      <c r="G244">
        <f t="shared" si="91"/>
        <v>0.33600000000000002</v>
      </c>
      <c r="H244">
        <f t="shared" si="92"/>
        <v>56.448000000000008</v>
      </c>
      <c r="I244">
        <f t="shared" si="93"/>
        <v>403.20000000000005</v>
      </c>
      <c r="J244">
        <f t="shared" si="94"/>
        <v>288</v>
      </c>
      <c r="K244">
        <f t="shared" si="95"/>
        <v>40.32</v>
      </c>
      <c r="L244">
        <f t="shared" si="96"/>
        <v>3.1046400000000003</v>
      </c>
      <c r="M244">
        <f t="shared" si="97"/>
        <v>2.9836800000000001</v>
      </c>
      <c r="N244">
        <f t="shared" si="98"/>
        <v>2.3788800000000005</v>
      </c>
      <c r="O244">
        <f t="shared" si="99"/>
        <v>2.1915105882352943</v>
      </c>
      <c r="P244">
        <f t="shared" si="100"/>
        <v>1.9352051835853132</v>
      </c>
      <c r="Q244">
        <f t="shared" si="101"/>
        <v>67.2</v>
      </c>
      <c r="R244">
        <f t="shared" si="102"/>
        <v>192</v>
      </c>
      <c r="S244">
        <f t="shared" si="103"/>
        <v>240.95999999999998</v>
      </c>
      <c r="T244">
        <f t="shared" si="104"/>
        <v>47.040000000000006</v>
      </c>
      <c r="U244">
        <f>I244*E244/'[1]Inverter Analysis'!$L$2</f>
        <v>135.26654831247924</v>
      </c>
      <c r="V244">
        <f t="shared" si="105"/>
        <v>277.77777777777777</v>
      </c>
      <c r="W244">
        <f t="shared" si="106"/>
        <v>332.00531208499336</v>
      </c>
      <c r="X244">
        <f t="shared" si="107"/>
        <v>198.4126984126984</v>
      </c>
      <c r="Y244">
        <f t="shared" si="108"/>
        <v>0.77159269076857695</v>
      </c>
      <c r="Z244">
        <f t="shared" si="109"/>
        <v>0.83360043154285712</v>
      </c>
    </row>
    <row r="245" spans="1:26" hidden="1">
      <c r="A245">
        <v>15</v>
      </c>
      <c r="B245">
        <v>2</v>
      </c>
      <c r="C245">
        <v>6</v>
      </c>
      <c r="D245">
        <f t="shared" si="88"/>
        <v>280</v>
      </c>
      <c r="E245">
        <f t="shared" si="89"/>
        <v>140</v>
      </c>
      <c r="F245">
        <f t="shared" si="90"/>
        <v>12.06</v>
      </c>
      <c r="G245">
        <f t="shared" si="91"/>
        <v>0.315</v>
      </c>
      <c r="H245">
        <f t="shared" si="92"/>
        <v>52.92</v>
      </c>
      <c r="I245">
        <f t="shared" si="93"/>
        <v>378</v>
      </c>
      <c r="J245">
        <f t="shared" si="94"/>
        <v>270</v>
      </c>
      <c r="K245">
        <f t="shared" si="95"/>
        <v>37.799999999999997</v>
      </c>
      <c r="L245">
        <f t="shared" si="96"/>
        <v>2.9106000000000001</v>
      </c>
      <c r="M245">
        <f t="shared" si="97"/>
        <v>2.7972000000000001</v>
      </c>
      <c r="N245">
        <f t="shared" si="98"/>
        <v>2.2302000000000004</v>
      </c>
      <c r="O245">
        <f t="shared" si="99"/>
        <v>2.0545411764705883</v>
      </c>
      <c r="P245">
        <f t="shared" si="100"/>
        <v>1.8142548596112311</v>
      </c>
      <c r="Q245">
        <f t="shared" si="101"/>
        <v>63</v>
      </c>
      <c r="R245">
        <f t="shared" si="102"/>
        <v>180</v>
      </c>
      <c r="S245">
        <f t="shared" si="103"/>
        <v>225.9</v>
      </c>
      <c r="T245">
        <f t="shared" si="104"/>
        <v>44.1</v>
      </c>
      <c r="U245">
        <f>I245*E245/'[1]Inverter Analysis'!$L$2</f>
        <v>126.81238904294929</v>
      </c>
      <c r="V245">
        <f t="shared" si="105"/>
        <v>296.2962962962963</v>
      </c>
      <c r="W245">
        <f t="shared" si="106"/>
        <v>354.13899955732626</v>
      </c>
      <c r="X245">
        <f t="shared" si="107"/>
        <v>211.64021164021165</v>
      </c>
      <c r="Y245">
        <f t="shared" si="108"/>
        <v>0.87790101705224743</v>
      </c>
      <c r="Z245">
        <f t="shared" si="109"/>
        <v>0.68686558995535718</v>
      </c>
    </row>
    <row r="246" spans="1:26" hidden="1">
      <c r="A246">
        <v>14</v>
      </c>
      <c r="B246">
        <v>2</v>
      </c>
      <c r="C246">
        <v>6</v>
      </c>
      <c r="D246">
        <f t="shared" si="88"/>
        <v>280</v>
      </c>
      <c r="E246">
        <f t="shared" si="89"/>
        <v>140</v>
      </c>
      <c r="F246">
        <f t="shared" si="90"/>
        <v>11.256</v>
      </c>
      <c r="G246">
        <f t="shared" si="91"/>
        <v>0.29400000000000004</v>
      </c>
      <c r="H246">
        <f t="shared" si="92"/>
        <v>49.392000000000003</v>
      </c>
      <c r="I246">
        <f t="shared" si="93"/>
        <v>352.8</v>
      </c>
      <c r="J246">
        <f t="shared" si="94"/>
        <v>252</v>
      </c>
      <c r="K246">
        <f t="shared" si="95"/>
        <v>35.28</v>
      </c>
      <c r="L246">
        <f t="shared" si="96"/>
        <v>2.7165599999999999</v>
      </c>
      <c r="M246">
        <f t="shared" si="97"/>
        <v>2.6107200000000002</v>
      </c>
      <c r="N246">
        <f t="shared" si="98"/>
        <v>2.0815199999999998</v>
      </c>
      <c r="O246">
        <f t="shared" si="99"/>
        <v>1.9175717647058823</v>
      </c>
      <c r="P246">
        <f t="shared" si="100"/>
        <v>1.693304535637149</v>
      </c>
      <c r="Q246">
        <f t="shared" si="101"/>
        <v>58.800000000000004</v>
      </c>
      <c r="R246">
        <f t="shared" si="102"/>
        <v>168</v>
      </c>
      <c r="S246">
        <f t="shared" si="103"/>
        <v>210.84</v>
      </c>
      <c r="T246">
        <f t="shared" si="104"/>
        <v>41.160000000000004</v>
      </c>
      <c r="U246">
        <f>I246*E246/'[1]Inverter Analysis'!$L$2</f>
        <v>118.35822977341934</v>
      </c>
      <c r="V246">
        <f t="shared" si="105"/>
        <v>317.46031746031747</v>
      </c>
      <c r="W246">
        <f t="shared" si="106"/>
        <v>379.43464238284957</v>
      </c>
      <c r="X246">
        <f t="shared" si="107"/>
        <v>226.75736961451247</v>
      </c>
      <c r="Y246">
        <f t="shared" si="108"/>
        <v>1.0077945348814066</v>
      </c>
      <c r="Z246">
        <f t="shared" si="109"/>
        <v>0.55844716410000006</v>
      </c>
    </row>
    <row r="247" spans="1:26" hidden="1">
      <c r="A247">
        <v>13</v>
      </c>
      <c r="B247">
        <v>2</v>
      </c>
      <c r="C247">
        <v>6</v>
      </c>
      <c r="D247">
        <f t="shared" si="88"/>
        <v>280</v>
      </c>
      <c r="E247">
        <f t="shared" si="89"/>
        <v>140</v>
      </c>
      <c r="F247">
        <f t="shared" si="90"/>
        <v>10.452</v>
      </c>
      <c r="G247">
        <f t="shared" si="91"/>
        <v>0.27300000000000002</v>
      </c>
      <c r="H247">
        <f t="shared" si="92"/>
        <v>45.863999999999997</v>
      </c>
      <c r="I247">
        <f t="shared" si="93"/>
        <v>327.60000000000002</v>
      </c>
      <c r="J247">
        <f t="shared" si="94"/>
        <v>234</v>
      </c>
      <c r="K247">
        <f t="shared" si="95"/>
        <v>32.76</v>
      </c>
      <c r="L247">
        <f t="shared" si="96"/>
        <v>2.5225200000000005</v>
      </c>
      <c r="M247">
        <f t="shared" si="97"/>
        <v>2.4242400000000002</v>
      </c>
      <c r="N247">
        <f t="shared" si="98"/>
        <v>1.9328400000000001</v>
      </c>
      <c r="O247">
        <f t="shared" si="99"/>
        <v>1.780602352941177</v>
      </c>
      <c r="P247">
        <f t="shared" si="100"/>
        <v>1.5723542116630671</v>
      </c>
      <c r="Q247">
        <f t="shared" si="101"/>
        <v>54.6</v>
      </c>
      <c r="R247">
        <f t="shared" si="102"/>
        <v>156</v>
      </c>
      <c r="S247">
        <f t="shared" si="103"/>
        <v>195.78</v>
      </c>
      <c r="T247">
        <f t="shared" si="104"/>
        <v>38.220000000000006</v>
      </c>
      <c r="U247">
        <f>I247*E247/'[1]Inverter Analysis'!$L$2</f>
        <v>109.90407050388939</v>
      </c>
      <c r="V247">
        <f t="shared" si="105"/>
        <v>341.88034188034186</v>
      </c>
      <c r="W247">
        <f t="shared" si="106"/>
        <v>408.62192256614566</v>
      </c>
      <c r="X247">
        <f t="shared" si="107"/>
        <v>244.20024420024419</v>
      </c>
      <c r="Y247">
        <f t="shared" si="108"/>
        <v>1.1688031292115719</v>
      </c>
      <c r="Z247">
        <f t="shared" si="109"/>
        <v>0.44712405959464285</v>
      </c>
    </row>
    <row r="248" spans="1:26" hidden="1">
      <c r="A248">
        <v>12</v>
      </c>
      <c r="B248">
        <v>2</v>
      </c>
      <c r="C248">
        <v>6</v>
      </c>
      <c r="D248">
        <f t="shared" si="88"/>
        <v>280</v>
      </c>
      <c r="E248">
        <f t="shared" si="89"/>
        <v>140</v>
      </c>
      <c r="F248">
        <f t="shared" si="90"/>
        <v>9.6479999999999997</v>
      </c>
      <c r="G248">
        <f t="shared" si="91"/>
        <v>0.252</v>
      </c>
      <c r="H248">
        <f t="shared" si="92"/>
        <v>42.336000000000006</v>
      </c>
      <c r="I248">
        <f t="shared" si="93"/>
        <v>302.40000000000003</v>
      </c>
      <c r="J248">
        <f t="shared" si="94"/>
        <v>216</v>
      </c>
      <c r="K248">
        <f t="shared" si="95"/>
        <v>30.24</v>
      </c>
      <c r="L248">
        <f t="shared" si="96"/>
        <v>2.3284800000000003</v>
      </c>
      <c r="M248">
        <f t="shared" si="97"/>
        <v>2.2377600000000002</v>
      </c>
      <c r="N248">
        <f t="shared" si="98"/>
        <v>1.7841600000000004</v>
      </c>
      <c r="O248">
        <f t="shared" si="99"/>
        <v>1.643632941176471</v>
      </c>
      <c r="P248">
        <f t="shared" si="100"/>
        <v>1.4514038876889852</v>
      </c>
      <c r="Q248">
        <f t="shared" si="101"/>
        <v>50.400000000000006</v>
      </c>
      <c r="R248">
        <f t="shared" si="102"/>
        <v>144</v>
      </c>
      <c r="S248">
        <f t="shared" si="103"/>
        <v>180.72</v>
      </c>
      <c r="T248">
        <f t="shared" si="104"/>
        <v>35.28</v>
      </c>
      <c r="U248">
        <f>I248*E248/'[1]Inverter Analysis'!$L$2</f>
        <v>101.44991123435945</v>
      </c>
      <c r="V248">
        <f t="shared" si="105"/>
        <v>370.37037037037038</v>
      </c>
      <c r="W248">
        <f t="shared" si="106"/>
        <v>442.67374944665784</v>
      </c>
      <c r="X248">
        <f t="shared" si="107"/>
        <v>264.5502645502645</v>
      </c>
      <c r="Y248">
        <f t="shared" si="108"/>
        <v>1.3717203391441366</v>
      </c>
      <c r="Z248">
        <f t="shared" si="109"/>
        <v>0.35167518205714282</v>
      </c>
    </row>
    <row r="249" spans="1:26" hidden="1">
      <c r="A249">
        <v>11</v>
      </c>
      <c r="B249">
        <v>2</v>
      </c>
      <c r="C249">
        <v>6</v>
      </c>
      <c r="D249">
        <f t="shared" si="88"/>
        <v>280</v>
      </c>
      <c r="E249">
        <f t="shared" si="89"/>
        <v>140</v>
      </c>
      <c r="F249">
        <f t="shared" si="90"/>
        <v>8.8439999999999994</v>
      </c>
      <c r="G249">
        <f t="shared" si="91"/>
        <v>0.23099999999999998</v>
      </c>
      <c r="H249">
        <f t="shared" si="92"/>
        <v>38.808</v>
      </c>
      <c r="I249">
        <f t="shared" si="93"/>
        <v>277.2</v>
      </c>
      <c r="J249">
        <f t="shared" si="94"/>
        <v>198</v>
      </c>
      <c r="K249">
        <f t="shared" si="95"/>
        <v>27.72</v>
      </c>
      <c r="L249">
        <f t="shared" si="96"/>
        <v>2.1344400000000001</v>
      </c>
      <c r="M249">
        <f t="shared" si="97"/>
        <v>2.0512800000000002</v>
      </c>
      <c r="N249">
        <f t="shared" si="98"/>
        <v>1.63548</v>
      </c>
      <c r="O249">
        <f t="shared" si="99"/>
        <v>1.506663529411765</v>
      </c>
      <c r="P249">
        <f t="shared" si="100"/>
        <v>1.3304535637149026</v>
      </c>
      <c r="Q249">
        <f t="shared" si="101"/>
        <v>46.199999999999996</v>
      </c>
      <c r="R249">
        <f t="shared" si="102"/>
        <v>132</v>
      </c>
      <c r="S249">
        <f t="shared" si="103"/>
        <v>165.66</v>
      </c>
      <c r="T249">
        <f t="shared" si="104"/>
        <v>32.339999999999996</v>
      </c>
      <c r="U249">
        <f>I249*E249/'[1]Inverter Analysis'!$L$2</f>
        <v>92.995751964829481</v>
      </c>
      <c r="V249">
        <f t="shared" si="105"/>
        <v>404.04040404040404</v>
      </c>
      <c r="W249">
        <f t="shared" si="106"/>
        <v>482.91681757817219</v>
      </c>
      <c r="X249">
        <f t="shared" si="107"/>
        <v>288.60028860028859</v>
      </c>
      <c r="Y249">
        <f t="shared" si="108"/>
        <v>1.6324605688988074</v>
      </c>
      <c r="Z249">
        <f t="shared" si="109"/>
        <v>0.27087943710535711</v>
      </c>
    </row>
    <row r="250" spans="1:26" hidden="1">
      <c r="A250">
        <v>10</v>
      </c>
      <c r="B250">
        <v>2</v>
      </c>
      <c r="C250">
        <v>6</v>
      </c>
      <c r="D250">
        <f t="shared" si="88"/>
        <v>280</v>
      </c>
      <c r="E250">
        <f t="shared" si="89"/>
        <v>140</v>
      </c>
      <c r="F250">
        <f t="shared" si="90"/>
        <v>8.0399999999999991</v>
      </c>
      <c r="G250">
        <f t="shared" si="91"/>
        <v>0.21000000000000002</v>
      </c>
      <c r="H250">
        <f t="shared" si="92"/>
        <v>35.28</v>
      </c>
      <c r="I250">
        <f t="shared" si="93"/>
        <v>252</v>
      </c>
      <c r="J250">
        <f t="shared" si="94"/>
        <v>180</v>
      </c>
      <c r="K250">
        <f t="shared" si="95"/>
        <v>25.2</v>
      </c>
      <c r="L250">
        <f t="shared" si="96"/>
        <v>1.9404000000000001</v>
      </c>
      <c r="M250">
        <f t="shared" si="97"/>
        <v>1.8648000000000002</v>
      </c>
      <c r="N250">
        <f t="shared" si="98"/>
        <v>1.4868000000000001</v>
      </c>
      <c r="O250">
        <f t="shared" si="99"/>
        <v>1.369694117647059</v>
      </c>
      <c r="P250">
        <f t="shared" si="100"/>
        <v>1.2095032397408207</v>
      </c>
      <c r="Q250">
        <f t="shared" si="101"/>
        <v>42</v>
      </c>
      <c r="R250">
        <f t="shared" si="102"/>
        <v>120</v>
      </c>
      <c r="S250">
        <f t="shared" si="103"/>
        <v>150.6</v>
      </c>
      <c r="T250">
        <f t="shared" si="104"/>
        <v>29.400000000000002</v>
      </c>
      <c r="U250">
        <f>I250*E250/'[1]Inverter Analysis'!$L$2</f>
        <v>84.541592695299528</v>
      </c>
      <c r="V250">
        <f t="shared" si="105"/>
        <v>444.44444444444446</v>
      </c>
      <c r="W250">
        <f t="shared" si="106"/>
        <v>531.20849933598936</v>
      </c>
      <c r="X250">
        <f t="shared" si="107"/>
        <v>317.46031746031747</v>
      </c>
      <c r="Y250">
        <f t="shared" si="108"/>
        <v>1.9752772883675569</v>
      </c>
      <c r="Z250">
        <f t="shared" si="109"/>
        <v>0.20351573035714282</v>
      </c>
    </row>
  </sheetData>
  <autoFilter ref="A5:Z250" xr:uid="{CD170695-E234-4CBF-A69D-2A48239DCF5F}">
    <filterColumn colId="5">
      <filters>
        <filter val="18.09"/>
        <filter val="18.291"/>
        <filter val="19.296"/>
        <filter val="19.698"/>
        <filter val="22.512"/>
        <filter val="23.584"/>
        <filter val="24.12"/>
        <filter val="24.388"/>
        <filter val="25.728"/>
        <filter val="26.264"/>
        <filter val="28.14"/>
      </filters>
    </filterColumn>
    <filterColumn colId="8">
      <filters>
        <filter val="352.8"/>
        <filter val="369.6"/>
        <filter val="378"/>
        <filter val="382.2"/>
        <filter val="403.2"/>
        <filter val="411.6"/>
      </filters>
    </filterColumn>
  </autoFilter>
  <mergeCells count="1">
    <mergeCell ref="Q1:S1"/>
  </mergeCells>
  <conditionalFormatting sqref="H6:H250">
    <cfRule type="cellIs" dxfId="31" priority="4" operator="between">
      <formula>70</formula>
      <formula>85</formula>
    </cfRule>
    <cfRule type="cellIs" dxfId="30" priority="5" operator="lessThan">
      <formula>70</formula>
    </cfRule>
    <cfRule type="cellIs" dxfId="29" priority="6" operator="greaterThan">
      <formula>85</formula>
    </cfRule>
  </conditionalFormatting>
  <conditionalFormatting sqref="I6:I250">
    <cfRule type="cellIs" dxfId="28" priority="3" operator="greaterThan">
      <formula>600</formula>
    </cfRule>
  </conditionalFormatting>
  <conditionalFormatting sqref="I5:K250">
    <cfRule type="cellIs" dxfId="27" priority="1" operator="between">
      <formula>400</formula>
      <formula>600</formula>
    </cfRule>
    <cfRule type="cellIs" dxfId="26" priority="2" operator="lessThan">
      <formula>400</formula>
    </cfRule>
  </conditionalFormatting>
  <conditionalFormatting sqref="Q6:Q250">
    <cfRule type="cellIs" dxfId="25" priority="7" operator="lessThan">
      <formula>60</formula>
    </cfRule>
    <cfRule type="cellIs" dxfId="24" priority="8" operator="greaterThan">
      <formula>60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D2EC-4108-47BD-8BDB-0B1ED71A6BD4}">
  <sheetPr filterMode="1"/>
  <dimension ref="A1:Z250"/>
  <sheetViews>
    <sheetView zoomScale="104" zoomScaleNormal="97" workbookViewId="0">
      <selection activeCell="A99" sqref="A99:XFD99"/>
    </sheetView>
  </sheetViews>
  <sheetFormatPr defaultRowHeight="15"/>
  <cols>
    <col min="1" max="1" width="22" bestFit="1" customWidth="1"/>
    <col min="2" max="2" width="9.5703125" bestFit="1" customWidth="1"/>
    <col min="3" max="3" width="12.140625" bestFit="1" customWidth="1"/>
    <col min="4" max="4" width="12.140625" customWidth="1"/>
    <col min="5" max="5" width="10.140625" bestFit="1" customWidth="1"/>
    <col min="6" max="6" width="12.140625" bestFit="1" customWidth="1"/>
    <col min="7" max="7" width="14.140625" bestFit="1" customWidth="1"/>
    <col min="8" max="8" width="12" bestFit="1" customWidth="1"/>
    <col min="10" max="10" width="18.42578125" bestFit="1" customWidth="1"/>
    <col min="11" max="11" width="20.140625" bestFit="1" customWidth="1"/>
    <col min="12" max="13" width="17.7109375" bestFit="1" customWidth="1"/>
    <col min="14" max="14" width="17.7109375" customWidth="1"/>
    <col min="15" max="15" width="17.7109375" bestFit="1" customWidth="1"/>
    <col min="16" max="16" width="18" bestFit="1" customWidth="1"/>
    <col min="17" max="17" width="12.28515625" bestFit="1" customWidth="1"/>
    <col min="18" max="18" width="8.7109375" bestFit="1" customWidth="1"/>
    <col min="19" max="19" width="18.28515625" bestFit="1" customWidth="1"/>
    <col min="20" max="20" width="28.85546875" bestFit="1" customWidth="1"/>
    <col min="21" max="21" width="19.5703125" bestFit="1" customWidth="1"/>
    <col min="22" max="22" width="28.28515625" bestFit="1" customWidth="1"/>
  </cols>
  <sheetData>
    <row r="1" spans="1:26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6" t="s">
        <v>36</v>
      </c>
      <c r="R1" s="26"/>
      <c r="S1" s="26"/>
      <c r="T1" s="1"/>
    </row>
    <row r="2" spans="1:26">
      <c r="A2" s="1" t="s">
        <v>37</v>
      </c>
      <c r="B2" s="1" t="s">
        <v>38</v>
      </c>
      <c r="C2" s="1" t="s">
        <v>39</v>
      </c>
      <c r="D2" s="1"/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3</v>
      </c>
      <c r="K2" s="1" t="s">
        <v>45</v>
      </c>
      <c r="L2" s="1" t="s">
        <v>46</v>
      </c>
      <c r="M2" s="1" t="s">
        <v>47</v>
      </c>
      <c r="N2" s="1" t="s">
        <v>49</v>
      </c>
      <c r="O2" s="1" t="s">
        <v>75</v>
      </c>
      <c r="P2" s="1" t="s">
        <v>76</v>
      </c>
      <c r="Q2" s="1" t="s">
        <v>51</v>
      </c>
      <c r="R2" s="1" t="s">
        <v>52</v>
      </c>
      <c r="S2" s="1" t="s">
        <v>53</v>
      </c>
      <c r="T2" s="1" t="s">
        <v>53</v>
      </c>
    </row>
    <row r="3" spans="1:26">
      <c r="A3" s="2" t="s">
        <v>94</v>
      </c>
      <c r="B3" s="2" t="s">
        <v>55</v>
      </c>
      <c r="C3" s="2">
        <v>21700</v>
      </c>
      <c r="D3" s="2"/>
      <c r="E3" s="2">
        <v>2023</v>
      </c>
      <c r="F3" s="2" t="s">
        <v>56</v>
      </c>
      <c r="G3" s="2" t="s">
        <v>57</v>
      </c>
      <c r="H3">
        <v>4000</v>
      </c>
      <c r="I3">
        <v>60</v>
      </c>
      <c r="J3" s="2">
        <v>140</v>
      </c>
      <c r="K3" s="2">
        <v>3</v>
      </c>
      <c r="L3" s="2">
        <v>4.2</v>
      </c>
      <c r="M3" s="2">
        <v>2.5</v>
      </c>
      <c r="N3">
        <v>3950</v>
      </c>
      <c r="O3">
        <v>3800</v>
      </c>
      <c r="P3">
        <v>2750</v>
      </c>
      <c r="Q3">
        <v>69</v>
      </c>
      <c r="R3">
        <v>6.0000000000000001E-3</v>
      </c>
      <c r="S3" s="4">
        <v>5</v>
      </c>
    </row>
    <row r="4" spans="1:26">
      <c r="A4" s="1" t="s">
        <v>58</v>
      </c>
    </row>
    <row r="5" spans="1:26">
      <c r="A5" s="3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80</v>
      </c>
      <c r="N5" s="1" t="s">
        <v>81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20</v>
      </c>
      <c r="Y5" s="1" t="s">
        <v>22</v>
      </c>
      <c r="Z5" s="1" t="s">
        <v>23</v>
      </c>
    </row>
    <row r="6" spans="1:26" hidden="1">
      <c r="A6" s="8">
        <v>16</v>
      </c>
      <c r="B6" s="1">
        <v>6</v>
      </c>
      <c r="C6" s="1">
        <v>12</v>
      </c>
      <c r="D6">
        <f>B6*$J$3</f>
        <v>840</v>
      </c>
      <c r="E6">
        <f>B6*$I$3</f>
        <v>360</v>
      </c>
      <c r="F6">
        <f>A6*B6*C6*$Q$3/1000</f>
        <v>79.488</v>
      </c>
      <c r="G6">
        <f>((B6*$R$3^(-1))^(-1))*A6*C6</f>
        <v>0.192</v>
      </c>
      <c r="H6">
        <f>E6*I6/1000</f>
        <v>290.30400000000003</v>
      </c>
      <c r="I6">
        <f>A6*C6*4.2</f>
        <v>806.40000000000009</v>
      </c>
      <c r="J6">
        <f>C6*A6*$K$3</f>
        <v>576</v>
      </c>
      <c r="K6">
        <f>E6*J6/1000</f>
        <v>207.36</v>
      </c>
      <c r="L6">
        <f>$N$3/1000*I6*B6/1000</f>
        <v>19.111680000000003</v>
      </c>
      <c r="M6">
        <f>$O$3/1000*I6*B6/1000</f>
        <v>18.385920000000002</v>
      </c>
      <c r="N6">
        <f>$P$3/1000*I6*B6/1000</f>
        <v>13.305600000000002</v>
      </c>
      <c r="O6">
        <f>L6*(($L$3-$K$3)/($L$3-$M$3))</f>
        <v>13.490597647058827</v>
      </c>
      <c r="P6">
        <f>$H$3/1000*B6*I6/277.8/C6</f>
        <v>5.8056155507559408</v>
      </c>
      <c r="Q6">
        <f>I6/C6</f>
        <v>67.2</v>
      </c>
      <c r="R6">
        <f>(A6*B6*C6)</f>
        <v>1152</v>
      </c>
      <c r="S6">
        <f>J6-(G6*E6)</f>
        <v>506.88</v>
      </c>
      <c r="T6">
        <f>G6*E6</f>
        <v>69.12</v>
      </c>
      <c r="U6">
        <f>I6*E6/'[1]Inverter Analysis'!$L$2</f>
        <v>695.65653417846477</v>
      </c>
      <c r="V6">
        <f>80000/J6</f>
        <v>138.88888888888889</v>
      </c>
      <c r="W6">
        <f>80000/S6</f>
        <v>157.82828282828282</v>
      </c>
      <c r="X6">
        <f>80000/I6</f>
        <v>99.206349206349202</v>
      </c>
      <c r="Y6">
        <f>(MAX(V6:X6)^2)*$R$3/1000</f>
        <v>0.14945860116314663</v>
      </c>
      <c r="Z6">
        <f>($S$3*F6/(Y6*1000))*10</f>
        <v>26.591979110399997</v>
      </c>
    </row>
    <row r="7" spans="1:26" hidden="1">
      <c r="A7" s="8">
        <v>15</v>
      </c>
      <c r="B7" s="1">
        <v>6</v>
      </c>
      <c r="C7" s="1">
        <v>12</v>
      </c>
      <c r="D7">
        <f t="shared" ref="D7:D70" si="0">B7*$J$3</f>
        <v>840</v>
      </c>
      <c r="E7">
        <f t="shared" ref="E7:E70" si="1">B7*$I$3</f>
        <v>360</v>
      </c>
      <c r="F7">
        <f t="shared" ref="F7:F70" si="2">A7*B7*C7*$Q$3/1000</f>
        <v>74.52</v>
      </c>
      <c r="G7">
        <f t="shared" ref="G7:G70" si="3">((B7*$R$3^(-1))^(-1))*A7*C7</f>
        <v>0.18</v>
      </c>
      <c r="H7">
        <f t="shared" ref="H7:H70" si="4">E7*I7/1000</f>
        <v>272.16000000000003</v>
      </c>
      <c r="I7">
        <f t="shared" ref="I7:I70" si="5">A7*C7*4.2</f>
        <v>756</v>
      </c>
      <c r="J7">
        <f t="shared" ref="J7:J70" si="6">C7*A7*$K$3</f>
        <v>540</v>
      </c>
      <c r="K7">
        <f t="shared" ref="K7:K70" si="7">E7*J7/1000</f>
        <v>194.4</v>
      </c>
      <c r="L7">
        <f t="shared" ref="L7:L70" si="8">$N$3/1000*I7*B7/1000</f>
        <v>17.917200000000001</v>
      </c>
      <c r="M7">
        <f t="shared" ref="M7:M70" si="9">$O$3/1000*I7*B7/1000</f>
        <v>17.236799999999999</v>
      </c>
      <c r="N7">
        <f t="shared" ref="N7:N70" si="10">$P$3/1000*I7*B7/1000</f>
        <v>12.474</v>
      </c>
      <c r="O7">
        <f t="shared" ref="O7:O70" si="11">L7*(($L$3-$K$3)/($L$3-$M$3))</f>
        <v>12.647435294117649</v>
      </c>
      <c r="P7">
        <f t="shared" ref="P7:P70" si="12">$H$3/1000*B7*I7/277.8/C7</f>
        <v>5.4427645788336934</v>
      </c>
      <c r="Q7">
        <f t="shared" ref="Q7:Q70" si="13">I7/C7</f>
        <v>63</v>
      </c>
      <c r="R7">
        <f t="shared" ref="R7:R70" si="14">(A7*B7*C7)</f>
        <v>1080</v>
      </c>
      <c r="S7">
        <f t="shared" ref="S7:S70" si="15">J7-(G7*E7)</f>
        <v>475.2</v>
      </c>
      <c r="T7">
        <f t="shared" ref="T7:T70" si="16">G7*E7</f>
        <v>64.8</v>
      </c>
      <c r="U7">
        <f>I7*E7/'[1]Inverter Analysis'!$L$2</f>
        <v>652.17800079231063</v>
      </c>
      <c r="V7">
        <f t="shared" ref="V7:V70" si="17">80000/J7</f>
        <v>148.14814814814815</v>
      </c>
      <c r="W7">
        <f t="shared" ref="W7:W70" si="18">80000/S7</f>
        <v>168.35016835016836</v>
      </c>
      <c r="X7">
        <f t="shared" ref="X7:X70" si="19">80000/I7</f>
        <v>105.82010582010582</v>
      </c>
      <c r="Y7">
        <f t="shared" ref="Y7:Y70" si="20">(MAX(V7:X7)^2)*$R$3/1000</f>
        <v>0.17005067510118019</v>
      </c>
      <c r="Z7">
        <f t="shared" ref="Z7:Z70" si="21">($S$3*F7/(Y7*1000))*10</f>
        <v>21.911115599999995</v>
      </c>
    </row>
    <row r="8" spans="1:26" hidden="1">
      <c r="A8">
        <v>14</v>
      </c>
      <c r="B8" s="1">
        <v>6</v>
      </c>
      <c r="C8" s="1">
        <v>12</v>
      </c>
      <c r="D8">
        <f t="shared" si="0"/>
        <v>840</v>
      </c>
      <c r="E8">
        <f t="shared" si="1"/>
        <v>360</v>
      </c>
      <c r="F8">
        <f t="shared" si="2"/>
        <v>69.552000000000007</v>
      </c>
      <c r="G8">
        <f t="shared" si="3"/>
        <v>0.16800000000000001</v>
      </c>
      <c r="H8">
        <f t="shared" si="4"/>
        <v>254.01599999999999</v>
      </c>
      <c r="I8">
        <f t="shared" si="5"/>
        <v>705.6</v>
      </c>
      <c r="J8">
        <f t="shared" si="6"/>
        <v>504</v>
      </c>
      <c r="K8">
        <f t="shared" si="7"/>
        <v>181.44</v>
      </c>
      <c r="L8">
        <f t="shared" si="8"/>
        <v>16.722720000000002</v>
      </c>
      <c r="M8">
        <f t="shared" si="9"/>
        <v>16.087679999999999</v>
      </c>
      <c r="N8">
        <f t="shared" si="10"/>
        <v>11.642400000000002</v>
      </c>
      <c r="O8">
        <f t="shared" si="11"/>
        <v>11.804272941176473</v>
      </c>
      <c r="P8">
        <f t="shared" si="12"/>
        <v>5.0799136069114477</v>
      </c>
      <c r="Q8">
        <f t="shared" si="13"/>
        <v>58.800000000000004</v>
      </c>
      <c r="R8">
        <f t="shared" si="14"/>
        <v>1008</v>
      </c>
      <c r="S8">
        <f t="shared" si="15"/>
        <v>443.52</v>
      </c>
      <c r="T8">
        <f t="shared" si="16"/>
        <v>60.480000000000004</v>
      </c>
      <c r="U8">
        <f>I8*E8/'[1]Inverter Analysis'!$L$2</f>
        <v>608.6994674061566</v>
      </c>
      <c r="V8">
        <f t="shared" si="17"/>
        <v>158.73015873015873</v>
      </c>
      <c r="W8">
        <f t="shared" si="18"/>
        <v>180.37518037518038</v>
      </c>
      <c r="X8">
        <f t="shared" si="19"/>
        <v>113.37868480725623</v>
      </c>
      <c r="Y8">
        <f t="shared" si="20"/>
        <v>0.19521123417227315</v>
      </c>
      <c r="Z8">
        <f t="shared" si="21"/>
        <v>17.814548505600001</v>
      </c>
    </row>
    <row r="9" spans="1:26" hidden="1">
      <c r="A9">
        <v>13</v>
      </c>
      <c r="B9" s="1">
        <v>6</v>
      </c>
      <c r="C9" s="1">
        <v>12</v>
      </c>
      <c r="D9">
        <f t="shared" si="0"/>
        <v>840</v>
      </c>
      <c r="E9">
        <f t="shared" si="1"/>
        <v>360</v>
      </c>
      <c r="F9">
        <f t="shared" si="2"/>
        <v>64.584000000000003</v>
      </c>
      <c r="G9">
        <f t="shared" si="3"/>
        <v>0.15600000000000003</v>
      </c>
      <c r="H9">
        <f t="shared" si="4"/>
        <v>235.87200000000004</v>
      </c>
      <c r="I9">
        <f t="shared" si="5"/>
        <v>655.20000000000005</v>
      </c>
      <c r="J9">
        <f t="shared" si="6"/>
        <v>468</v>
      </c>
      <c r="K9">
        <f t="shared" si="7"/>
        <v>168.48</v>
      </c>
      <c r="L9">
        <f t="shared" si="8"/>
        <v>15.528240000000002</v>
      </c>
      <c r="M9">
        <f t="shared" si="9"/>
        <v>14.938560000000001</v>
      </c>
      <c r="N9">
        <f t="shared" si="10"/>
        <v>10.8108</v>
      </c>
      <c r="O9">
        <f t="shared" si="11"/>
        <v>10.961110588235297</v>
      </c>
      <c r="P9">
        <f t="shared" si="12"/>
        <v>4.7170626349892011</v>
      </c>
      <c r="Q9">
        <f t="shared" si="13"/>
        <v>54.6</v>
      </c>
      <c r="R9">
        <f t="shared" si="14"/>
        <v>936</v>
      </c>
      <c r="S9">
        <f t="shared" si="15"/>
        <v>411.84</v>
      </c>
      <c r="T9">
        <f t="shared" si="16"/>
        <v>56.160000000000011</v>
      </c>
      <c r="U9">
        <f>I9*E9/'[1]Inverter Analysis'!$L$2</f>
        <v>565.22093402000257</v>
      </c>
      <c r="V9">
        <f t="shared" si="17"/>
        <v>170.94017094017093</v>
      </c>
      <c r="W9">
        <f t="shared" si="18"/>
        <v>194.25019425019426</v>
      </c>
      <c r="X9">
        <f t="shared" si="19"/>
        <v>122.10012210012209</v>
      </c>
      <c r="Y9">
        <f t="shared" si="20"/>
        <v>0.22639882779742923</v>
      </c>
      <c r="Z9">
        <f t="shared" si="21"/>
        <v>14.263324732800001</v>
      </c>
    </row>
    <row r="10" spans="1:26" hidden="1">
      <c r="A10">
        <v>12</v>
      </c>
      <c r="B10" s="1">
        <v>6</v>
      </c>
      <c r="C10" s="1">
        <v>12</v>
      </c>
      <c r="D10">
        <f t="shared" si="0"/>
        <v>840</v>
      </c>
      <c r="E10">
        <f t="shared" si="1"/>
        <v>360</v>
      </c>
      <c r="F10">
        <f t="shared" si="2"/>
        <v>59.616</v>
      </c>
      <c r="G10">
        <f t="shared" si="3"/>
        <v>0.14400000000000002</v>
      </c>
      <c r="H10">
        <f t="shared" si="4"/>
        <v>217.72800000000004</v>
      </c>
      <c r="I10">
        <f t="shared" si="5"/>
        <v>604.80000000000007</v>
      </c>
      <c r="J10">
        <f t="shared" si="6"/>
        <v>432</v>
      </c>
      <c r="K10">
        <f t="shared" si="7"/>
        <v>155.52000000000001</v>
      </c>
      <c r="L10">
        <f t="shared" si="8"/>
        <v>14.333760000000002</v>
      </c>
      <c r="M10">
        <f t="shared" si="9"/>
        <v>13.789440000000003</v>
      </c>
      <c r="N10">
        <f t="shared" si="10"/>
        <v>9.9792000000000005</v>
      </c>
      <c r="O10">
        <f t="shared" si="11"/>
        <v>10.117948235294119</v>
      </c>
      <c r="P10">
        <f t="shared" si="12"/>
        <v>4.3542116630669545</v>
      </c>
      <c r="Q10">
        <f t="shared" si="13"/>
        <v>50.400000000000006</v>
      </c>
      <c r="R10">
        <f t="shared" si="14"/>
        <v>864</v>
      </c>
      <c r="S10">
        <f t="shared" si="15"/>
        <v>380.15999999999997</v>
      </c>
      <c r="T10">
        <f t="shared" si="16"/>
        <v>51.84</v>
      </c>
      <c r="U10">
        <f>I10*E10/'[1]Inverter Analysis'!$L$2</f>
        <v>521.74240063384855</v>
      </c>
      <c r="V10">
        <f t="shared" si="17"/>
        <v>185.18518518518519</v>
      </c>
      <c r="W10">
        <f t="shared" si="18"/>
        <v>210.43771043771045</v>
      </c>
      <c r="X10">
        <f t="shared" si="19"/>
        <v>132.27513227513225</v>
      </c>
      <c r="Y10">
        <f t="shared" si="20"/>
        <v>0.26570417984559402</v>
      </c>
      <c r="Z10">
        <f t="shared" si="21"/>
        <v>11.2184911872</v>
      </c>
    </row>
    <row r="11" spans="1:26" hidden="1">
      <c r="A11">
        <v>11</v>
      </c>
      <c r="B11" s="1">
        <v>6</v>
      </c>
      <c r="C11" s="1">
        <v>12</v>
      </c>
      <c r="D11">
        <f t="shared" si="0"/>
        <v>840</v>
      </c>
      <c r="E11">
        <f t="shared" si="1"/>
        <v>360</v>
      </c>
      <c r="F11">
        <f t="shared" si="2"/>
        <v>54.648000000000003</v>
      </c>
      <c r="G11">
        <f t="shared" si="3"/>
        <v>0.13200000000000001</v>
      </c>
      <c r="H11">
        <f t="shared" si="4"/>
        <v>199.584</v>
      </c>
      <c r="I11">
        <f t="shared" si="5"/>
        <v>554.4</v>
      </c>
      <c r="J11">
        <f t="shared" si="6"/>
        <v>396</v>
      </c>
      <c r="K11">
        <f t="shared" si="7"/>
        <v>142.56</v>
      </c>
      <c r="L11">
        <f t="shared" si="8"/>
        <v>13.139280000000001</v>
      </c>
      <c r="M11">
        <f t="shared" si="9"/>
        <v>12.640319999999999</v>
      </c>
      <c r="N11">
        <f t="shared" si="10"/>
        <v>9.1475999999999988</v>
      </c>
      <c r="O11">
        <f t="shared" si="11"/>
        <v>9.2747858823529423</v>
      </c>
      <c r="P11">
        <f t="shared" si="12"/>
        <v>3.9913606911447079</v>
      </c>
      <c r="Q11">
        <f t="shared" si="13"/>
        <v>46.199999999999996</v>
      </c>
      <c r="R11">
        <f t="shared" si="14"/>
        <v>792</v>
      </c>
      <c r="S11">
        <f t="shared" si="15"/>
        <v>348.48</v>
      </c>
      <c r="T11">
        <f t="shared" si="16"/>
        <v>47.52</v>
      </c>
      <c r="U11">
        <f>I11*E11/'[1]Inverter Analysis'!$L$2</f>
        <v>478.26386724769446</v>
      </c>
      <c r="V11">
        <f t="shared" si="17"/>
        <v>202.02020202020202</v>
      </c>
      <c r="W11">
        <f t="shared" si="18"/>
        <v>229.5684113865932</v>
      </c>
      <c r="X11">
        <f t="shared" si="19"/>
        <v>144.3001443001443</v>
      </c>
      <c r="Y11">
        <f t="shared" si="20"/>
        <v>0.31620993303938455</v>
      </c>
      <c r="Z11">
        <f t="shared" si="21"/>
        <v>8.6410947744000008</v>
      </c>
    </row>
    <row r="12" spans="1:26" hidden="1">
      <c r="A12">
        <v>10</v>
      </c>
      <c r="B12" s="1">
        <v>6</v>
      </c>
      <c r="C12" s="1">
        <v>12</v>
      </c>
      <c r="D12">
        <f t="shared" si="0"/>
        <v>840</v>
      </c>
      <c r="E12">
        <f t="shared" si="1"/>
        <v>360</v>
      </c>
      <c r="F12">
        <f t="shared" si="2"/>
        <v>49.68</v>
      </c>
      <c r="G12">
        <f t="shared" si="3"/>
        <v>0.12</v>
      </c>
      <c r="H12">
        <f t="shared" si="4"/>
        <v>181.44</v>
      </c>
      <c r="I12">
        <f t="shared" si="5"/>
        <v>504</v>
      </c>
      <c r="J12">
        <f t="shared" si="6"/>
        <v>360</v>
      </c>
      <c r="K12">
        <f t="shared" si="7"/>
        <v>129.6</v>
      </c>
      <c r="L12">
        <f t="shared" si="8"/>
        <v>11.944800000000001</v>
      </c>
      <c r="M12">
        <f t="shared" si="9"/>
        <v>11.491199999999999</v>
      </c>
      <c r="N12">
        <f t="shared" si="10"/>
        <v>8.3160000000000007</v>
      </c>
      <c r="O12">
        <f t="shared" si="11"/>
        <v>8.4316235294117661</v>
      </c>
      <c r="P12">
        <f t="shared" si="12"/>
        <v>3.6285097192224622</v>
      </c>
      <c r="Q12">
        <f t="shared" si="13"/>
        <v>42</v>
      </c>
      <c r="R12">
        <f t="shared" si="14"/>
        <v>720</v>
      </c>
      <c r="S12">
        <f t="shared" si="15"/>
        <v>316.8</v>
      </c>
      <c r="T12">
        <f t="shared" si="16"/>
        <v>43.199999999999996</v>
      </c>
      <c r="U12">
        <f>I12*E12/'[1]Inverter Analysis'!$L$2</f>
        <v>434.78533386154038</v>
      </c>
      <c r="V12">
        <f t="shared" si="17"/>
        <v>222.22222222222223</v>
      </c>
      <c r="W12">
        <f t="shared" si="18"/>
        <v>252.52525252525251</v>
      </c>
      <c r="X12">
        <f t="shared" si="19"/>
        <v>158.73015873015873</v>
      </c>
      <c r="Y12">
        <f t="shared" si="20"/>
        <v>0.38261401897765529</v>
      </c>
      <c r="Z12">
        <f t="shared" si="21"/>
        <v>6.4921824000000008</v>
      </c>
    </row>
    <row r="13" spans="1:26" hidden="1">
      <c r="A13" s="8">
        <v>16</v>
      </c>
      <c r="B13" s="9">
        <v>5</v>
      </c>
      <c r="C13" s="9">
        <v>12</v>
      </c>
      <c r="D13">
        <f t="shared" si="0"/>
        <v>700</v>
      </c>
      <c r="E13">
        <f t="shared" si="1"/>
        <v>300</v>
      </c>
      <c r="F13">
        <f t="shared" si="2"/>
        <v>66.239999999999995</v>
      </c>
      <c r="G13">
        <f t="shared" si="3"/>
        <v>0.23040000000000002</v>
      </c>
      <c r="H13">
        <f t="shared" si="4"/>
        <v>241.92000000000002</v>
      </c>
      <c r="I13">
        <f t="shared" si="5"/>
        <v>806.40000000000009</v>
      </c>
      <c r="J13">
        <f t="shared" si="6"/>
        <v>576</v>
      </c>
      <c r="K13">
        <f t="shared" si="7"/>
        <v>172.8</v>
      </c>
      <c r="L13">
        <f t="shared" si="8"/>
        <v>15.926400000000003</v>
      </c>
      <c r="M13">
        <f t="shared" si="9"/>
        <v>15.3216</v>
      </c>
      <c r="N13">
        <f t="shared" si="10"/>
        <v>11.088000000000001</v>
      </c>
      <c r="O13">
        <f t="shared" si="11"/>
        <v>11.242164705882356</v>
      </c>
      <c r="P13">
        <f t="shared" si="12"/>
        <v>4.8380129589632839</v>
      </c>
      <c r="Q13">
        <f t="shared" si="13"/>
        <v>67.2</v>
      </c>
      <c r="R13">
        <f t="shared" si="14"/>
        <v>960</v>
      </c>
      <c r="S13">
        <f t="shared" si="15"/>
        <v>506.88</v>
      </c>
      <c r="T13">
        <f t="shared" si="16"/>
        <v>69.12</v>
      </c>
      <c r="U13">
        <f>I13*E13/'[1]Inverter Analysis'!$L$2</f>
        <v>579.71377848205395</v>
      </c>
      <c r="V13">
        <f t="shared" si="17"/>
        <v>138.88888888888889</v>
      </c>
      <c r="W13">
        <f t="shared" si="18"/>
        <v>157.82828282828282</v>
      </c>
      <c r="X13">
        <f t="shared" si="19"/>
        <v>99.206349206349202</v>
      </c>
      <c r="Y13">
        <f t="shared" si="20"/>
        <v>0.14945860116314663</v>
      </c>
      <c r="Z13">
        <f t="shared" si="21"/>
        <v>22.159982591999995</v>
      </c>
    </row>
    <row r="14" spans="1:26" s="7" customFormat="1" hidden="1">
      <c r="A14" s="8">
        <v>15</v>
      </c>
      <c r="B14" s="9">
        <v>5</v>
      </c>
      <c r="C14" s="9">
        <v>12</v>
      </c>
      <c r="D14">
        <f t="shared" si="0"/>
        <v>700</v>
      </c>
      <c r="E14">
        <f t="shared" si="1"/>
        <v>300</v>
      </c>
      <c r="F14">
        <f t="shared" si="2"/>
        <v>62.1</v>
      </c>
      <c r="G14">
        <f t="shared" si="3"/>
        <v>0.21600000000000003</v>
      </c>
      <c r="H14">
        <f t="shared" si="4"/>
        <v>226.8</v>
      </c>
      <c r="I14">
        <f t="shared" si="5"/>
        <v>756</v>
      </c>
      <c r="J14">
        <f t="shared" si="6"/>
        <v>540</v>
      </c>
      <c r="K14">
        <f t="shared" si="7"/>
        <v>162</v>
      </c>
      <c r="L14">
        <f t="shared" si="8"/>
        <v>14.931000000000001</v>
      </c>
      <c r="M14">
        <f t="shared" si="9"/>
        <v>14.363999999999999</v>
      </c>
      <c r="N14">
        <f t="shared" si="10"/>
        <v>10.395</v>
      </c>
      <c r="O14">
        <f t="shared" si="11"/>
        <v>10.539529411764708</v>
      </c>
      <c r="P14">
        <f t="shared" si="12"/>
        <v>4.5356371490280774</v>
      </c>
      <c r="Q14">
        <f t="shared" si="13"/>
        <v>63</v>
      </c>
      <c r="R14">
        <f t="shared" si="14"/>
        <v>900</v>
      </c>
      <c r="S14">
        <f t="shared" si="15"/>
        <v>475.2</v>
      </c>
      <c r="T14">
        <f t="shared" si="16"/>
        <v>64.800000000000011</v>
      </c>
      <c r="U14">
        <f>I14*E14/'[1]Inverter Analysis'!$L$2</f>
        <v>543.4816673269255</v>
      </c>
      <c r="V14">
        <f t="shared" si="17"/>
        <v>148.14814814814815</v>
      </c>
      <c r="W14">
        <f t="shared" si="18"/>
        <v>168.35016835016836</v>
      </c>
      <c r="X14">
        <f t="shared" si="19"/>
        <v>105.82010582010582</v>
      </c>
      <c r="Y14">
        <f t="shared" si="20"/>
        <v>0.17005067510118019</v>
      </c>
      <c r="Z14">
        <f t="shared" si="21"/>
        <v>18.259262999999997</v>
      </c>
    </row>
    <row r="15" spans="1:26" hidden="1">
      <c r="A15">
        <v>14</v>
      </c>
      <c r="B15" s="9">
        <v>5</v>
      </c>
      <c r="C15">
        <v>12</v>
      </c>
      <c r="D15">
        <f t="shared" si="0"/>
        <v>700</v>
      </c>
      <c r="E15">
        <f t="shared" si="1"/>
        <v>300</v>
      </c>
      <c r="F15">
        <f t="shared" si="2"/>
        <v>57.96</v>
      </c>
      <c r="G15">
        <f t="shared" si="3"/>
        <v>0.20160000000000003</v>
      </c>
      <c r="H15">
        <f t="shared" si="4"/>
        <v>211.68</v>
      </c>
      <c r="I15">
        <f t="shared" si="5"/>
        <v>705.6</v>
      </c>
      <c r="J15">
        <f t="shared" si="6"/>
        <v>504</v>
      </c>
      <c r="K15">
        <f t="shared" si="7"/>
        <v>151.19999999999999</v>
      </c>
      <c r="L15">
        <f t="shared" si="8"/>
        <v>13.935600000000003</v>
      </c>
      <c r="M15">
        <f t="shared" si="9"/>
        <v>13.406399999999998</v>
      </c>
      <c r="N15">
        <f t="shared" si="10"/>
        <v>9.702</v>
      </c>
      <c r="O15">
        <f t="shared" si="11"/>
        <v>9.836894117647061</v>
      </c>
      <c r="P15">
        <f t="shared" si="12"/>
        <v>4.2332613390928726</v>
      </c>
      <c r="Q15">
        <f t="shared" si="13"/>
        <v>58.800000000000004</v>
      </c>
      <c r="R15">
        <f t="shared" si="14"/>
        <v>840</v>
      </c>
      <c r="S15">
        <f t="shared" si="15"/>
        <v>443.52</v>
      </c>
      <c r="T15">
        <f t="shared" si="16"/>
        <v>60.480000000000011</v>
      </c>
      <c r="U15">
        <f>I15*E15/'[1]Inverter Analysis'!$L$2</f>
        <v>507.24955617179717</v>
      </c>
      <c r="V15">
        <f t="shared" si="17"/>
        <v>158.73015873015873</v>
      </c>
      <c r="W15">
        <f t="shared" si="18"/>
        <v>180.37518037518038</v>
      </c>
      <c r="X15">
        <f t="shared" si="19"/>
        <v>113.37868480725623</v>
      </c>
      <c r="Y15">
        <f t="shared" si="20"/>
        <v>0.19521123417227315</v>
      </c>
      <c r="Z15">
        <f t="shared" si="21"/>
        <v>14.845457088</v>
      </c>
    </row>
    <row r="16" spans="1:26" hidden="1">
      <c r="A16">
        <v>13</v>
      </c>
      <c r="B16" s="9">
        <v>5</v>
      </c>
      <c r="C16">
        <v>12</v>
      </c>
      <c r="D16">
        <f t="shared" si="0"/>
        <v>700</v>
      </c>
      <c r="E16">
        <f t="shared" si="1"/>
        <v>300</v>
      </c>
      <c r="F16">
        <f t="shared" si="2"/>
        <v>53.82</v>
      </c>
      <c r="G16">
        <f t="shared" si="3"/>
        <v>0.18720000000000001</v>
      </c>
      <c r="H16">
        <f t="shared" si="4"/>
        <v>196.56</v>
      </c>
      <c r="I16">
        <f t="shared" si="5"/>
        <v>655.20000000000005</v>
      </c>
      <c r="J16">
        <f t="shared" si="6"/>
        <v>468</v>
      </c>
      <c r="K16">
        <f t="shared" si="7"/>
        <v>140.4</v>
      </c>
      <c r="L16">
        <f t="shared" si="8"/>
        <v>12.940200000000003</v>
      </c>
      <c r="M16">
        <f t="shared" si="9"/>
        <v>12.4488</v>
      </c>
      <c r="N16">
        <f t="shared" si="10"/>
        <v>9.0090000000000003</v>
      </c>
      <c r="O16">
        <f t="shared" si="11"/>
        <v>9.1342588235294144</v>
      </c>
      <c r="P16">
        <f t="shared" si="12"/>
        <v>3.930885529157667</v>
      </c>
      <c r="Q16">
        <f t="shared" si="13"/>
        <v>54.6</v>
      </c>
      <c r="R16">
        <f t="shared" si="14"/>
        <v>780</v>
      </c>
      <c r="S16">
        <f t="shared" si="15"/>
        <v>411.84</v>
      </c>
      <c r="T16">
        <f t="shared" si="16"/>
        <v>56.160000000000004</v>
      </c>
      <c r="U16">
        <f>I16*E16/'[1]Inverter Analysis'!$L$2</f>
        <v>471.01744501666877</v>
      </c>
      <c r="V16">
        <f t="shared" si="17"/>
        <v>170.94017094017093</v>
      </c>
      <c r="W16">
        <f t="shared" si="18"/>
        <v>194.25019425019426</v>
      </c>
      <c r="X16">
        <f t="shared" si="19"/>
        <v>122.10012210012209</v>
      </c>
      <c r="Y16">
        <f t="shared" si="20"/>
        <v>0.22639882779742923</v>
      </c>
      <c r="Z16">
        <f t="shared" si="21"/>
        <v>11.886103943999998</v>
      </c>
    </row>
    <row r="17" spans="1:26" hidden="1">
      <c r="A17">
        <v>12</v>
      </c>
      <c r="B17" s="9">
        <v>5</v>
      </c>
      <c r="C17">
        <v>12</v>
      </c>
      <c r="D17">
        <f t="shared" si="0"/>
        <v>700</v>
      </c>
      <c r="E17">
        <f t="shared" si="1"/>
        <v>300</v>
      </c>
      <c r="F17">
        <f t="shared" si="2"/>
        <v>49.68</v>
      </c>
      <c r="G17">
        <f t="shared" si="3"/>
        <v>0.17280000000000001</v>
      </c>
      <c r="H17">
        <f t="shared" si="4"/>
        <v>181.44000000000003</v>
      </c>
      <c r="I17">
        <f t="shared" si="5"/>
        <v>604.80000000000007</v>
      </c>
      <c r="J17">
        <f t="shared" si="6"/>
        <v>432</v>
      </c>
      <c r="K17">
        <f t="shared" si="7"/>
        <v>129.6</v>
      </c>
      <c r="L17">
        <f t="shared" si="8"/>
        <v>11.944800000000003</v>
      </c>
      <c r="M17">
        <f t="shared" si="9"/>
        <v>11.491200000000001</v>
      </c>
      <c r="N17">
        <f t="shared" si="10"/>
        <v>8.3160000000000025</v>
      </c>
      <c r="O17">
        <f t="shared" si="11"/>
        <v>8.4316235294117678</v>
      </c>
      <c r="P17">
        <f t="shared" si="12"/>
        <v>3.6285097192224627</v>
      </c>
      <c r="Q17">
        <f t="shared" si="13"/>
        <v>50.400000000000006</v>
      </c>
      <c r="R17">
        <f t="shared" si="14"/>
        <v>720</v>
      </c>
      <c r="S17">
        <f t="shared" si="15"/>
        <v>380.15999999999997</v>
      </c>
      <c r="T17">
        <f t="shared" si="16"/>
        <v>51.84</v>
      </c>
      <c r="U17">
        <f>I17*E17/'[1]Inverter Analysis'!$L$2</f>
        <v>434.78533386154049</v>
      </c>
      <c r="V17">
        <f t="shared" si="17"/>
        <v>185.18518518518519</v>
      </c>
      <c r="W17">
        <f t="shared" si="18"/>
        <v>210.43771043771045</v>
      </c>
      <c r="X17">
        <f t="shared" si="19"/>
        <v>132.27513227513225</v>
      </c>
      <c r="Y17">
        <f t="shared" si="20"/>
        <v>0.26570417984559402</v>
      </c>
      <c r="Z17">
        <f t="shared" si="21"/>
        <v>9.3487426559999989</v>
      </c>
    </row>
    <row r="18" spans="1:26" hidden="1">
      <c r="A18">
        <v>11</v>
      </c>
      <c r="B18" s="9">
        <v>5</v>
      </c>
      <c r="C18">
        <v>12</v>
      </c>
      <c r="D18">
        <f t="shared" si="0"/>
        <v>700</v>
      </c>
      <c r="E18">
        <f t="shared" si="1"/>
        <v>300</v>
      </c>
      <c r="F18">
        <f t="shared" si="2"/>
        <v>45.54</v>
      </c>
      <c r="G18">
        <f t="shared" si="3"/>
        <v>0.15840000000000001</v>
      </c>
      <c r="H18">
        <f t="shared" si="4"/>
        <v>166.32</v>
      </c>
      <c r="I18">
        <f t="shared" si="5"/>
        <v>554.4</v>
      </c>
      <c r="J18">
        <f t="shared" si="6"/>
        <v>396</v>
      </c>
      <c r="K18">
        <f t="shared" si="7"/>
        <v>118.8</v>
      </c>
      <c r="L18">
        <f t="shared" si="8"/>
        <v>10.949400000000001</v>
      </c>
      <c r="M18">
        <f t="shared" si="9"/>
        <v>10.533599999999998</v>
      </c>
      <c r="N18">
        <f t="shared" si="10"/>
        <v>7.6230000000000002</v>
      </c>
      <c r="O18">
        <f t="shared" si="11"/>
        <v>7.7289882352941186</v>
      </c>
      <c r="P18">
        <f t="shared" si="12"/>
        <v>3.3261339092872571</v>
      </c>
      <c r="Q18">
        <f t="shared" si="13"/>
        <v>46.199999999999996</v>
      </c>
      <c r="R18">
        <f t="shared" si="14"/>
        <v>660</v>
      </c>
      <c r="S18">
        <f t="shared" si="15"/>
        <v>348.48</v>
      </c>
      <c r="T18">
        <f t="shared" si="16"/>
        <v>47.52</v>
      </c>
      <c r="U18">
        <f>I18*E18/'[1]Inverter Analysis'!$L$2</f>
        <v>398.55322270641204</v>
      </c>
      <c r="V18">
        <f t="shared" si="17"/>
        <v>202.02020202020202</v>
      </c>
      <c r="W18">
        <f t="shared" si="18"/>
        <v>229.5684113865932</v>
      </c>
      <c r="X18">
        <f t="shared" si="19"/>
        <v>144.3001443001443</v>
      </c>
      <c r="Y18">
        <f t="shared" si="20"/>
        <v>0.31620993303938455</v>
      </c>
      <c r="Z18">
        <f t="shared" si="21"/>
        <v>7.2009123119999998</v>
      </c>
    </row>
    <row r="19" spans="1:26" hidden="1">
      <c r="A19">
        <v>10</v>
      </c>
      <c r="B19" s="9">
        <v>5</v>
      </c>
      <c r="C19">
        <v>12</v>
      </c>
      <c r="D19">
        <f t="shared" si="0"/>
        <v>700</v>
      </c>
      <c r="E19">
        <f t="shared" si="1"/>
        <v>300</v>
      </c>
      <c r="F19">
        <f t="shared" si="2"/>
        <v>41.4</v>
      </c>
      <c r="G19">
        <f t="shared" si="3"/>
        <v>0.14400000000000002</v>
      </c>
      <c r="H19">
        <f t="shared" si="4"/>
        <v>151.19999999999999</v>
      </c>
      <c r="I19">
        <f t="shared" si="5"/>
        <v>504</v>
      </c>
      <c r="J19">
        <f t="shared" si="6"/>
        <v>360</v>
      </c>
      <c r="K19">
        <f t="shared" si="7"/>
        <v>108</v>
      </c>
      <c r="L19">
        <f t="shared" si="8"/>
        <v>9.9540000000000006</v>
      </c>
      <c r="M19">
        <f t="shared" si="9"/>
        <v>9.5760000000000005</v>
      </c>
      <c r="N19">
        <f t="shared" si="10"/>
        <v>6.93</v>
      </c>
      <c r="O19">
        <f t="shared" si="11"/>
        <v>7.0263529411764711</v>
      </c>
      <c r="P19">
        <f t="shared" si="12"/>
        <v>3.0237580993520514</v>
      </c>
      <c r="Q19">
        <f t="shared" si="13"/>
        <v>42</v>
      </c>
      <c r="R19">
        <f t="shared" si="14"/>
        <v>600</v>
      </c>
      <c r="S19">
        <f t="shared" si="15"/>
        <v>316.8</v>
      </c>
      <c r="T19">
        <f t="shared" si="16"/>
        <v>43.2</v>
      </c>
      <c r="U19">
        <f>I19*E19/'[1]Inverter Analysis'!$L$2</f>
        <v>362.32111155128365</v>
      </c>
      <c r="V19">
        <f t="shared" si="17"/>
        <v>222.22222222222223</v>
      </c>
      <c r="W19">
        <f t="shared" si="18"/>
        <v>252.52525252525251</v>
      </c>
      <c r="X19">
        <f t="shared" si="19"/>
        <v>158.73015873015873</v>
      </c>
      <c r="Y19">
        <f t="shared" si="20"/>
        <v>0.38261401897765529</v>
      </c>
      <c r="Z19">
        <f t="shared" si="21"/>
        <v>5.4101520000000001</v>
      </c>
    </row>
    <row r="20" spans="1:26" hidden="1">
      <c r="A20">
        <v>16</v>
      </c>
      <c r="B20">
        <v>4</v>
      </c>
      <c r="C20">
        <v>12</v>
      </c>
      <c r="D20">
        <f t="shared" si="0"/>
        <v>560</v>
      </c>
      <c r="E20">
        <f t="shared" si="1"/>
        <v>240</v>
      </c>
      <c r="F20">
        <f t="shared" si="2"/>
        <v>52.991999999999997</v>
      </c>
      <c r="G20">
        <f t="shared" si="3"/>
        <v>0.28800000000000003</v>
      </c>
      <c r="H20">
        <f t="shared" si="4"/>
        <v>193.53600000000003</v>
      </c>
      <c r="I20">
        <f t="shared" si="5"/>
        <v>806.40000000000009</v>
      </c>
      <c r="J20">
        <f t="shared" si="6"/>
        <v>576</v>
      </c>
      <c r="K20">
        <f t="shared" si="7"/>
        <v>138.24</v>
      </c>
      <c r="L20">
        <f t="shared" si="8"/>
        <v>12.741120000000002</v>
      </c>
      <c r="M20">
        <f t="shared" si="9"/>
        <v>12.257280000000002</v>
      </c>
      <c r="N20">
        <f t="shared" si="10"/>
        <v>8.8704000000000018</v>
      </c>
      <c r="O20">
        <f t="shared" si="11"/>
        <v>8.9937317647058848</v>
      </c>
      <c r="P20">
        <f t="shared" si="12"/>
        <v>3.8704103671706265</v>
      </c>
      <c r="Q20">
        <f t="shared" si="13"/>
        <v>67.2</v>
      </c>
      <c r="R20">
        <f t="shared" si="14"/>
        <v>768</v>
      </c>
      <c r="S20">
        <f t="shared" si="15"/>
        <v>506.88</v>
      </c>
      <c r="T20">
        <f t="shared" si="16"/>
        <v>69.12</v>
      </c>
      <c r="U20">
        <f>I20*E20/'[1]Inverter Analysis'!$L$2</f>
        <v>463.7710227856432</v>
      </c>
      <c r="V20">
        <f t="shared" si="17"/>
        <v>138.88888888888889</v>
      </c>
      <c r="W20">
        <f t="shared" si="18"/>
        <v>157.82828282828282</v>
      </c>
      <c r="X20">
        <f t="shared" si="19"/>
        <v>99.206349206349202</v>
      </c>
      <c r="Y20">
        <f t="shared" si="20"/>
        <v>0.14945860116314663</v>
      </c>
      <c r="Z20">
        <f t="shared" si="21"/>
        <v>17.727986073599997</v>
      </c>
    </row>
    <row r="21" spans="1:26" hidden="1">
      <c r="A21">
        <v>15</v>
      </c>
      <c r="B21">
        <v>4</v>
      </c>
      <c r="C21">
        <v>12</v>
      </c>
      <c r="D21">
        <f t="shared" si="0"/>
        <v>560</v>
      </c>
      <c r="E21">
        <f t="shared" si="1"/>
        <v>240</v>
      </c>
      <c r="F21">
        <f t="shared" si="2"/>
        <v>49.68</v>
      </c>
      <c r="G21">
        <f t="shared" si="3"/>
        <v>0.27</v>
      </c>
      <c r="H21">
        <f t="shared" si="4"/>
        <v>181.44</v>
      </c>
      <c r="I21">
        <f t="shared" si="5"/>
        <v>756</v>
      </c>
      <c r="J21">
        <f t="shared" si="6"/>
        <v>540</v>
      </c>
      <c r="K21">
        <f t="shared" si="7"/>
        <v>129.6</v>
      </c>
      <c r="L21">
        <f t="shared" si="8"/>
        <v>11.944800000000001</v>
      </c>
      <c r="M21">
        <f t="shared" si="9"/>
        <v>11.491199999999999</v>
      </c>
      <c r="N21">
        <f t="shared" si="10"/>
        <v>8.3160000000000007</v>
      </c>
      <c r="O21">
        <f t="shared" si="11"/>
        <v>8.4316235294117661</v>
      </c>
      <c r="P21">
        <f t="shared" si="12"/>
        <v>3.6285097192224622</v>
      </c>
      <c r="Q21">
        <f t="shared" si="13"/>
        <v>63</v>
      </c>
      <c r="R21">
        <f t="shared" si="14"/>
        <v>720</v>
      </c>
      <c r="S21">
        <f t="shared" si="15"/>
        <v>475.2</v>
      </c>
      <c r="T21">
        <f t="shared" si="16"/>
        <v>64.800000000000011</v>
      </c>
      <c r="U21">
        <f>I21*E21/'[1]Inverter Analysis'!$L$2</f>
        <v>434.78533386154038</v>
      </c>
      <c r="V21">
        <f t="shared" si="17"/>
        <v>148.14814814814815</v>
      </c>
      <c r="W21">
        <f t="shared" si="18"/>
        <v>168.35016835016836</v>
      </c>
      <c r="X21">
        <f t="shared" si="19"/>
        <v>105.82010582010582</v>
      </c>
      <c r="Y21">
        <f t="shared" si="20"/>
        <v>0.17005067510118019</v>
      </c>
      <c r="Z21">
        <f t="shared" si="21"/>
        <v>14.607410399999996</v>
      </c>
    </row>
    <row r="22" spans="1:26" hidden="1">
      <c r="A22">
        <v>14</v>
      </c>
      <c r="B22">
        <v>4</v>
      </c>
      <c r="C22">
        <v>12</v>
      </c>
      <c r="D22">
        <f t="shared" si="0"/>
        <v>560</v>
      </c>
      <c r="E22">
        <f t="shared" si="1"/>
        <v>240</v>
      </c>
      <c r="F22">
        <f t="shared" si="2"/>
        <v>46.368000000000002</v>
      </c>
      <c r="G22">
        <f t="shared" si="3"/>
        <v>0.252</v>
      </c>
      <c r="H22">
        <f t="shared" si="4"/>
        <v>169.34399999999999</v>
      </c>
      <c r="I22">
        <f t="shared" si="5"/>
        <v>705.6</v>
      </c>
      <c r="J22">
        <f t="shared" si="6"/>
        <v>504</v>
      </c>
      <c r="K22">
        <f t="shared" si="7"/>
        <v>120.96</v>
      </c>
      <c r="L22">
        <f t="shared" si="8"/>
        <v>11.148480000000001</v>
      </c>
      <c r="M22">
        <f t="shared" si="9"/>
        <v>10.725119999999999</v>
      </c>
      <c r="N22">
        <f t="shared" si="10"/>
        <v>7.7616000000000005</v>
      </c>
      <c r="O22">
        <f t="shared" si="11"/>
        <v>7.8695152941176483</v>
      </c>
      <c r="P22">
        <f t="shared" si="12"/>
        <v>3.386609071274298</v>
      </c>
      <c r="Q22">
        <f t="shared" si="13"/>
        <v>58.800000000000004</v>
      </c>
      <c r="R22">
        <f t="shared" si="14"/>
        <v>672</v>
      </c>
      <c r="S22">
        <f t="shared" si="15"/>
        <v>443.52</v>
      </c>
      <c r="T22">
        <f t="shared" si="16"/>
        <v>60.480000000000004</v>
      </c>
      <c r="U22">
        <f>I22*E22/'[1]Inverter Analysis'!$L$2</f>
        <v>405.79964493743773</v>
      </c>
      <c r="V22">
        <f t="shared" si="17"/>
        <v>158.73015873015873</v>
      </c>
      <c r="W22">
        <f t="shared" si="18"/>
        <v>180.37518037518038</v>
      </c>
      <c r="X22">
        <f t="shared" si="19"/>
        <v>113.37868480725623</v>
      </c>
      <c r="Y22">
        <f t="shared" si="20"/>
        <v>0.19521123417227315</v>
      </c>
      <c r="Z22">
        <f t="shared" si="21"/>
        <v>11.8763656704</v>
      </c>
    </row>
    <row r="23" spans="1:26" hidden="1">
      <c r="A23">
        <v>13</v>
      </c>
      <c r="B23">
        <v>4</v>
      </c>
      <c r="C23">
        <v>12</v>
      </c>
      <c r="D23">
        <f t="shared" si="0"/>
        <v>560</v>
      </c>
      <c r="E23">
        <f t="shared" si="1"/>
        <v>240</v>
      </c>
      <c r="F23">
        <f t="shared" si="2"/>
        <v>43.055999999999997</v>
      </c>
      <c r="G23">
        <f t="shared" si="3"/>
        <v>0.23399999999999999</v>
      </c>
      <c r="H23">
        <f t="shared" si="4"/>
        <v>157.24799999999999</v>
      </c>
      <c r="I23">
        <f t="shared" si="5"/>
        <v>655.20000000000005</v>
      </c>
      <c r="J23">
        <f t="shared" si="6"/>
        <v>468</v>
      </c>
      <c r="K23">
        <f t="shared" si="7"/>
        <v>112.32</v>
      </c>
      <c r="L23">
        <f t="shared" si="8"/>
        <v>10.352160000000001</v>
      </c>
      <c r="M23">
        <f t="shared" si="9"/>
        <v>9.9590400000000017</v>
      </c>
      <c r="N23">
        <f t="shared" si="10"/>
        <v>7.2072000000000012</v>
      </c>
      <c r="O23">
        <f t="shared" si="11"/>
        <v>7.3074070588235305</v>
      </c>
      <c r="P23">
        <f t="shared" si="12"/>
        <v>3.1447084233261342</v>
      </c>
      <c r="Q23">
        <f t="shared" si="13"/>
        <v>54.6</v>
      </c>
      <c r="R23">
        <f t="shared" si="14"/>
        <v>624</v>
      </c>
      <c r="S23">
        <f t="shared" si="15"/>
        <v>411.84000000000003</v>
      </c>
      <c r="T23">
        <f t="shared" si="16"/>
        <v>56.16</v>
      </c>
      <c r="U23">
        <f>I23*E23/'[1]Inverter Analysis'!$L$2</f>
        <v>376.81395601333503</v>
      </c>
      <c r="V23">
        <f t="shared" si="17"/>
        <v>170.94017094017093</v>
      </c>
      <c r="W23">
        <f t="shared" si="18"/>
        <v>194.25019425019423</v>
      </c>
      <c r="X23">
        <f t="shared" si="19"/>
        <v>122.10012210012209</v>
      </c>
      <c r="Y23">
        <f t="shared" si="20"/>
        <v>0.22639882779742915</v>
      </c>
      <c r="Z23">
        <f t="shared" si="21"/>
        <v>9.5088831552000013</v>
      </c>
    </row>
    <row r="24" spans="1:26" hidden="1">
      <c r="A24">
        <v>12</v>
      </c>
      <c r="B24">
        <v>4</v>
      </c>
      <c r="C24">
        <v>12</v>
      </c>
      <c r="D24">
        <f t="shared" si="0"/>
        <v>560</v>
      </c>
      <c r="E24">
        <f t="shared" si="1"/>
        <v>240</v>
      </c>
      <c r="F24">
        <f t="shared" si="2"/>
        <v>39.744</v>
      </c>
      <c r="G24">
        <f t="shared" si="3"/>
        <v>0.21600000000000003</v>
      </c>
      <c r="H24">
        <f t="shared" si="4"/>
        <v>145.15200000000002</v>
      </c>
      <c r="I24">
        <f t="shared" si="5"/>
        <v>604.80000000000007</v>
      </c>
      <c r="J24">
        <f t="shared" si="6"/>
        <v>432</v>
      </c>
      <c r="K24">
        <f t="shared" si="7"/>
        <v>103.68</v>
      </c>
      <c r="L24">
        <f t="shared" si="8"/>
        <v>9.5558400000000017</v>
      </c>
      <c r="M24">
        <f t="shared" si="9"/>
        <v>9.1929600000000011</v>
      </c>
      <c r="N24">
        <f t="shared" si="10"/>
        <v>6.6528000000000009</v>
      </c>
      <c r="O24">
        <f t="shared" si="11"/>
        <v>6.7452988235294136</v>
      </c>
      <c r="P24">
        <f t="shared" si="12"/>
        <v>2.9028077753779704</v>
      </c>
      <c r="Q24">
        <f t="shared" si="13"/>
        <v>50.400000000000006</v>
      </c>
      <c r="R24">
        <f t="shared" si="14"/>
        <v>576</v>
      </c>
      <c r="S24">
        <f t="shared" si="15"/>
        <v>380.15999999999997</v>
      </c>
      <c r="T24">
        <f t="shared" si="16"/>
        <v>51.84</v>
      </c>
      <c r="U24">
        <f>I24*E24/'[1]Inverter Analysis'!$L$2</f>
        <v>347.82826708923238</v>
      </c>
      <c r="V24">
        <f t="shared" si="17"/>
        <v>185.18518518518519</v>
      </c>
      <c r="W24">
        <f t="shared" si="18"/>
        <v>210.43771043771045</v>
      </c>
      <c r="X24">
        <f t="shared" si="19"/>
        <v>132.27513227513225</v>
      </c>
      <c r="Y24">
        <f t="shared" si="20"/>
        <v>0.26570417984559402</v>
      </c>
      <c r="Z24">
        <f t="shared" si="21"/>
        <v>7.4789941247999989</v>
      </c>
    </row>
    <row r="25" spans="1:26" hidden="1">
      <c r="A25">
        <v>11</v>
      </c>
      <c r="B25">
        <v>4</v>
      </c>
      <c r="C25">
        <v>12</v>
      </c>
      <c r="D25">
        <f t="shared" si="0"/>
        <v>560</v>
      </c>
      <c r="E25">
        <f t="shared" si="1"/>
        <v>240</v>
      </c>
      <c r="F25">
        <f t="shared" si="2"/>
        <v>36.432000000000002</v>
      </c>
      <c r="G25">
        <f t="shared" si="3"/>
        <v>0.19800000000000001</v>
      </c>
      <c r="H25">
        <f t="shared" si="4"/>
        <v>133.05600000000001</v>
      </c>
      <c r="I25">
        <f t="shared" si="5"/>
        <v>554.4</v>
      </c>
      <c r="J25">
        <f t="shared" si="6"/>
        <v>396</v>
      </c>
      <c r="K25">
        <f t="shared" si="7"/>
        <v>95.04</v>
      </c>
      <c r="L25">
        <f t="shared" si="8"/>
        <v>8.7595200000000002</v>
      </c>
      <c r="M25">
        <f t="shared" si="9"/>
        <v>8.4268799999999988</v>
      </c>
      <c r="N25">
        <f t="shared" si="10"/>
        <v>6.0983999999999998</v>
      </c>
      <c r="O25">
        <f t="shared" si="11"/>
        <v>6.1831905882352949</v>
      </c>
      <c r="P25">
        <f t="shared" si="12"/>
        <v>2.6609071274298053</v>
      </c>
      <c r="Q25">
        <f t="shared" si="13"/>
        <v>46.199999999999996</v>
      </c>
      <c r="R25">
        <f t="shared" si="14"/>
        <v>528</v>
      </c>
      <c r="S25">
        <f t="shared" si="15"/>
        <v>348.48</v>
      </c>
      <c r="T25">
        <f t="shared" si="16"/>
        <v>47.52</v>
      </c>
      <c r="U25">
        <f>I25*E25/'[1]Inverter Analysis'!$L$2</f>
        <v>318.84257816512962</v>
      </c>
      <c r="V25">
        <f t="shared" si="17"/>
        <v>202.02020202020202</v>
      </c>
      <c r="W25">
        <f t="shared" si="18"/>
        <v>229.5684113865932</v>
      </c>
      <c r="X25">
        <f t="shared" si="19"/>
        <v>144.3001443001443</v>
      </c>
      <c r="Y25">
        <f t="shared" si="20"/>
        <v>0.31620993303938455</v>
      </c>
      <c r="Z25">
        <f t="shared" si="21"/>
        <v>5.7607298496000015</v>
      </c>
    </row>
    <row r="26" spans="1:26" s="7" customFormat="1" hidden="1">
      <c r="A26">
        <v>10</v>
      </c>
      <c r="B26">
        <v>4</v>
      </c>
      <c r="C26">
        <v>12</v>
      </c>
      <c r="D26">
        <f t="shared" si="0"/>
        <v>560</v>
      </c>
      <c r="E26">
        <f t="shared" si="1"/>
        <v>240</v>
      </c>
      <c r="F26">
        <f t="shared" si="2"/>
        <v>33.119999999999997</v>
      </c>
      <c r="G26">
        <f t="shared" si="3"/>
        <v>0.18</v>
      </c>
      <c r="H26">
        <f t="shared" si="4"/>
        <v>120.96</v>
      </c>
      <c r="I26">
        <f t="shared" si="5"/>
        <v>504</v>
      </c>
      <c r="J26">
        <f t="shared" si="6"/>
        <v>360</v>
      </c>
      <c r="K26">
        <f t="shared" si="7"/>
        <v>86.4</v>
      </c>
      <c r="L26">
        <f t="shared" si="8"/>
        <v>7.9632000000000005</v>
      </c>
      <c r="M26">
        <f t="shared" si="9"/>
        <v>7.6607999999999992</v>
      </c>
      <c r="N26">
        <f t="shared" si="10"/>
        <v>5.5439999999999996</v>
      </c>
      <c r="O26">
        <f t="shared" si="11"/>
        <v>5.6210823529411771</v>
      </c>
      <c r="P26">
        <f t="shared" si="12"/>
        <v>2.4190064794816415</v>
      </c>
      <c r="Q26">
        <f t="shared" si="13"/>
        <v>42</v>
      </c>
      <c r="R26">
        <f t="shared" si="14"/>
        <v>480</v>
      </c>
      <c r="S26">
        <f t="shared" si="15"/>
        <v>316.8</v>
      </c>
      <c r="T26">
        <f t="shared" si="16"/>
        <v>43.199999999999996</v>
      </c>
      <c r="U26">
        <f>I26*E26/'[1]Inverter Analysis'!$L$2</f>
        <v>289.85688924102692</v>
      </c>
      <c r="V26">
        <f t="shared" si="17"/>
        <v>222.22222222222223</v>
      </c>
      <c r="W26">
        <f t="shared" si="18"/>
        <v>252.52525252525251</v>
      </c>
      <c r="X26">
        <f t="shared" si="19"/>
        <v>158.73015873015873</v>
      </c>
      <c r="Y26">
        <f t="shared" si="20"/>
        <v>0.38261401897765529</v>
      </c>
      <c r="Z26">
        <f t="shared" si="21"/>
        <v>4.3281216000000002</v>
      </c>
    </row>
    <row r="27" spans="1:26" hidden="1">
      <c r="A27">
        <v>16</v>
      </c>
      <c r="B27">
        <v>3</v>
      </c>
      <c r="C27">
        <v>12</v>
      </c>
      <c r="D27">
        <f t="shared" si="0"/>
        <v>420</v>
      </c>
      <c r="E27">
        <f t="shared" si="1"/>
        <v>180</v>
      </c>
      <c r="F27">
        <f t="shared" si="2"/>
        <v>39.744</v>
      </c>
      <c r="G27">
        <f t="shared" si="3"/>
        <v>0.38400000000000001</v>
      </c>
      <c r="H27">
        <f t="shared" si="4"/>
        <v>145.15200000000002</v>
      </c>
      <c r="I27">
        <f t="shared" si="5"/>
        <v>806.40000000000009</v>
      </c>
      <c r="J27">
        <f t="shared" si="6"/>
        <v>576</v>
      </c>
      <c r="K27">
        <f t="shared" si="7"/>
        <v>103.68</v>
      </c>
      <c r="L27">
        <f t="shared" si="8"/>
        <v>9.5558400000000017</v>
      </c>
      <c r="M27">
        <f t="shared" si="9"/>
        <v>9.1929600000000011</v>
      </c>
      <c r="N27">
        <f t="shared" si="10"/>
        <v>6.6528000000000009</v>
      </c>
      <c r="O27">
        <f t="shared" si="11"/>
        <v>6.7452988235294136</v>
      </c>
      <c r="P27">
        <f t="shared" si="12"/>
        <v>2.9028077753779704</v>
      </c>
      <c r="Q27">
        <f t="shared" si="13"/>
        <v>67.2</v>
      </c>
      <c r="R27">
        <f t="shared" si="14"/>
        <v>576</v>
      </c>
      <c r="S27">
        <f t="shared" si="15"/>
        <v>506.88</v>
      </c>
      <c r="T27">
        <f t="shared" si="16"/>
        <v>69.12</v>
      </c>
      <c r="U27">
        <f>I27*E27/'[1]Inverter Analysis'!$L$2</f>
        <v>347.82826708923238</v>
      </c>
      <c r="V27">
        <f t="shared" si="17"/>
        <v>138.88888888888889</v>
      </c>
      <c r="W27">
        <f t="shared" si="18"/>
        <v>157.82828282828282</v>
      </c>
      <c r="X27">
        <f t="shared" si="19"/>
        <v>99.206349206349202</v>
      </c>
      <c r="Y27">
        <f t="shared" si="20"/>
        <v>0.14945860116314663</v>
      </c>
      <c r="Z27">
        <f t="shared" si="21"/>
        <v>13.295989555199998</v>
      </c>
    </row>
    <row r="28" spans="1:26" hidden="1">
      <c r="A28">
        <v>15</v>
      </c>
      <c r="B28">
        <v>3</v>
      </c>
      <c r="C28">
        <v>12</v>
      </c>
      <c r="D28">
        <f t="shared" si="0"/>
        <v>420</v>
      </c>
      <c r="E28">
        <f t="shared" si="1"/>
        <v>180</v>
      </c>
      <c r="F28">
        <f t="shared" si="2"/>
        <v>37.26</v>
      </c>
      <c r="G28">
        <f t="shared" si="3"/>
        <v>0.36</v>
      </c>
      <c r="H28">
        <f t="shared" si="4"/>
        <v>136.08000000000001</v>
      </c>
      <c r="I28">
        <f t="shared" si="5"/>
        <v>756</v>
      </c>
      <c r="J28">
        <f t="shared" si="6"/>
        <v>540</v>
      </c>
      <c r="K28">
        <f t="shared" si="7"/>
        <v>97.2</v>
      </c>
      <c r="L28">
        <f t="shared" si="8"/>
        <v>8.9586000000000006</v>
      </c>
      <c r="M28">
        <f t="shared" si="9"/>
        <v>8.6183999999999994</v>
      </c>
      <c r="N28">
        <f t="shared" si="10"/>
        <v>6.2370000000000001</v>
      </c>
      <c r="O28">
        <f t="shared" si="11"/>
        <v>6.3237176470588246</v>
      </c>
      <c r="P28">
        <f t="shared" si="12"/>
        <v>2.7213822894168467</v>
      </c>
      <c r="Q28">
        <f t="shared" si="13"/>
        <v>63</v>
      </c>
      <c r="R28">
        <f t="shared" si="14"/>
        <v>540</v>
      </c>
      <c r="S28">
        <f t="shared" si="15"/>
        <v>475.2</v>
      </c>
      <c r="T28">
        <f t="shared" si="16"/>
        <v>64.8</v>
      </c>
      <c r="U28">
        <f>I28*E28/'[1]Inverter Analysis'!$L$2</f>
        <v>326.08900039615531</v>
      </c>
      <c r="V28">
        <f t="shared" si="17"/>
        <v>148.14814814814815</v>
      </c>
      <c r="W28">
        <f t="shared" si="18"/>
        <v>168.35016835016836</v>
      </c>
      <c r="X28">
        <f t="shared" si="19"/>
        <v>105.82010582010582</v>
      </c>
      <c r="Y28">
        <f t="shared" si="20"/>
        <v>0.17005067510118019</v>
      </c>
      <c r="Z28">
        <f t="shared" si="21"/>
        <v>10.955557799999998</v>
      </c>
    </row>
    <row r="29" spans="1:26">
      <c r="A29">
        <v>14</v>
      </c>
      <c r="B29">
        <v>3</v>
      </c>
      <c r="C29">
        <v>12</v>
      </c>
      <c r="D29">
        <f t="shared" si="0"/>
        <v>420</v>
      </c>
      <c r="E29">
        <f t="shared" si="1"/>
        <v>180</v>
      </c>
      <c r="F29">
        <f t="shared" si="2"/>
        <v>34.776000000000003</v>
      </c>
      <c r="G29">
        <f t="shared" si="3"/>
        <v>0.33600000000000002</v>
      </c>
      <c r="H29">
        <f t="shared" si="4"/>
        <v>127.008</v>
      </c>
      <c r="I29">
        <f t="shared" si="5"/>
        <v>705.6</v>
      </c>
      <c r="J29">
        <f t="shared" si="6"/>
        <v>504</v>
      </c>
      <c r="K29">
        <f t="shared" si="7"/>
        <v>90.72</v>
      </c>
      <c r="L29">
        <f t="shared" si="8"/>
        <v>8.3613600000000012</v>
      </c>
      <c r="M29">
        <f t="shared" si="9"/>
        <v>8.0438399999999994</v>
      </c>
      <c r="N29">
        <f t="shared" si="10"/>
        <v>5.821200000000001</v>
      </c>
      <c r="O29">
        <f t="shared" si="11"/>
        <v>5.9021364705882364</v>
      </c>
      <c r="P29">
        <f t="shared" si="12"/>
        <v>2.5399568034557238</v>
      </c>
      <c r="Q29">
        <f t="shared" si="13"/>
        <v>58.800000000000004</v>
      </c>
      <c r="R29">
        <f t="shared" si="14"/>
        <v>504</v>
      </c>
      <c r="S29">
        <f t="shared" si="15"/>
        <v>443.52</v>
      </c>
      <c r="T29">
        <f t="shared" si="16"/>
        <v>60.480000000000004</v>
      </c>
      <c r="U29">
        <f>I29*E29/'[1]Inverter Analysis'!$L$2</f>
        <v>304.3497337030783</v>
      </c>
      <c r="V29">
        <f t="shared" si="17"/>
        <v>158.73015873015873</v>
      </c>
      <c r="W29">
        <f t="shared" si="18"/>
        <v>180.37518037518038</v>
      </c>
      <c r="X29">
        <f t="shared" si="19"/>
        <v>113.37868480725623</v>
      </c>
      <c r="Y29">
        <f t="shared" si="20"/>
        <v>0.19521123417227315</v>
      </c>
      <c r="Z29">
        <f t="shared" si="21"/>
        <v>8.9072742528000006</v>
      </c>
    </row>
    <row r="30" spans="1:26" hidden="1">
      <c r="A30">
        <v>13</v>
      </c>
      <c r="B30">
        <v>3</v>
      </c>
      <c r="C30">
        <v>12</v>
      </c>
      <c r="D30">
        <f t="shared" si="0"/>
        <v>420</v>
      </c>
      <c r="E30">
        <f t="shared" si="1"/>
        <v>180</v>
      </c>
      <c r="F30">
        <f t="shared" si="2"/>
        <v>32.292000000000002</v>
      </c>
      <c r="G30">
        <f t="shared" si="3"/>
        <v>0.31200000000000006</v>
      </c>
      <c r="H30">
        <f t="shared" si="4"/>
        <v>117.93600000000002</v>
      </c>
      <c r="I30">
        <f t="shared" si="5"/>
        <v>655.20000000000005</v>
      </c>
      <c r="J30">
        <f t="shared" si="6"/>
        <v>468</v>
      </c>
      <c r="K30">
        <f t="shared" si="7"/>
        <v>84.24</v>
      </c>
      <c r="L30">
        <f t="shared" si="8"/>
        <v>7.764120000000001</v>
      </c>
      <c r="M30">
        <f t="shared" si="9"/>
        <v>7.4692800000000004</v>
      </c>
      <c r="N30">
        <f t="shared" si="10"/>
        <v>5.4054000000000002</v>
      </c>
      <c r="O30">
        <f t="shared" si="11"/>
        <v>5.4805552941176483</v>
      </c>
      <c r="P30">
        <f t="shared" si="12"/>
        <v>2.3585313174946005</v>
      </c>
      <c r="Q30">
        <f t="shared" si="13"/>
        <v>54.6</v>
      </c>
      <c r="R30">
        <f t="shared" si="14"/>
        <v>468</v>
      </c>
      <c r="S30">
        <f t="shared" si="15"/>
        <v>411.84</v>
      </c>
      <c r="T30">
        <f t="shared" si="16"/>
        <v>56.160000000000011</v>
      </c>
      <c r="U30">
        <f>I30*E30/'[1]Inverter Analysis'!$L$2</f>
        <v>282.61046701000129</v>
      </c>
      <c r="V30">
        <f t="shared" si="17"/>
        <v>170.94017094017093</v>
      </c>
      <c r="W30">
        <f t="shared" si="18"/>
        <v>194.25019425019426</v>
      </c>
      <c r="X30">
        <f t="shared" si="19"/>
        <v>122.10012210012209</v>
      </c>
      <c r="Y30">
        <f t="shared" si="20"/>
        <v>0.22639882779742923</v>
      </c>
      <c r="Z30">
        <f t="shared" si="21"/>
        <v>7.1316623664000005</v>
      </c>
    </row>
    <row r="31" spans="1:26" hidden="1">
      <c r="A31">
        <v>12</v>
      </c>
      <c r="B31">
        <v>3</v>
      </c>
      <c r="C31">
        <v>12</v>
      </c>
      <c r="D31">
        <f t="shared" si="0"/>
        <v>420</v>
      </c>
      <c r="E31">
        <f t="shared" si="1"/>
        <v>180</v>
      </c>
      <c r="F31">
        <f t="shared" si="2"/>
        <v>29.808</v>
      </c>
      <c r="G31">
        <f t="shared" si="3"/>
        <v>0.28800000000000003</v>
      </c>
      <c r="H31">
        <f t="shared" si="4"/>
        <v>108.86400000000002</v>
      </c>
      <c r="I31">
        <f t="shared" si="5"/>
        <v>604.80000000000007</v>
      </c>
      <c r="J31">
        <f t="shared" si="6"/>
        <v>432</v>
      </c>
      <c r="K31">
        <f t="shared" si="7"/>
        <v>77.760000000000005</v>
      </c>
      <c r="L31">
        <f t="shared" si="8"/>
        <v>7.1668800000000008</v>
      </c>
      <c r="M31">
        <f t="shared" si="9"/>
        <v>6.8947200000000013</v>
      </c>
      <c r="N31">
        <f t="shared" si="10"/>
        <v>4.9896000000000003</v>
      </c>
      <c r="O31">
        <f t="shared" si="11"/>
        <v>5.0589741176470593</v>
      </c>
      <c r="P31">
        <f t="shared" si="12"/>
        <v>2.1771058315334773</v>
      </c>
      <c r="Q31">
        <f t="shared" si="13"/>
        <v>50.400000000000006</v>
      </c>
      <c r="R31">
        <f t="shared" si="14"/>
        <v>432</v>
      </c>
      <c r="S31">
        <f t="shared" si="15"/>
        <v>380.15999999999997</v>
      </c>
      <c r="T31">
        <f t="shared" si="16"/>
        <v>51.84</v>
      </c>
      <c r="U31">
        <f>I31*E31/'[1]Inverter Analysis'!$L$2</f>
        <v>260.87120031692427</v>
      </c>
      <c r="V31">
        <f t="shared" si="17"/>
        <v>185.18518518518519</v>
      </c>
      <c r="W31">
        <f t="shared" si="18"/>
        <v>210.43771043771045</v>
      </c>
      <c r="X31">
        <f t="shared" si="19"/>
        <v>132.27513227513225</v>
      </c>
      <c r="Y31">
        <f t="shared" si="20"/>
        <v>0.26570417984559402</v>
      </c>
      <c r="Z31">
        <f t="shared" si="21"/>
        <v>5.6092455935999999</v>
      </c>
    </row>
    <row r="32" spans="1:26" hidden="1">
      <c r="A32">
        <v>11</v>
      </c>
      <c r="B32">
        <v>3</v>
      </c>
      <c r="C32">
        <v>12</v>
      </c>
      <c r="D32">
        <f t="shared" si="0"/>
        <v>420</v>
      </c>
      <c r="E32">
        <f t="shared" si="1"/>
        <v>180</v>
      </c>
      <c r="F32">
        <f t="shared" si="2"/>
        <v>27.324000000000002</v>
      </c>
      <c r="G32">
        <f t="shared" si="3"/>
        <v>0.26400000000000001</v>
      </c>
      <c r="H32">
        <f t="shared" si="4"/>
        <v>99.792000000000002</v>
      </c>
      <c r="I32">
        <f t="shared" si="5"/>
        <v>554.4</v>
      </c>
      <c r="J32">
        <f t="shared" si="6"/>
        <v>396</v>
      </c>
      <c r="K32">
        <f t="shared" si="7"/>
        <v>71.28</v>
      </c>
      <c r="L32">
        <f t="shared" si="8"/>
        <v>6.5696400000000006</v>
      </c>
      <c r="M32">
        <f t="shared" si="9"/>
        <v>6.3201599999999996</v>
      </c>
      <c r="N32">
        <f t="shared" si="10"/>
        <v>4.5737999999999994</v>
      </c>
      <c r="O32">
        <f t="shared" si="11"/>
        <v>4.6373929411764712</v>
      </c>
      <c r="P32">
        <f t="shared" si="12"/>
        <v>1.995680345572354</v>
      </c>
      <c r="Q32">
        <f t="shared" si="13"/>
        <v>46.199999999999996</v>
      </c>
      <c r="R32">
        <f t="shared" si="14"/>
        <v>396</v>
      </c>
      <c r="S32">
        <f t="shared" si="15"/>
        <v>348.48</v>
      </c>
      <c r="T32">
        <f t="shared" si="16"/>
        <v>47.52</v>
      </c>
      <c r="U32">
        <f>I32*E32/'[1]Inverter Analysis'!$L$2</f>
        <v>239.13193362384723</v>
      </c>
      <c r="V32">
        <f t="shared" si="17"/>
        <v>202.02020202020202</v>
      </c>
      <c r="W32">
        <f t="shared" si="18"/>
        <v>229.5684113865932</v>
      </c>
      <c r="X32">
        <f t="shared" si="19"/>
        <v>144.3001443001443</v>
      </c>
      <c r="Y32">
        <f t="shared" si="20"/>
        <v>0.31620993303938455</v>
      </c>
      <c r="Z32">
        <f t="shared" si="21"/>
        <v>4.3205473872000004</v>
      </c>
    </row>
    <row r="33" spans="1:26" hidden="1">
      <c r="A33">
        <v>10</v>
      </c>
      <c r="B33">
        <v>3</v>
      </c>
      <c r="C33">
        <v>12</v>
      </c>
      <c r="D33">
        <f t="shared" si="0"/>
        <v>420</v>
      </c>
      <c r="E33">
        <f t="shared" si="1"/>
        <v>180</v>
      </c>
      <c r="F33">
        <f t="shared" si="2"/>
        <v>24.84</v>
      </c>
      <c r="G33">
        <f t="shared" si="3"/>
        <v>0.24</v>
      </c>
      <c r="H33">
        <f t="shared" si="4"/>
        <v>90.72</v>
      </c>
      <c r="I33">
        <f t="shared" si="5"/>
        <v>504</v>
      </c>
      <c r="J33">
        <f t="shared" si="6"/>
        <v>360</v>
      </c>
      <c r="K33">
        <f t="shared" si="7"/>
        <v>64.8</v>
      </c>
      <c r="L33">
        <f t="shared" si="8"/>
        <v>5.9724000000000004</v>
      </c>
      <c r="M33">
        <f t="shared" si="9"/>
        <v>5.7455999999999996</v>
      </c>
      <c r="N33">
        <f t="shared" si="10"/>
        <v>4.1580000000000004</v>
      </c>
      <c r="O33">
        <f t="shared" si="11"/>
        <v>4.215811764705883</v>
      </c>
      <c r="P33">
        <f t="shared" si="12"/>
        <v>1.8142548596112311</v>
      </c>
      <c r="Q33">
        <f t="shared" si="13"/>
        <v>42</v>
      </c>
      <c r="R33">
        <f t="shared" si="14"/>
        <v>360</v>
      </c>
      <c r="S33">
        <f t="shared" si="15"/>
        <v>316.8</v>
      </c>
      <c r="T33">
        <f t="shared" si="16"/>
        <v>43.199999999999996</v>
      </c>
      <c r="U33">
        <f>I33*E33/'[1]Inverter Analysis'!$L$2</f>
        <v>217.39266693077019</v>
      </c>
      <c r="V33">
        <f t="shared" si="17"/>
        <v>222.22222222222223</v>
      </c>
      <c r="W33">
        <f t="shared" si="18"/>
        <v>252.52525252525251</v>
      </c>
      <c r="X33">
        <f t="shared" si="19"/>
        <v>158.73015873015873</v>
      </c>
      <c r="Y33">
        <f t="shared" si="20"/>
        <v>0.38261401897765529</v>
      </c>
      <c r="Z33">
        <f t="shared" si="21"/>
        <v>3.2460912000000004</v>
      </c>
    </row>
    <row r="34" spans="1:26" hidden="1">
      <c r="A34">
        <v>16</v>
      </c>
      <c r="B34">
        <v>2</v>
      </c>
      <c r="C34">
        <v>12</v>
      </c>
      <c r="D34">
        <f t="shared" si="0"/>
        <v>280</v>
      </c>
      <c r="E34">
        <f t="shared" si="1"/>
        <v>120</v>
      </c>
      <c r="F34">
        <f t="shared" si="2"/>
        <v>26.495999999999999</v>
      </c>
      <c r="G34">
        <f t="shared" si="3"/>
        <v>0.57600000000000007</v>
      </c>
      <c r="H34">
        <f t="shared" si="4"/>
        <v>96.768000000000015</v>
      </c>
      <c r="I34">
        <f t="shared" si="5"/>
        <v>806.40000000000009</v>
      </c>
      <c r="J34">
        <f t="shared" si="6"/>
        <v>576</v>
      </c>
      <c r="K34">
        <f t="shared" si="7"/>
        <v>69.12</v>
      </c>
      <c r="L34">
        <f t="shared" si="8"/>
        <v>6.3705600000000011</v>
      </c>
      <c r="M34">
        <f t="shared" si="9"/>
        <v>6.1286400000000008</v>
      </c>
      <c r="N34">
        <f t="shared" si="10"/>
        <v>4.4352000000000009</v>
      </c>
      <c r="O34">
        <f t="shared" si="11"/>
        <v>4.4968658823529424</v>
      </c>
      <c r="P34">
        <f t="shared" si="12"/>
        <v>1.9352051835853132</v>
      </c>
      <c r="Q34">
        <f t="shared" si="13"/>
        <v>67.2</v>
      </c>
      <c r="R34">
        <f t="shared" si="14"/>
        <v>384</v>
      </c>
      <c r="S34">
        <f t="shared" si="15"/>
        <v>506.88</v>
      </c>
      <c r="T34">
        <f t="shared" si="16"/>
        <v>69.12</v>
      </c>
      <c r="U34">
        <f>I34*E34/'[1]Inverter Analysis'!$L$2</f>
        <v>231.8855113928216</v>
      </c>
      <c r="V34">
        <f t="shared" si="17"/>
        <v>138.88888888888889</v>
      </c>
      <c r="W34">
        <f t="shared" si="18"/>
        <v>157.82828282828282</v>
      </c>
      <c r="X34">
        <f t="shared" si="19"/>
        <v>99.206349206349202</v>
      </c>
      <c r="Y34">
        <f t="shared" si="20"/>
        <v>0.14945860116314663</v>
      </c>
      <c r="Z34">
        <f t="shared" si="21"/>
        <v>8.8639930367999984</v>
      </c>
    </row>
    <row r="35" spans="1:26" hidden="1">
      <c r="A35">
        <v>15</v>
      </c>
      <c r="B35">
        <v>2</v>
      </c>
      <c r="C35">
        <v>12</v>
      </c>
      <c r="D35">
        <f t="shared" si="0"/>
        <v>280</v>
      </c>
      <c r="E35">
        <f t="shared" si="1"/>
        <v>120</v>
      </c>
      <c r="F35">
        <f t="shared" si="2"/>
        <v>24.84</v>
      </c>
      <c r="G35">
        <f t="shared" si="3"/>
        <v>0.54</v>
      </c>
      <c r="H35">
        <f t="shared" si="4"/>
        <v>90.72</v>
      </c>
      <c r="I35">
        <f t="shared" si="5"/>
        <v>756</v>
      </c>
      <c r="J35">
        <f t="shared" si="6"/>
        <v>540</v>
      </c>
      <c r="K35">
        <f t="shared" si="7"/>
        <v>64.8</v>
      </c>
      <c r="L35">
        <f t="shared" si="8"/>
        <v>5.9724000000000004</v>
      </c>
      <c r="M35">
        <f t="shared" si="9"/>
        <v>5.7455999999999996</v>
      </c>
      <c r="N35">
        <f t="shared" si="10"/>
        <v>4.1580000000000004</v>
      </c>
      <c r="O35">
        <f t="shared" si="11"/>
        <v>4.215811764705883</v>
      </c>
      <c r="P35">
        <f t="shared" si="12"/>
        <v>1.8142548596112311</v>
      </c>
      <c r="Q35">
        <f t="shared" si="13"/>
        <v>63</v>
      </c>
      <c r="R35">
        <f t="shared" si="14"/>
        <v>360</v>
      </c>
      <c r="S35">
        <f t="shared" si="15"/>
        <v>475.2</v>
      </c>
      <c r="T35">
        <f t="shared" si="16"/>
        <v>64.800000000000011</v>
      </c>
      <c r="U35">
        <f>I35*E35/'[1]Inverter Analysis'!$L$2</f>
        <v>217.39266693077019</v>
      </c>
      <c r="V35">
        <f t="shared" si="17"/>
        <v>148.14814814814815</v>
      </c>
      <c r="W35">
        <f t="shared" si="18"/>
        <v>168.35016835016836</v>
      </c>
      <c r="X35">
        <f t="shared" si="19"/>
        <v>105.82010582010582</v>
      </c>
      <c r="Y35">
        <f t="shared" si="20"/>
        <v>0.17005067510118019</v>
      </c>
      <c r="Z35">
        <f t="shared" si="21"/>
        <v>7.3037051999999978</v>
      </c>
    </row>
    <row r="36" spans="1:26" hidden="1">
      <c r="A36">
        <v>14</v>
      </c>
      <c r="B36">
        <v>2</v>
      </c>
      <c r="C36">
        <v>12</v>
      </c>
      <c r="D36">
        <f t="shared" si="0"/>
        <v>280</v>
      </c>
      <c r="E36">
        <f t="shared" si="1"/>
        <v>120</v>
      </c>
      <c r="F36">
        <f t="shared" si="2"/>
        <v>23.184000000000001</v>
      </c>
      <c r="G36">
        <f t="shared" si="3"/>
        <v>0.504</v>
      </c>
      <c r="H36">
        <f t="shared" si="4"/>
        <v>84.671999999999997</v>
      </c>
      <c r="I36">
        <f t="shared" si="5"/>
        <v>705.6</v>
      </c>
      <c r="J36">
        <f t="shared" si="6"/>
        <v>504</v>
      </c>
      <c r="K36">
        <f t="shared" si="7"/>
        <v>60.48</v>
      </c>
      <c r="L36">
        <f t="shared" si="8"/>
        <v>5.5742400000000005</v>
      </c>
      <c r="M36">
        <f t="shared" si="9"/>
        <v>5.3625599999999993</v>
      </c>
      <c r="N36">
        <f t="shared" si="10"/>
        <v>3.8808000000000002</v>
      </c>
      <c r="O36">
        <f t="shared" si="11"/>
        <v>3.9347576470588241</v>
      </c>
      <c r="P36">
        <f t="shared" si="12"/>
        <v>1.693304535637149</v>
      </c>
      <c r="Q36">
        <f t="shared" si="13"/>
        <v>58.800000000000004</v>
      </c>
      <c r="R36">
        <f t="shared" si="14"/>
        <v>336</v>
      </c>
      <c r="S36">
        <f t="shared" si="15"/>
        <v>443.52</v>
      </c>
      <c r="T36">
        <f t="shared" si="16"/>
        <v>60.480000000000004</v>
      </c>
      <c r="U36">
        <f>I36*E36/'[1]Inverter Analysis'!$L$2</f>
        <v>202.89982246871887</v>
      </c>
      <c r="V36">
        <f t="shared" si="17"/>
        <v>158.73015873015873</v>
      </c>
      <c r="W36">
        <f t="shared" si="18"/>
        <v>180.37518037518038</v>
      </c>
      <c r="X36">
        <f t="shared" si="19"/>
        <v>113.37868480725623</v>
      </c>
      <c r="Y36">
        <f t="shared" si="20"/>
        <v>0.19521123417227315</v>
      </c>
      <c r="Z36">
        <f t="shared" si="21"/>
        <v>5.9381828352000001</v>
      </c>
    </row>
    <row r="37" spans="1:26" hidden="1">
      <c r="A37">
        <v>13</v>
      </c>
      <c r="B37">
        <v>2</v>
      </c>
      <c r="C37">
        <v>12</v>
      </c>
      <c r="D37">
        <f t="shared" si="0"/>
        <v>280</v>
      </c>
      <c r="E37">
        <f t="shared" si="1"/>
        <v>120</v>
      </c>
      <c r="F37">
        <f t="shared" si="2"/>
        <v>21.527999999999999</v>
      </c>
      <c r="G37">
        <f t="shared" si="3"/>
        <v>0.46799999999999997</v>
      </c>
      <c r="H37">
        <f t="shared" si="4"/>
        <v>78.623999999999995</v>
      </c>
      <c r="I37">
        <f t="shared" si="5"/>
        <v>655.20000000000005</v>
      </c>
      <c r="J37">
        <f t="shared" si="6"/>
        <v>468</v>
      </c>
      <c r="K37">
        <f t="shared" si="7"/>
        <v>56.16</v>
      </c>
      <c r="L37">
        <f t="shared" si="8"/>
        <v>5.1760800000000007</v>
      </c>
      <c r="M37">
        <f t="shared" si="9"/>
        <v>4.9795200000000008</v>
      </c>
      <c r="N37">
        <f t="shared" si="10"/>
        <v>3.6036000000000006</v>
      </c>
      <c r="O37">
        <f t="shared" si="11"/>
        <v>3.6537035294117652</v>
      </c>
      <c r="P37">
        <f t="shared" si="12"/>
        <v>1.5723542116630671</v>
      </c>
      <c r="Q37">
        <f t="shared" si="13"/>
        <v>54.6</v>
      </c>
      <c r="R37">
        <f t="shared" si="14"/>
        <v>312</v>
      </c>
      <c r="S37">
        <f t="shared" si="15"/>
        <v>411.84000000000003</v>
      </c>
      <c r="T37">
        <f t="shared" si="16"/>
        <v>56.16</v>
      </c>
      <c r="U37">
        <f>I37*E37/'[1]Inverter Analysis'!$L$2</f>
        <v>188.40697800666752</v>
      </c>
      <c r="V37">
        <f t="shared" si="17"/>
        <v>170.94017094017093</v>
      </c>
      <c r="W37">
        <f t="shared" si="18"/>
        <v>194.25019425019423</v>
      </c>
      <c r="X37">
        <f t="shared" si="19"/>
        <v>122.10012210012209</v>
      </c>
      <c r="Y37">
        <f t="shared" si="20"/>
        <v>0.22639882779742915</v>
      </c>
      <c r="Z37">
        <f t="shared" si="21"/>
        <v>4.7544415776000006</v>
      </c>
    </row>
    <row r="38" spans="1:26" hidden="1">
      <c r="A38">
        <v>12</v>
      </c>
      <c r="B38">
        <v>2</v>
      </c>
      <c r="C38">
        <v>12</v>
      </c>
      <c r="D38">
        <f t="shared" si="0"/>
        <v>280</v>
      </c>
      <c r="E38">
        <f t="shared" si="1"/>
        <v>120</v>
      </c>
      <c r="F38">
        <f t="shared" si="2"/>
        <v>19.872</v>
      </c>
      <c r="G38">
        <f t="shared" si="3"/>
        <v>0.43200000000000005</v>
      </c>
      <c r="H38">
        <f t="shared" si="4"/>
        <v>72.576000000000008</v>
      </c>
      <c r="I38">
        <f t="shared" si="5"/>
        <v>604.80000000000007</v>
      </c>
      <c r="J38">
        <f t="shared" si="6"/>
        <v>432</v>
      </c>
      <c r="K38">
        <f t="shared" si="7"/>
        <v>51.84</v>
      </c>
      <c r="L38">
        <f t="shared" si="8"/>
        <v>4.7779200000000008</v>
      </c>
      <c r="M38">
        <f t="shared" si="9"/>
        <v>4.5964800000000006</v>
      </c>
      <c r="N38">
        <f t="shared" si="10"/>
        <v>3.3264000000000005</v>
      </c>
      <c r="O38">
        <f t="shared" si="11"/>
        <v>3.3726494117647068</v>
      </c>
      <c r="P38">
        <f t="shared" si="12"/>
        <v>1.4514038876889852</v>
      </c>
      <c r="Q38">
        <f t="shared" si="13"/>
        <v>50.400000000000006</v>
      </c>
      <c r="R38">
        <f t="shared" si="14"/>
        <v>288</v>
      </c>
      <c r="S38">
        <f t="shared" si="15"/>
        <v>380.15999999999997</v>
      </c>
      <c r="T38">
        <f t="shared" si="16"/>
        <v>51.84</v>
      </c>
      <c r="U38">
        <f>I38*E38/'[1]Inverter Analysis'!$L$2</f>
        <v>173.91413354461619</v>
      </c>
      <c r="V38">
        <f t="shared" si="17"/>
        <v>185.18518518518519</v>
      </c>
      <c r="W38">
        <f t="shared" si="18"/>
        <v>210.43771043771045</v>
      </c>
      <c r="X38">
        <f t="shared" si="19"/>
        <v>132.27513227513225</v>
      </c>
      <c r="Y38">
        <f t="shared" si="20"/>
        <v>0.26570417984559402</v>
      </c>
      <c r="Z38">
        <f t="shared" si="21"/>
        <v>3.7394970623999995</v>
      </c>
    </row>
    <row r="39" spans="1:26" hidden="1">
      <c r="A39">
        <v>11</v>
      </c>
      <c r="B39">
        <v>2</v>
      </c>
      <c r="C39">
        <v>12</v>
      </c>
      <c r="D39">
        <f t="shared" si="0"/>
        <v>280</v>
      </c>
      <c r="E39">
        <f t="shared" si="1"/>
        <v>120</v>
      </c>
      <c r="F39">
        <f t="shared" si="2"/>
        <v>18.216000000000001</v>
      </c>
      <c r="G39">
        <f t="shared" si="3"/>
        <v>0.39600000000000002</v>
      </c>
      <c r="H39">
        <f t="shared" si="4"/>
        <v>66.528000000000006</v>
      </c>
      <c r="I39">
        <f t="shared" si="5"/>
        <v>554.4</v>
      </c>
      <c r="J39">
        <f t="shared" si="6"/>
        <v>396</v>
      </c>
      <c r="K39">
        <f t="shared" si="7"/>
        <v>47.52</v>
      </c>
      <c r="L39">
        <f t="shared" si="8"/>
        <v>4.3797600000000001</v>
      </c>
      <c r="M39">
        <f t="shared" si="9"/>
        <v>4.2134399999999994</v>
      </c>
      <c r="N39">
        <f t="shared" si="10"/>
        <v>3.0491999999999999</v>
      </c>
      <c r="O39">
        <f t="shared" si="11"/>
        <v>3.0915952941176474</v>
      </c>
      <c r="P39">
        <f t="shared" si="12"/>
        <v>1.3304535637149026</v>
      </c>
      <c r="Q39">
        <f t="shared" si="13"/>
        <v>46.199999999999996</v>
      </c>
      <c r="R39">
        <f t="shared" si="14"/>
        <v>264</v>
      </c>
      <c r="S39">
        <f t="shared" si="15"/>
        <v>348.48</v>
      </c>
      <c r="T39">
        <f t="shared" si="16"/>
        <v>47.52</v>
      </c>
      <c r="U39">
        <f>I39*E39/'[1]Inverter Analysis'!$L$2</f>
        <v>159.42128908256481</v>
      </c>
      <c r="V39">
        <f t="shared" si="17"/>
        <v>202.02020202020202</v>
      </c>
      <c r="W39">
        <f t="shared" si="18"/>
        <v>229.5684113865932</v>
      </c>
      <c r="X39">
        <f t="shared" si="19"/>
        <v>144.3001443001443</v>
      </c>
      <c r="Y39">
        <f t="shared" si="20"/>
        <v>0.31620993303938455</v>
      </c>
      <c r="Z39">
        <f t="shared" si="21"/>
        <v>2.8803649248000007</v>
      </c>
    </row>
    <row r="40" spans="1:26" hidden="1">
      <c r="A40">
        <v>10</v>
      </c>
      <c r="B40">
        <v>2</v>
      </c>
      <c r="C40">
        <v>12</v>
      </c>
      <c r="D40">
        <f t="shared" si="0"/>
        <v>280</v>
      </c>
      <c r="E40">
        <f t="shared" si="1"/>
        <v>120</v>
      </c>
      <c r="F40">
        <f t="shared" si="2"/>
        <v>16.559999999999999</v>
      </c>
      <c r="G40">
        <f t="shared" si="3"/>
        <v>0.36</v>
      </c>
      <c r="H40">
        <f t="shared" si="4"/>
        <v>60.48</v>
      </c>
      <c r="I40">
        <f t="shared" si="5"/>
        <v>504</v>
      </c>
      <c r="J40">
        <f t="shared" si="6"/>
        <v>360</v>
      </c>
      <c r="K40">
        <f t="shared" si="7"/>
        <v>43.2</v>
      </c>
      <c r="L40">
        <f t="shared" si="8"/>
        <v>3.9816000000000003</v>
      </c>
      <c r="M40">
        <f t="shared" si="9"/>
        <v>3.8303999999999996</v>
      </c>
      <c r="N40">
        <f t="shared" si="10"/>
        <v>2.7719999999999998</v>
      </c>
      <c r="O40">
        <f t="shared" si="11"/>
        <v>2.8105411764705885</v>
      </c>
      <c r="P40">
        <f t="shared" si="12"/>
        <v>1.2095032397408207</v>
      </c>
      <c r="Q40">
        <f t="shared" si="13"/>
        <v>42</v>
      </c>
      <c r="R40">
        <f t="shared" si="14"/>
        <v>240</v>
      </c>
      <c r="S40">
        <f t="shared" si="15"/>
        <v>316.8</v>
      </c>
      <c r="T40">
        <f t="shared" si="16"/>
        <v>43.199999999999996</v>
      </c>
      <c r="U40">
        <f>I40*E40/'[1]Inverter Analysis'!$L$2</f>
        <v>144.92844462051346</v>
      </c>
      <c r="V40">
        <f t="shared" si="17"/>
        <v>222.22222222222223</v>
      </c>
      <c r="W40">
        <f t="shared" si="18"/>
        <v>252.52525252525251</v>
      </c>
      <c r="X40">
        <f t="shared" si="19"/>
        <v>158.73015873015873</v>
      </c>
      <c r="Y40">
        <f t="shared" si="20"/>
        <v>0.38261401897765529</v>
      </c>
      <c r="Z40">
        <f t="shared" si="21"/>
        <v>2.1640608000000001</v>
      </c>
    </row>
    <row r="41" spans="1:26" hidden="1">
      <c r="A41" s="8">
        <v>16</v>
      </c>
      <c r="B41" s="1">
        <v>6</v>
      </c>
      <c r="C41" s="1">
        <v>11</v>
      </c>
      <c r="D41">
        <f t="shared" si="0"/>
        <v>840</v>
      </c>
      <c r="E41">
        <f t="shared" si="1"/>
        <v>360</v>
      </c>
      <c r="F41">
        <f t="shared" si="2"/>
        <v>72.864000000000004</v>
      </c>
      <c r="G41">
        <f t="shared" si="3"/>
        <v>0.17599999999999999</v>
      </c>
      <c r="H41">
        <f t="shared" si="4"/>
        <v>266.11200000000002</v>
      </c>
      <c r="I41">
        <f t="shared" si="5"/>
        <v>739.2</v>
      </c>
      <c r="J41">
        <f t="shared" si="6"/>
        <v>528</v>
      </c>
      <c r="K41">
        <f t="shared" si="7"/>
        <v>190.08</v>
      </c>
      <c r="L41">
        <f t="shared" si="8"/>
        <v>17.51904</v>
      </c>
      <c r="M41">
        <f t="shared" si="9"/>
        <v>16.853760000000001</v>
      </c>
      <c r="N41">
        <f t="shared" si="10"/>
        <v>12.196800000000001</v>
      </c>
      <c r="O41">
        <f t="shared" si="11"/>
        <v>12.36638117647059</v>
      </c>
      <c r="P41">
        <f t="shared" si="12"/>
        <v>5.8056155507559399</v>
      </c>
      <c r="Q41">
        <f t="shared" si="13"/>
        <v>67.2</v>
      </c>
      <c r="R41">
        <f t="shared" si="14"/>
        <v>1056</v>
      </c>
      <c r="S41">
        <f t="shared" si="15"/>
        <v>464.64</v>
      </c>
      <c r="T41">
        <f t="shared" si="16"/>
        <v>63.36</v>
      </c>
      <c r="U41">
        <f>I41*E41/'[1]Inverter Analysis'!$L$2</f>
        <v>637.68515633025925</v>
      </c>
      <c r="V41">
        <f t="shared" si="17"/>
        <v>151.5151515151515</v>
      </c>
      <c r="W41">
        <f t="shared" si="18"/>
        <v>172.1763085399449</v>
      </c>
      <c r="X41">
        <f t="shared" si="19"/>
        <v>108.22510822510822</v>
      </c>
      <c r="Y41">
        <f t="shared" si="20"/>
        <v>0.17786808733465381</v>
      </c>
      <c r="Z41">
        <f t="shared" si="21"/>
        <v>20.482595020800005</v>
      </c>
    </row>
    <row r="42" spans="1:26" hidden="1">
      <c r="A42" s="8">
        <v>15</v>
      </c>
      <c r="B42" s="1">
        <v>6</v>
      </c>
      <c r="C42" s="1">
        <v>11</v>
      </c>
      <c r="D42">
        <f t="shared" si="0"/>
        <v>840</v>
      </c>
      <c r="E42">
        <f t="shared" si="1"/>
        <v>360</v>
      </c>
      <c r="F42">
        <f t="shared" si="2"/>
        <v>68.31</v>
      </c>
      <c r="G42">
        <f t="shared" si="3"/>
        <v>0.16499999999999998</v>
      </c>
      <c r="H42">
        <f t="shared" si="4"/>
        <v>249.48</v>
      </c>
      <c r="I42">
        <f t="shared" si="5"/>
        <v>693</v>
      </c>
      <c r="J42">
        <f t="shared" si="6"/>
        <v>495</v>
      </c>
      <c r="K42">
        <f t="shared" si="7"/>
        <v>178.2</v>
      </c>
      <c r="L42">
        <f t="shared" si="8"/>
        <v>16.424099999999999</v>
      </c>
      <c r="M42">
        <f t="shared" si="9"/>
        <v>15.800400000000002</v>
      </c>
      <c r="N42">
        <f t="shared" si="10"/>
        <v>11.4345</v>
      </c>
      <c r="O42">
        <f t="shared" si="11"/>
        <v>11.593482352941177</v>
      </c>
      <c r="P42">
        <f t="shared" si="12"/>
        <v>5.4427645788336925</v>
      </c>
      <c r="Q42">
        <f t="shared" si="13"/>
        <v>63</v>
      </c>
      <c r="R42">
        <f t="shared" si="14"/>
        <v>990</v>
      </c>
      <c r="S42">
        <f t="shared" si="15"/>
        <v>435.6</v>
      </c>
      <c r="T42">
        <f t="shared" si="16"/>
        <v>59.399999999999991</v>
      </c>
      <c r="U42">
        <f>I42*E42/'[1]Inverter Analysis'!$L$2</f>
        <v>597.82983405961807</v>
      </c>
      <c r="V42">
        <f t="shared" si="17"/>
        <v>161.61616161616161</v>
      </c>
      <c r="W42">
        <f t="shared" si="18"/>
        <v>183.65472910927454</v>
      </c>
      <c r="X42">
        <f t="shared" si="19"/>
        <v>115.44011544011543</v>
      </c>
      <c r="Y42">
        <f t="shared" si="20"/>
        <v>0.2023743571452061</v>
      </c>
      <c r="Z42">
        <f t="shared" si="21"/>
        <v>16.877138231250004</v>
      </c>
    </row>
    <row r="43" spans="1:26" hidden="1">
      <c r="A43">
        <v>14</v>
      </c>
      <c r="B43" s="1">
        <v>6</v>
      </c>
      <c r="C43" s="1">
        <v>11</v>
      </c>
      <c r="D43">
        <f t="shared" si="0"/>
        <v>840</v>
      </c>
      <c r="E43">
        <f t="shared" si="1"/>
        <v>360</v>
      </c>
      <c r="F43">
        <f t="shared" si="2"/>
        <v>63.756</v>
      </c>
      <c r="G43">
        <f t="shared" si="3"/>
        <v>0.154</v>
      </c>
      <c r="H43">
        <f t="shared" si="4"/>
        <v>232.84800000000004</v>
      </c>
      <c r="I43">
        <f t="shared" si="5"/>
        <v>646.80000000000007</v>
      </c>
      <c r="J43">
        <f t="shared" si="6"/>
        <v>462</v>
      </c>
      <c r="K43">
        <f t="shared" si="7"/>
        <v>166.32</v>
      </c>
      <c r="L43">
        <f t="shared" si="8"/>
        <v>15.329160000000003</v>
      </c>
      <c r="M43">
        <f t="shared" si="9"/>
        <v>14.74704</v>
      </c>
      <c r="N43">
        <f t="shared" si="10"/>
        <v>10.6722</v>
      </c>
      <c r="O43">
        <f t="shared" si="11"/>
        <v>10.820583529411769</v>
      </c>
      <c r="P43">
        <f t="shared" si="12"/>
        <v>5.0799136069114477</v>
      </c>
      <c r="Q43">
        <f t="shared" si="13"/>
        <v>58.800000000000004</v>
      </c>
      <c r="R43">
        <f t="shared" si="14"/>
        <v>924</v>
      </c>
      <c r="S43">
        <f t="shared" si="15"/>
        <v>406.56</v>
      </c>
      <c r="T43">
        <f t="shared" si="16"/>
        <v>55.44</v>
      </c>
      <c r="U43">
        <f>I43*E43/'[1]Inverter Analysis'!$L$2</f>
        <v>557.97451178897688</v>
      </c>
      <c r="V43">
        <f t="shared" si="17"/>
        <v>173.16017316017317</v>
      </c>
      <c r="W43">
        <f t="shared" si="18"/>
        <v>196.77292404565131</v>
      </c>
      <c r="X43">
        <f t="shared" si="19"/>
        <v>123.68583797155225</v>
      </c>
      <c r="Y43">
        <f t="shared" si="20"/>
        <v>0.23231750182485397</v>
      </c>
      <c r="Z43">
        <f t="shared" si="21"/>
        <v>13.721738461199999</v>
      </c>
    </row>
    <row r="44" spans="1:26" hidden="1">
      <c r="A44">
        <v>13</v>
      </c>
      <c r="B44" s="1">
        <v>6</v>
      </c>
      <c r="C44" s="1">
        <v>11</v>
      </c>
      <c r="D44">
        <f t="shared" si="0"/>
        <v>840</v>
      </c>
      <c r="E44">
        <f t="shared" si="1"/>
        <v>360</v>
      </c>
      <c r="F44">
        <f t="shared" si="2"/>
        <v>59.201999999999998</v>
      </c>
      <c r="G44">
        <f t="shared" si="3"/>
        <v>0.14300000000000002</v>
      </c>
      <c r="H44">
        <f t="shared" si="4"/>
        <v>216.21600000000001</v>
      </c>
      <c r="I44">
        <f t="shared" si="5"/>
        <v>600.6</v>
      </c>
      <c r="J44">
        <f t="shared" si="6"/>
        <v>429</v>
      </c>
      <c r="K44">
        <f t="shared" si="7"/>
        <v>154.44</v>
      </c>
      <c r="L44">
        <f t="shared" si="8"/>
        <v>14.234220000000001</v>
      </c>
      <c r="M44">
        <f t="shared" si="9"/>
        <v>13.693680000000001</v>
      </c>
      <c r="N44">
        <f t="shared" si="10"/>
        <v>9.9099000000000022</v>
      </c>
      <c r="O44">
        <f t="shared" si="11"/>
        <v>10.047684705882354</v>
      </c>
      <c r="P44">
        <f t="shared" si="12"/>
        <v>4.7170626349892011</v>
      </c>
      <c r="Q44">
        <f t="shared" si="13"/>
        <v>54.6</v>
      </c>
      <c r="R44">
        <f t="shared" si="14"/>
        <v>858</v>
      </c>
      <c r="S44">
        <f t="shared" si="15"/>
        <v>377.52</v>
      </c>
      <c r="T44">
        <f t="shared" si="16"/>
        <v>51.480000000000004</v>
      </c>
      <c r="U44">
        <f>I44*E44/'[1]Inverter Analysis'!$L$2</f>
        <v>518.1191895183357</v>
      </c>
      <c r="V44">
        <f t="shared" si="17"/>
        <v>186.48018648018649</v>
      </c>
      <c r="W44">
        <f t="shared" si="18"/>
        <v>211.90930281839374</v>
      </c>
      <c r="X44">
        <f t="shared" si="19"/>
        <v>133.20013320013319</v>
      </c>
      <c r="Y44">
        <f t="shared" si="20"/>
        <v>0.26943331572586621</v>
      </c>
      <c r="Z44">
        <f t="shared" si="21"/>
        <v>10.986391909349999</v>
      </c>
    </row>
    <row r="45" spans="1:26" hidden="1">
      <c r="A45">
        <v>12</v>
      </c>
      <c r="B45" s="1">
        <v>6</v>
      </c>
      <c r="C45" s="1">
        <v>11</v>
      </c>
      <c r="D45">
        <f t="shared" si="0"/>
        <v>840</v>
      </c>
      <c r="E45">
        <f t="shared" si="1"/>
        <v>360</v>
      </c>
      <c r="F45">
        <f t="shared" si="2"/>
        <v>54.648000000000003</v>
      </c>
      <c r="G45">
        <f t="shared" si="3"/>
        <v>0.13200000000000001</v>
      </c>
      <c r="H45">
        <f t="shared" si="4"/>
        <v>199.584</v>
      </c>
      <c r="I45">
        <f t="shared" si="5"/>
        <v>554.4</v>
      </c>
      <c r="J45">
        <f t="shared" si="6"/>
        <v>396</v>
      </c>
      <c r="K45">
        <f t="shared" si="7"/>
        <v>142.56</v>
      </c>
      <c r="L45">
        <f t="shared" si="8"/>
        <v>13.139280000000001</v>
      </c>
      <c r="M45">
        <f t="shared" si="9"/>
        <v>12.640319999999999</v>
      </c>
      <c r="N45">
        <f t="shared" si="10"/>
        <v>9.1475999999999988</v>
      </c>
      <c r="O45">
        <f t="shared" si="11"/>
        <v>9.2747858823529423</v>
      </c>
      <c r="P45">
        <f t="shared" si="12"/>
        <v>4.3542116630669545</v>
      </c>
      <c r="Q45">
        <f t="shared" si="13"/>
        <v>50.4</v>
      </c>
      <c r="R45">
        <f t="shared" si="14"/>
        <v>792</v>
      </c>
      <c r="S45">
        <f t="shared" si="15"/>
        <v>348.48</v>
      </c>
      <c r="T45">
        <f t="shared" si="16"/>
        <v>47.52</v>
      </c>
      <c r="U45">
        <f>I45*E45/'[1]Inverter Analysis'!$L$2</f>
        <v>478.26386724769446</v>
      </c>
      <c r="V45">
        <f t="shared" si="17"/>
        <v>202.02020202020202</v>
      </c>
      <c r="W45">
        <f t="shared" si="18"/>
        <v>229.5684113865932</v>
      </c>
      <c r="X45">
        <f t="shared" si="19"/>
        <v>144.3001443001443</v>
      </c>
      <c r="Y45">
        <f t="shared" si="20"/>
        <v>0.31620993303938455</v>
      </c>
      <c r="Z45">
        <f t="shared" si="21"/>
        <v>8.6410947744000008</v>
      </c>
    </row>
    <row r="46" spans="1:26" hidden="1">
      <c r="A46">
        <v>11</v>
      </c>
      <c r="B46" s="1">
        <v>6</v>
      </c>
      <c r="C46" s="1">
        <v>11</v>
      </c>
      <c r="D46">
        <f t="shared" si="0"/>
        <v>840</v>
      </c>
      <c r="E46">
        <f t="shared" si="1"/>
        <v>360</v>
      </c>
      <c r="F46">
        <f t="shared" si="2"/>
        <v>50.094000000000001</v>
      </c>
      <c r="G46">
        <f t="shared" si="3"/>
        <v>0.121</v>
      </c>
      <c r="H46">
        <f t="shared" si="4"/>
        <v>182.95200000000003</v>
      </c>
      <c r="I46">
        <f t="shared" si="5"/>
        <v>508.20000000000005</v>
      </c>
      <c r="J46">
        <f t="shared" si="6"/>
        <v>363</v>
      </c>
      <c r="K46">
        <f t="shared" si="7"/>
        <v>130.68</v>
      </c>
      <c r="L46">
        <f t="shared" si="8"/>
        <v>12.044340000000002</v>
      </c>
      <c r="M46">
        <f t="shared" si="9"/>
        <v>11.586960000000001</v>
      </c>
      <c r="N46">
        <f t="shared" si="10"/>
        <v>8.3853000000000009</v>
      </c>
      <c r="O46">
        <f t="shared" si="11"/>
        <v>8.5018870588235309</v>
      </c>
      <c r="P46">
        <f t="shared" si="12"/>
        <v>3.9913606911447088</v>
      </c>
      <c r="Q46">
        <f t="shared" si="13"/>
        <v>46.2</v>
      </c>
      <c r="R46">
        <f t="shared" si="14"/>
        <v>726</v>
      </c>
      <c r="S46">
        <f t="shared" si="15"/>
        <v>319.44</v>
      </c>
      <c r="T46">
        <f t="shared" si="16"/>
        <v>43.56</v>
      </c>
      <c r="U46">
        <f>I46*E46/'[1]Inverter Analysis'!$L$2</f>
        <v>438.40854497705334</v>
      </c>
      <c r="V46">
        <f t="shared" si="17"/>
        <v>220.38567493112947</v>
      </c>
      <c r="W46">
        <f t="shared" si="18"/>
        <v>250.43826696719259</v>
      </c>
      <c r="X46">
        <f t="shared" si="19"/>
        <v>157.41833923652104</v>
      </c>
      <c r="Y46">
        <f t="shared" si="20"/>
        <v>0.37631595336918494</v>
      </c>
      <c r="Z46">
        <f t="shared" si="21"/>
        <v>6.6558432550499997</v>
      </c>
    </row>
    <row r="47" spans="1:26" hidden="1">
      <c r="A47">
        <v>10</v>
      </c>
      <c r="B47" s="1">
        <v>6</v>
      </c>
      <c r="C47" s="1">
        <v>11</v>
      </c>
      <c r="D47">
        <f t="shared" si="0"/>
        <v>840</v>
      </c>
      <c r="E47">
        <f t="shared" si="1"/>
        <v>360</v>
      </c>
      <c r="F47">
        <f t="shared" si="2"/>
        <v>45.54</v>
      </c>
      <c r="G47">
        <f t="shared" si="3"/>
        <v>0.11</v>
      </c>
      <c r="H47">
        <f t="shared" si="4"/>
        <v>166.32</v>
      </c>
      <c r="I47">
        <f t="shared" si="5"/>
        <v>462</v>
      </c>
      <c r="J47">
        <f t="shared" si="6"/>
        <v>330</v>
      </c>
      <c r="K47">
        <f t="shared" si="7"/>
        <v>118.8</v>
      </c>
      <c r="L47">
        <f t="shared" si="8"/>
        <v>10.949400000000001</v>
      </c>
      <c r="M47">
        <f t="shared" si="9"/>
        <v>10.533599999999998</v>
      </c>
      <c r="N47">
        <f t="shared" si="10"/>
        <v>7.6230000000000002</v>
      </c>
      <c r="O47">
        <f t="shared" si="11"/>
        <v>7.7289882352941186</v>
      </c>
      <c r="P47">
        <f t="shared" si="12"/>
        <v>3.6285097192224622</v>
      </c>
      <c r="Q47">
        <f t="shared" si="13"/>
        <v>42</v>
      </c>
      <c r="R47">
        <f t="shared" si="14"/>
        <v>660</v>
      </c>
      <c r="S47">
        <f t="shared" si="15"/>
        <v>290.39999999999998</v>
      </c>
      <c r="T47">
        <f t="shared" si="16"/>
        <v>39.6</v>
      </c>
      <c r="U47">
        <f>I47*E47/'[1]Inverter Analysis'!$L$2</f>
        <v>398.55322270641204</v>
      </c>
      <c r="V47">
        <f t="shared" si="17"/>
        <v>242.42424242424244</v>
      </c>
      <c r="W47">
        <f t="shared" si="18"/>
        <v>275.48209366391188</v>
      </c>
      <c r="X47">
        <f t="shared" si="19"/>
        <v>173.16017316017317</v>
      </c>
      <c r="Y47">
        <f t="shared" si="20"/>
        <v>0.45534230357671396</v>
      </c>
      <c r="Z47">
        <f t="shared" si="21"/>
        <v>5.0006335499999981</v>
      </c>
    </row>
    <row r="48" spans="1:26" hidden="1">
      <c r="A48" s="8">
        <v>16</v>
      </c>
      <c r="B48" s="9">
        <v>5</v>
      </c>
      <c r="C48" s="1">
        <v>11</v>
      </c>
      <c r="D48">
        <f t="shared" si="0"/>
        <v>700</v>
      </c>
      <c r="E48">
        <f t="shared" si="1"/>
        <v>300</v>
      </c>
      <c r="F48">
        <f t="shared" si="2"/>
        <v>60.72</v>
      </c>
      <c r="G48">
        <f t="shared" si="3"/>
        <v>0.21120000000000003</v>
      </c>
      <c r="H48">
        <f t="shared" si="4"/>
        <v>221.76</v>
      </c>
      <c r="I48">
        <f t="shared" si="5"/>
        <v>739.2</v>
      </c>
      <c r="J48">
        <f t="shared" si="6"/>
        <v>528</v>
      </c>
      <c r="K48">
        <f t="shared" si="7"/>
        <v>158.4</v>
      </c>
      <c r="L48">
        <f t="shared" si="8"/>
        <v>14.599200000000002</v>
      </c>
      <c r="M48">
        <f t="shared" si="9"/>
        <v>14.044799999999999</v>
      </c>
      <c r="N48">
        <f t="shared" si="10"/>
        <v>10.164</v>
      </c>
      <c r="O48">
        <f t="shared" si="11"/>
        <v>10.305317647058825</v>
      </c>
      <c r="P48">
        <f t="shared" si="12"/>
        <v>4.838012958963283</v>
      </c>
      <c r="Q48">
        <f t="shared" si="13"/>
        <v>67.2</v>
      </c>
      <c r="R48">
        <f t="shared" si="14"/>
        <v>880</v>
      </c>
      <c r="S48">
        <f t="shared" si="15"/>
        <v>464.64</v>
      </c>
      <c r="T48">
        <f t="shared" si="16"/>
        <v>63.360000000000007</v>
      </c>
      <c r="U48">
        <f>I48*E48/'[1]Inverter Analysis'!$L$2</f>
        <v>531.40429694188276</v>
      </c>
      <c r="V48">
        <f t="shared" si="17"/>
        <v>151.5151515151515</v>
      </c>
      <c r="W48">
        <f t="shared" si="18"/>
        <v>172.1763085399449</v>
      </c>
      <c r="X48">
        <f t="shared" si="19"/>
        <v>108.22510822510822</v>
      </c>
      <c r="Y48">
        <f t="shared" si="20"/>
        <v>0.17786808733465381</v>
      </c>
      <c r="Z48">
        <f t="shared" si="21"/>
        <v>17.068829184000002</v>
      </c>
    </row>
    <row r="49" spans="1:26" hidden="1">
      <c r="A49" s="8">
        <v>15</v>
      </c>
      <c r="B49" s="9">
        <v>5</v>
      </c>
      <c r="C49" s="1">
        <v>11</v>
      </c>
      <c r="D49">
        <f t="shared" si="0"/>
        <v>700</v>
      </c>
      <c r="E49">
        <f t="shared" si="1"/>
        <v>300</v>
      </c>
      <c r="F49">
        <f t="shared" si="2"/>
        <v>56.924999999999997</v>
      </c>
      <c r="G49">
        <f t="shared" si="3"/>
        <v>0.19800000000000001</v>
      </c>
      <c r="H49">
        <f t="shared" si="4"/>
        <v>207.9</v>
      </c>
      <c r="I49">
        <f t="shared" si="5"/>
        <v>693</v>
      </c>
      <c r="J49">
        <f t="shared" si="6"/>
        <v>495</v>
      </c>
      <c r="K49">
        <f t="shared" si="7"/>
        <v>148.5</v>
      </c>
      <c r="L49">
        <f t="shared" si="8"/>
        <v>13.68675</v>
      </c>
      <c r="M49">
        <f t="shared" si="9"/>
        <v>13.167</v>
      </c>
      <c r="N49">
        <f t="shared" si="10"/>
        <v>9.5287500000000005</v>
      </c>
      <c r="O49">
        <f t="shared" si="11"/>
        <v>9.6612352941176471</v>
      </c>
      <c r="P49">
        <f t="shared" si="12"/>
        <v>4.5356371490280774</v>
      </c>
      <c r="Q49">
        <f t="shared" si="13"/>
        <v>63</v>
      </c>
      <c r="R49">
        <f t="shared" si="14"/>
        <v>825</v>
      </c>
      <c r="S49">
        <f t="shared" si="15"/>
        <v>435.6</v>
      </c>
      <c r="T49">
        <f t="shared" si="16"/>
        <v>59.400000000000006</v>
      </c>
      <c r="U49">
        <f>I49*E49/'[1]Inverter Analysis'!$L$2</f>
        <v>498.19152838301505</v>
      </c>
      <c r="V49">
        <f t="shared" si="17"/>
        <v>161.61616161616161</v>
      </c>
      <c r="W49">
        <f t="shared" si="18"/>
        <v>183.65472910927454</v>
      </c>
      <c r="X49">
        <f t="shared" si="19"/>
        <v>115.44011544011543</v>
      </c>
      <c r="Y49">
        <f t="shared" si="20"/>
        <v>0.2023743571452061</v>
      </c>
      <c r="Z49">
        <f t="shared" si="21"/>
        <v>14.064281859375003</v>
      </c>
    </row>
    <row r="50" spans="1:26" hidden="1">
      <c r="A50">
        <v>14</v>
      </c>
      <c r="B50" s="9">
        <v>5</v>
      </c>
      <c r="C50" s="1">
        <v>11</v>
      </c>
      <c r="D50">
        <f t="shared" si="0"/>
        <v>700</v>
      </c>
      <c r="E50">
        <f t="shared" si="1"/>
        <v>300</v>
      </c>
      <c r="F50">
        <f t="shared" si="2"/>
        <v>53.13</v>
      </c>
      <c r="G50">
        <f t="shared" si="3"/>
        <v>0.18480000000000002</v>
      </c>
      <c r="H50">
        <f t="shared" si="4"/>
        <v>194.04000000000002</v>
      </c>
      <c r="I50">
        <f t="shared" si="5"/>
        <v>646.80000000000007</v>
      </c>
      <c r="J50">
        <f t="shared" si="6"/>
        <v>462</v>
      </c>
      <c r="K50">
        <f t="shared" si="7"/>
        <v>138.6</v>
      </c>
      <c r="L50">
        <f t="shared" si="8"/>
        <v>12.774300000000004</v>
      </c>
      <c r="M50">
        <f t="shared" si="9"/>
        <v>12.289200000000001</v>
      </c>
      <c r="N50">
        <f t="shared" si="10"/>
        <v>8.8935000000000013</v>
      </c>
      <c r="O50">
        <f t="shared" si="11"/>
        <v>9.017152941176473</v>
      </c>
      <c r="P50">
        <f t="shared" si="12"/>
        <v>4.2332613390928735</v>
      </c>
      <c r="Q50">
        <f t="shared" si="13"/>
        <v>58.800000000000004</v>
      </c>
      <c r="R50">
        <f t="shared" si="14"/>
        <v>770</v>
      </c>
      <c r="S50">
        <f t="shared" si="15"/>
        <v>406.56</v>
      </c>
      <c r="T50">
        <f t="shared" si="16"/>
        <v>55.440000000000005</v>
      </c>
      <c r="U50">
        <f>I50*E50/'[1]Inverter Analysis'!$L$2</f>
        <v>464.97875982414746</v>
      </c>
      <c r="V50">
        <f t="shared" si="17"/>
        <v>173.16017316017317</v>
      </c>
      <c r="W50">
        <f t="shared" si="18"/>
        <v>196.77292404565131</v>
      </c>
      <c r="X50">
        <f t="shared" si="19"/>
        <v>123.68583797155225</v>
      </c>
      <c r="Y50">
        <f t="shared" si="20"/>
        <v>0.23231750182485397</v>
      </c>
      <c r="Z50">
        <f t="shared" si="21"/>
        <v>11.434782051000003</v>
      </c>
    </row>
    <row r="51" spans="1:26" hidden="1">
      <c r="A51">
        <v>13</v>
      </c>
      <c r="B51" s="9">
        <v>5</v>
      </c>
      <c r="C51" s="1">
        <v>11</v>
      </c>
      <c r="D51">
        <f t="shared" si="0"/>
        <v>700</v>
      </c>
      <c r="E51">
        <f t="shared" si="1"/>
        <v>300</v>
      </c>
      <c r="F51">
        <f t="shared" si="2"/>
        <v>49.335000000000001</v>
      </c>
      <c r="G51">
        <f t="shared" si="3"/>
        <v>0.1716</v>
      </c>
      <c r="H51">
        <f t="shared" si="4"/>
        <v>180.18</v>
      </c>
      <c r="I51">
        <f t="shared" si="5"/>
        <v>600.6</v>
      </c>
      <c r="J51">
        <f t="shared" si="6"/>
        <v>429</v>
      </c>
      <c r="K51">
        <f t="shared" si="7"/>
        <v>128.69999999999999</v>
      </c>
      <c r="L51">
        <f t="shared" si="8"/>
        <v>11.861850000000002</v>
      </c>
      <c r="M51">
        <f t="shared" si="9"/>
        <v>11.411400000000002</v>
      </c>
      <c r="N51">
        <f t="shared" si="10"/>
        <v>8.2582500000000003</v>
      </c>
      <c r="O51">
        <f t="shared" si="11"/>
        <v>8.3730705882352954</v>
      </c>
      <c r="P51">
        <f t="shared" si="12"/>
        <v>3.9308855291576674</v>
      </c>
      <c r="Q51">
        <f t="shared" si="13"/>
        <v>54.6</v>
      </c>
      <c r="R51">
        <f t="shared" si="14"/>
        <v>715</v>
      </c>
      <c r="S51">
        <f t="shared" si="15"/>
        <v>377.52</v>
      </c>
      <c r="T51">
        <f t="shared" si="16"/>
        <v>51.480000000000004</v>
      </c>
      <c r="U51">
        <f>I51*E51/'[1]Inverter Analysis'!$L$2</f>
        <v>431.76599126527969</v>
      </c>
      <c r="V51">
        <f t="shared" si="17"/>
        <v>186.48018648018649</v>
      </c>
      <c r="W51">
        <f t="shared" si="18"/>
        <v>211.90930281839374</v>
      </c>
      <c r="X51">
        <f t="shared" si="19"/>
        <v>133.20013320013319</v>
      </c>
      <c r="Y51">
        <f t="shared" si="20"/>
        <v>0.26943331572586621</v>
      </c>
      <c r="Z51">
        <f t="shared" si="21"/>
        <v>9.1553265911250001</v>
      </c>
    </row>
    <row r="52" spans="1:26" hidden="1">
      <c r="A52">
        <v>12</v>
      </c>
      <c r="B52" s="9">
        <v>5</v>
      </c>
      <c r="C52" s="1">
        <v>11</v>
      </c>
      <c r="D52">
        <f t="shared" si="0"/>
        <v>700</v>
      </c>
      <c r="E52">
        <f t="shared" si="1"/>
        <v>300</v>
      </c>
      <c r="F52">
        <f t="shared" si="2"/>
        <v>45.54</v>
      </c>
      <c r="G52">
        <f t="shared" si="3"/>
        <v>0.15840000000000001</v>
      </c>
      <c r="H52">
        <f t="shared" si="4"/>
        <v>166.32</v>
      </c>
      <c r="I52">
        <f t="shared" si="5"/>
        <v>554.4</v>
      </c>
      <c r="J52">
        <f t="shared" si="6"/>
        <v>396</v>
      </c>
      <c r="K52">
        <f t="shared" si="7"/>
        <v>118.8</v>
      </c>
      <c r="L52">
        <f t="shared" si="8"/>
        <v>10.949400000000001</v>
      </c>
      <c r="M52">
        <f t="shared" si="9"/>
        <v>10.533599999999998</v>
      </c>
      <c r="N52">
        <f t="shared" si="10"/>
        <v>7.6230000000000002</v>
      </c>
      <c r="O52">
        <f t="shared" si="11"/>
        <v>7.7289882352941186</v>
      </c>
      <c r="P52">
        <f t="shared" si="12"/>
        <v>3.6285097192224622</v>
      </c>
      <c r="Q52">
        <f t="shared" si="13"/>
        <v>50.4</v>
      </c>
      <c r="R52">
        <f t="shared" si="14"/>
        <v>660</v>
      </c>
      <c r="S52">
        <f t="shared" si="15"/>
        <v>348.48</v>
      </c>
      <c r="T52">
        <f t="shared" si="16"/>
        <v>47.52</v>
      </c>
      <c r="U52">
        <f>I52*E52/'[1]Inverter Analysis'!$L$2</f>
        <v>398.55322270641204</v>
      </c>
      <c r="V52">
        <f t="shared" si="17"/>
        <v>202.02020202020202</v>
      </c>
      <c r="W52">
        <f t="shared" si="18"/>
        <v>229.5684113865932</v>
      </c>
      <c r="X52">
        <f t="shared" si="19"/>
        <v>144.3001443001443</v>
      </c>
      <c r="Y52">
        <f t="shared" si="20"/>
        <v>0.31620993303938455</v>
      </c>
      <c r="Z52">
        <f t="shared" si="21"/>
        <v>7.2009123119999998</v>
      </c>
    </row>
    <row r="53" spans="1:26" hidden="1">
      <c r="A53">
        <v>11</v>
      </c>
      <c r="B53" s="9">
        <v>5</v>
      </c>
      <c r="C53" s="1">
        <v>11</v>
      </c>
      <c r="D53">
        <f t="shared" si="0"/>
        <v>700</v>
      </c>
      <c r="E53">
        <f t="shared" si="1"/>
        <v>300</v>
      </c>
      <c r="F53">
        <f t="shared" si="2"/>
        <v>41.744999999999997</v>
      </c>
      <c r="G53">
        <f t="shared" si="3"/>
        <v>0.14520000000000002</v>
      </c>
      <c r="H53">
        <f t="shared" si="4"/>
        <v>152.46</v>
      </c>
      <c r="I53">
        <f t="shared" si="5"/>
        <v>508.20000000000005</v>
      </c>
      <c r="J53">
        <f t="shared" si="6"/>
        <v>363</v>
      </c>
      <c r="K53">
        <f t="shared" si="7"/>
        <v>108.9</v>
      </c>
      <c r="L53">
        <f t="shared" si="8"/>
        <v>10.036950000000001</v>
      </c>
      <c r="M53">
        <f t="shared" si="9"/>
        <v>9.655800000000001</v>
      </c>
      <c r="N53">
        <f t="shared" si="10"/>
        <v>6.987750000000001</v>
      </c>
      <c r="O53">
        <f t="shared" si="11"/>
        <v>7.0849058823529427</v>
      </c>
      <c r="P53">
        <f t="shared" si="12"/>
        <v>3.3261339092872571</v>
      </c>
      <c r="Q53">
        <f t="shared" si="13"/>
        <v>46.2</v>
      </c>
      <c r="R53">
        <f t="shared" si="14"/>
        <v>605</v>
      </c>
      <c r="S53">
        <f t="shared" si="15"/>
        <v>319.44</v>
      </c>
      <c r="T53">
        <f t="shared" si="16"/>
        <v>43.560000000000009</v>
      </c>
      <c r="U53">
        <f>I53*E53/'[1]Inverter Analysis'!$L$2</f>
        <v>365.34045414754439</v>
      </c>
      <c r="V53">
        <f t="shared" si="17"/>
        <v>220.38567493112947</v>
      </c>
      <c r="W53">
        <f t="shared" si="18"/>
        <v>250.43826696719259</v>
      </c>
      <c r="X53">
        <f t="shared" si="19"/>
        <v>157.41833923652104</v>
      </c>
      <c r="Y53">
        <f t="shared" si="20"/>
        <v>0.37631595336918494</v>
      </c>
      <c r="Z53">
        <f t="shared" si="21"/>
        <v>5.5465360458750004</v>
      </c>
    </row>
    <row r="54" spans="1:26" hidden="1">
      <c r="A54">
        <v>10</v>
      </c>
      <c r="B54" s="9">
        <v>5</v>
      </c>
      <c r="C54" s="1">
        <v>11</v>
      </c>
      <c r="D54">
        <f t="shared" si="0"/>
        <v>700</v>
      </c>
      <c r="E54">
        <f t="shared" si="1"/>
        <v>300</v>
      </c>
      <c r="F54">
        <f t="shared" si="2"/>
        <v>37.950000000000003</v>
      </c>
      <c r="G54">
        <f t="shared" si="3"/>
        <v>0.13200000000000001</v>
      </c>
      <c r="H54">
        <f t="shared" si="4"/>
        <v>138.6</v>
      </c>
      <c r="I54">
        <f t="shared" si="5"/>
        <v>462</v>
      </c>
      <c r="J54">
        <f t="shared" si="6"/>
        <v>330</v>
      </c>
      <c r="K54">
        <f t="shared" si="7"/>
        <v>99</v>
      </c>
      <c r="L54">
        <f t="shared" si="8"/>
        <v>9.1244999999999994</v>
      </c>
      <c r="M54">
        <f t="shared" si="9"/>
        <v>8.7780000000000005</v>
      </c>
      <c r="N54">
        <f t="shared" si="10"/>
        <v>6.3525</v>
      </c>
      <c r="O54">
        <f t="shared" si="11"/>
        <v>6.4408235294117651</v>
      </c>
      <c r="P54">
        <f t="shared" si="12"/>
        <v>3.0237580993520514</v>
      </c>
      <c r="Q54">
        <f t="shared" si="13"/>
        <v>42</v>
      </c>
      <c r="R54">
        <f t="shared" si="14"/>
        <v>550</v>
      </c>
      <c r="S54">
        <f t="shared" si="15"/>
        <v>290.39999999999998</v>
      </c>
      <c r="T54">
        <f t="shared" si="16"/>
        <v>39.6</v>
      </c>
      <c r="U54">
        <f>I54*E54/'[1]Inverter Analysis'!$L$2</f>
        <v>332.12768558867668</v>
      </c>
      <c r="V54">
        <f t="shared" si="17"/>
        <v>242.42424242424244</v>
      </c>
      <c r="W54">
        <f t="shared" si="18"/>
        <v>275.48209366391188</v>
      </c>
      <c r="X54">
        <f t="shared" si="19"/>
        <v>173.16017316017317</v>
      </c>
      <c r="Y54">
        <f t="shared" si="20"/>
        <v>0.45534230357671396</v>
      </c>
      <c r="Z54">
        <f t="shared" si="21"/>
        <v>4.1671946249999987</v>
      </c>
    </row>
    <row r="55" spans="1:26" hidden="1">
      <c r="A55">
        <v>16</v>
      </c>
      <c r="B55">
        <v>4</v>
      </c>
      <c r="C55" s="1">
        <v>11</v>
      </c>
      <c r="D55">
        <f t="shared" si="0"/>
        <v>560</v>
      </c>
      <c r="E55">
        <f t="shared" si="1"/>
        <v>240</v>
      </c>
      <c r="F55">
        <f t="shared" si="2"/>
        <v>48.576000000000001</v>
      </c>
      <c r="G55">
        <f t="shared" si="3"/>
        <v>0.26400000000000001</v>
      </c>
      <c r="H55">
        <f t="shared" si="4"/>
        <v>177.40799999999999</v>
      </c>
      <c r="I55">
        <f t="shared" si="5"/>
        <v>739.2</v>
      </c>
      <c r="J55">
        <f t="shared" si="6"/>
        <v>528</v>
      </c>
      <c r="K55">
        <f t="shared" si="7"/>
        <v>126.72</v>
      </c>
      <c r="L55">
        <f t="shared" si="8"/>
        <v>11.679360000000001</v>
      </c>
      <c r="M55">
        <f t="shared" si="9"/>
        <v>11.23584</v>
      </c>
      <c r="N55">
        <f t="shared" si="10"/>
        <v>8.1312000000000015</v>
      </c>
      <c r="O55">
        <f t="shared" si="11"/>
        <v>8.2442541176470598</v>
      </c>
      <c r="P55">
        <f t="shared" si="12"/>
        <v>3.8704103671706265</v>
      </c>
      <c r="Q55">
        <f t="shared" si="13"/>
        <v>67.2</v>
      </c>
      <c r="R55">
        <f t="shared" si="14"/>
        <v>704</v>
      </c>
      <c r="S55">
        <f t="shared" si="15"/>
        <v>464.64</v>
      </c>
      <c r="T55">
        <f t="shared" si="16"/>
        <v>63.36</v>
      </c>
      <c r="U55">
        <f>I55*E55/'[1]Inverter Analysis'!$L$2</f>
        <v>425.12343755350616</v>
      </c>
      <c r="V55">
        <f t="shared" si="17"/>
        <v>151.5151515151515</v>
      </c>
      <c r="W55">
        <f t="shared" si="18"/>
        <v>172.1763085399449</v>
      </c>
      <c r="X55">
        <f t="shared" si="19"/>
        <v>108.22510822510822</v>
      </c>
      <c r="Y55">
        <f t="shared" si="20"/>
        <v>0.17786808733465381</v>
      </c>
      <c r="Z55">
        <f t="shared" si="21"/>
        <v>13.6550633472</v>
      </c>
    </row>
    <row r="56" spans="1:26" hidden="1">
      <c r="A56">
        <v>15</v>
      </c>
      <c r="B56">
        <v>4</v>
      </c>
      <c r="C56" s="1">
        <v>11</v>
      </c>
      <c r="D56">
        <f t="shared" si="0"/>
        <v>560</v>
      </c>
      <c r="E56">
        <f t="shared" si="1"/>
        <v>240</v>
      </c>
      <c r="F56">
        <f t="shared" si="2"/>
        <v>45.54</v>
      </c>
      <c r="G56">
        <f t="shared" si="3"/>
        <v>0.2475</v>
      </c>
      <c r="H56">
        <f t="shared" si="4"/>
        <v>166.32</v>
      </c>
      <c r="I56">
        <f t="shared" si="5"/>
        <v>693</v>
      </c>
      <c r="J56">
        <f t="shared" si="6"/>
        <v>495</v>
      </c>
      <c r="K56">
        <f t="shared" si="7"/>
        <v>118.8</v>
      </c>
      <c r="L56">
        <f t="shared" si="8"/>
        <v>10.949399999999999</v>
      </c>
      <c r="M56">
        <f t="shared" si="9"/>
        <v>10.5336</v>
      </c>
      <c r="N56">
        <f t="shared" si="10"/>
        <v>7.6230000000000002</v>
      </c>
      <c r="O56">
        <f t="shared" si="11"/>
        <v>7.7289882352941177</v>
      </c>
      <c r="P56">
        <f t="shared" si="12"/>
        <v>3.6285097192224622</v>
      </c>
      <c r="Q56">
        <f t="shared" si="13"/>
        <v>63</v>
      </c>
      <c r="R56">
        <f t="shared" si="14"/>
        <v>660</v>
      </c>
      <c r="S56">
        <f t="shared" si="15"/>
        <v>435.6</v>
      </c>
      <c r="T56">
        <f t="shared" si="16"/>
        <v>59.4</v>
      </c>
      <c r="U56">
        <f>I56*E56/'[1]Inverter Analysis'!$L$2</f>
        <v>398.55322270641204</v>
      </c>
      <c r="V56">
        <f t="shared" si="17"/>
        <v>161.61616161616161</v>
      </c>
      <c r="W56">
        <f t="shared" si="18"/>
        <v>183.65472910927454</v>
      </c>
      <c r="X56">
        <f t="shared" si="19"/>
        <v>115.44011544011543</v>
      </c>
      <c r="Y56">
        <f t="shared" si="20"/>
        <v>0.2023743571452061</v>
      </c>
      <c r="Z56">
        <f t="shared" si="21"/>
        <v>11.251425487500002</v>
      </c>
    </row>
    <row r="57" spans="1:26" hidden="1">
      <c r="A57">
        <v>14</v>
      </c>
      <c r="B57">
        <v>4</v>
      </c>
      <c r="C57" s="1">
        <v>11</v>
      </c>
      <c r="D57">
        <f t="shared" si="0"/>
        <v>560</v>
      </c>
      <c r="E57">
        <f t="shared" si="1"/>
        <v>240</v>
      </c>
      <c r="F57">
        <f t="shared" si="2"/>
        <v>42.503999999999998</v>
      </c>
      <c r="G57">
        <f t="shared" si="3"/>
        <v>0.23100000000000001</v>
      </c>
      <c r="H57">
        <f t="shared" si="4"/>
        <v>155.23200000000003</v>
      </c>
      <c r="I57">
        <f t="shared" si="5"/>
        <v>646.80000000000007</v>
      </c>
      <c r="J57">
        <f t="shared" si="6"/>
        <v>462</v>
      </c>
      <c r="K57">
        <f t="shared" si="7"/>
        <v>110.88</v>
      </c>
      <c r="L57">
        <f t="shared" si="8"/>
        <v>10.219440000000002</v>
      </c>
      <c r="M57">
        <f t="shared" si="9"/>
        <v>9.8313600000000001</v>
      </c>
      <c r="N57">
        <f t="shared" si="10"/>
        <v>7.1148000000000007</v>
      </c>
      <c r="O57">
        <f t="shared" si="11"/>
        <v>7.2137223529411783</v>
      </c>
      <c r="P57">
        <f t="shared" si="12"/>
        <v>3.3866090712742984</v>
      </c>
      <c r="Q57">
        <f t="shared" si="13"/>
        <v>58.800000000000004</v>
      </c>
      <c r="R57">
        <f t="shared" si="14"/>
        <v>616</v>
      </c>
      <c r="S57">
        <f t="shared" si="15"/>
        <v>406.56</v>
      </c>
      <c r="T57">
        <f t="shared" si="16"/>
        <v>55.440000000000005</v>
      </c>
      <c r="U57">
        <f>I57*E57/'[1]Inverter Analysis'!$L$2</f>
        <v>371.98300785931798</v>
      </c>
      <c r="V57">
        <f t="shared" si="17"/>
        <v>173.16017316017317</v>
      </c>
      <c r="W57">
        <f t="shared" si="18"/>
        <v>196.77292404565131</v>
      </c>
      <c r="X57">
        <f t="shared" si="19"/>
        <v>123.68583797155225</v>
      </c>
      <c r="Y57">
        <f t="shared" si="20"/>
        <v>0.23231750182485397</v>
      </c>
      <c r="Z57">
        <f t="shared" si="21"/>
        <v>9.1478256408000007</v>
      </c>
    </row>
    <row r="58" spans="1:26" hidden="1">
      <c r="A58">
        <v>13</v>
      </c>
      <c r="B58">
        <v>4</v>
      </c>
      <c r="C58" s="1">
        <v>11</v>
      </c>
      <c r="D58">
        <f t="shared" si="0"/>
        <v>560</v>
      </c>
      <c r="E58">
        <f t="shared" si="1"/>
        <v>240</v>
      </c>
      <c r="F58">
        <f t="shared" si="2"/>
        <v>39.468000000000004</v>
      </c>
      <c r="G58">
        <f t="shared" si="3"/>
        <v>0.2145</v>
      </c>
      <c r="H58">
        <f t="shared" si="4"/>
        <v>144.14400000000001</v>
      </c>
      <c r="I58">
        <f t="shared" si="5"/>
        <v>600.6</v>
      </c>
      <c r="J58">
        <f t="shared" si="6"/>
        <v>429</v>
      </c>
      <c r="K58">
        <f t="shared" si="7"/>
        <v>102.96</v>
      </c>
      <c r="L58">
        <f t="shared" si="8"/>
        <v>9.4894800000000021</v>
      </c>
      <c r="M58">
        <f t="shared" si="9"/>
        <v>9.1291200000000003</v>
      </c>
      <c r="N58">
        <f t="shared" si="10"/>
        <v>6.6066000000000003</v>
      </c>
      <c r="O58">
        <f t="shared" si="11"/>
        <v>6.698456470588237</v>
      </c>
      <c r="P58">
        <f t="shared" si="12"/>
        <v>3.1447084233261338</v>
      </c>
      <c r="Q58">
        <f t="shared" si="13"/>
        <v>54.6</v>
      </c>
      <c r="R58">
        <f t="shared" si="14"/>
        <v>572</v>
      </c>
      <c r="S58">
        <f t="shared" si="15"/>
        <v>377.52</v>
      </c>
      <c r="T58">
        <f t="shared" si="16"/>
        <v>51.48</v>
      </c>
      <c r="U58">
        <f>I58*E58/'[1]Inverter Analysis'!$L$2</f>
        <v>345.41279301222374</v>
      </c>
      <c r="V58">
        <f t="shared" si="17"/>
        <v>186.48018648018649</v>
      </c>
      <c r="W58">
        <f t="shared" si="18"/>
        <v>211.90930281839374</v>
      </c>
      <c r="X58">
        <f t="shared" si="19"/>
        <v>133.20013320013319</v>
      </c>
      <c r="Y58">
        <f t="shared" si="20"/>
        <v>0.26943331572586621</v>
      </c>
      <c r="Z58">
        <f t="shared" si="21"/>
        <v>7.3242612729000003</v>
      </c>
    </row>
    <row r="59" spans="1:26" hidden="1">
      <c r="A59">
        <v>12</v>
      </c>
      <c r="B59">
        <v>4</v>
      </c>
      <c r="C59" s="1">
        <v>11</v>
      </c>
      <c r="D59">
        <f t="shared" si="0"/>
        <v>560</v>
      </c>
      <c r="E59">
        <f t="shared" si="1"/>
        <v>240</v>
      </c>
      <c r="F59">
        <f t="shared" si="2"/>
        <v>36.432000000000002</v>
      </c>
      <c r="G59">
        <f t="shared" si="3"/>
        <v>0.19800000000000001</v>
      </c>
      <c r="H59">
        <f t="shared" si="4"/>
        <v>133.05600000000001</v>
      </c>
      <c r="I59">
        <f t="shared" si="5"/>
        <v>554.4</v>
      </c>
      <c r="J59">
        <f t="shared" si="6"/>
        <v>396</v>
      </c>
      <c r="K59">
        <f t="shared" si="7"/>
        <v>95.04</v>
      </c>
      <c r="L59">
        <f t="shared" si="8"/>
        <v>8.7595200000000002</v>
      </c>
      <c r="M59">
        <f t="shared" si="9"/>
        <v>8.4268799999999988</v>
      </c>
      <c r="N59">
        <f t="shared" si="10"/>
        <v>6.0983999999999998</v>
      </c>
      <c r="O59">
        <f t="shared" si="11"/>
        <v>6.1831905882352949</v>
      </c>
      <c r="P59">
        <f t="shared" si="12"/>
        <v>2.9028077753779695</v>
      </c>
      <c r="Q59">
        <f t="shared" si="13"/>
        <v>50.4</v>
      </c>
      <c r="R59">
        <f t="shared" si="14"/>
        <v>528</v>
      </c>
      <c r="S59">
        <f t="shared" si="15"/>
        <v>348.48</v>
      </c>
      <c r="T59">
        <f t="shared" si="16"/>
        <v>47.52</v>
      </c>
      <c r="U59">
        <f>I59*E59/'[1]Inverter Analysis'!$L$2</f>
        <v>318.84257816512962</v>
      </c>
      <c r="V59">
        <f t="shared" si="17"/>
        <v>202.02020202020202</v>
      </c>
      <c r="W59">
        <f t="shared" si="18"/>
        <v>229.5684113865932</v>
      </c>
      <c r="X59">
        <f t="shared" si="19"/>
        <v>144.3001443001443</v>
      </c>
      <c r="Y59">
        <f t="shared" si="20"/>
        <v>0.31620993303938455</v>
      </c>
      <c r="Z59">
        <f t="shared" si="21"/>
        <v>5.7607298496000015</v>
      </c>
    </row>
    <row r="60" spans="1:26" hidden="1">
      <c r="A60">
        <v>11</v>
      </c>
      <c r="B60">
        <v>4</v>
      </c>
      <c r="C60" s="1">
        <v>11</v>
      </c>
      <c r="D60">
        <f t="shared" si="0"/>
        <v>560</v>
      </c>
      <c r="E60">
        <f t="shared" si="1"/>
        <v>240</v>
      </c>
      <c r="F60">
        <f t="shared" si="2"/>
        <v>33.396000000000001</v>
      </c>
      <c r="G60">
        <f t="shared" si="3"/>
        <v>0.18149999999999999</v>
      </c>
      <c r="H60">
        <f t="shared" si="4"/>
        <v>121.96800000000002</v>
      </c>
      <c r="I60">
        <f t="shared" si="5"/>
        <v>508.20000000000005</v>
      </c>
      <c r="J60">
        <f t="shared" si="6"/>
        <v>363</v>
      </c>
      <c r="K60">
        <f t="shared" si="7"/>
        <v>87.12</v>
      </c>
      <c r="L60">
        <f t="shared" si="8"/>
        <v>8.0295600000000018</v>
      </c>
      <c r="M60">
        <f t="shared" si="9"/>
        <v>7.72464</v>
      </c>
      <c r="N60">
        <f t="shared" si="10"/>
        <v>5.5902000000000012</v>
      </c>
      <c r="O60">
        <f t="shared" si="11"/>
        <v>5.6679247058823545</v>
      </c>
      <c r="P60">
        <f t="shared" si="12"/>
        <v>2.6609071274298057</v>
      </c>
      <c r="Q60">
        <f t="shared" si="13"/>
        <v>46.2</v>
      </c>
      <c r="R60">
        <f t="shared" si="14"/>
        <v>484</v>
      </c>
      <c r="S60">
        <f t="shared" si="15"/>
        <v>319.44</v>
      </c>
      <c r="T60">
        <f t="shared" si="16"/>
        <v>43.56</v>
      </c>
      <c r="U60">
        <f>I60*E60/'[1]Inverter Analysis'!$L$2</f>
        <v>292.2723633180355</v>
      </c>
      <c r="V60">
        <f t="shared" si="17"/>
        <v>220.38567493112947</v>
      </c>
      <c r="W60">
        <f t="shared" si="18"/>
        <v>250.43826696719259</v>
      </c>
      <c r="X60">
        <f t="shared" si="19"/>
        <v>157.41833923652104</v>
      </c>
      <c r="Y60">
        <f t="shared" si="20"/>
        <v>0.37631595336918494</v>
      </c>
      <c r="Z60">
        <f t="shared" si="21"/>
        <v>4.4372288367000001</v>
      </c>
    </row>
    <row r="61" spans="1:26" hidden="1">
      <c r="A61">
        <v>10</v>
      </c>
      <c r="B61">
        <v>4</v>
      </c>
      <c r="C61" s="1">
        <v>11</v>
      </c>
      <c r="D61">
        <f t="shared" si="0"/>
        <v>560</v>
      </c>
      <c r="E61">
        <f t="shared" si="1"/>
        <v>240</v>
      </c>
      <c r="F61">
        <f t="shared" si="2"/>
        <v>30.36</v>
      </c>
      <c r="G61">
        <f t="shared" si="3"/>
        <v>0.16499999999999998</v>
      </c>
      <c r="H61">
        <f t="shared" si="4"/>
        <v>110.88</v>
      </c>
      <c r="I61">
        <f t="shared" si="5"/>
        <v>462</v>
      </c>
      <c r="J61">
        <f t="shared" si="6"/>
        <v>330</v>
      </c>
      <c r="K61">
        <f t="shared" si="7"/>
        <v>79.2</v>
      </c>
      <c r="L61">
        <f t="shared" si="8"/>
        <v>7.2996000000000008</v>
      </c>
      <c r="M61">
        <f t="shared" si="9"/>
        <v>7.0223999999999993</v>
      </c>
      <c r="N61">
        <f t="shared" si="10"/>
        <v>5.0819999999999999</v>
      </c>
      <c r="O61">
        <f t="shared" si="11"/>
        <v>5.1526588235294124</v>
      </c>
      <c r="P61">
        <f t="shared" si="12"/>
        <v>2.4190064794816415</v>
      </c>
      <c r="Q61">
        <f t="shared" si="13"/>
        <v>42</v>
      </c>
      <c r="R61">
        <f t="shared" si="14"/>
        <v>440</v>
      </c>
      <c r="S61">
        <f t="shared" si="15"/>
        <v>290.39999999999998</v>
      </c>
      <c r="T61">
        <f t="shared" si="16"/>
        <v>39.599999999999994</v>
      </c>
      <c r="U61">
        <f>I61*E61/'[1]Inverter Analysis'!$L$2</f>
        <v>265.70214847094138</v>
      </c>
      <c r="V61">
        <f t="shared" si="17"/>
        <v>242.42424242424244</v>
      </c>
      <c r="W61">
        <f t="shared" si="18"/>
        <v>275.48209366391188</v>
      </c>
      <c r="X61">
        <f t="shared" si="19"/>
        <v>173.16017316017317</v>
      </c>
      <c r="Y61">
        <f t="shared" si="20"/>
        <v>0.45534230357671396</v>
      </c>
      <c r="Z61">
        <f t="shared" si="21"/>
        <v>3.3337556999999989</v>
      </c>
    </row>
    <row r="62" spans="1:26" hidden="1">
      <c r="A62">
        <v>16</v>
      </c>
      <c r="B62">
        <v>3</v>
      </c>
      <c r="C62" s="1">
        <v>11</v>
      </c>
      <c r="D62">
        <f t="shared" si="0"/>
        <v>420</v>
      </c>
      <c r="E62">
        <f t="shared" si="1"/>
        <v>180</v>
      </c>
      <c r="F62">
        <f t="shared" si="2"/>
        <v>36.432000000000002</v>
      </c>
      <c r="G62">
        <f t="shared" si="3"/>
        <v>0.35199999999999998</v>
      </c>
      <c r="H62">
        <f t="shared" si="4"/>
        <v>133.05600000000001</v>
      </c>
      <c r="I62">
        <f t="shared" si="5"/>
        <v>739.2</v>
      </c>
      <c r="J62">
        <f t="shared" si="6"/>
        <v>528</v>
      </c>
      <c r="K62">
        <f t="shared" si="7"/>
        <v>95.04</v>
      </c>
      <c r="L62">
        <f t="shared" si="8"/>
        <v>8.7595200000000002</v>
      </c>
      <c r="M62">
        <f t="shared" si="9"/>
        <v>8.4268800000000006</v>
      </c>
      <c r="N62">
        <f t="shared" si="10"/>
        <v>6.0984000000000007</v>
      </c>
      <c r="O62">
        <f t="shared" si="11"/>
        <v>6.1831905882352949</v>
      </c>
      <c r="P62">
        <f t="shared" si="12"/>
        <v>2.90280777537797</v>
      </c>
      <c r="Q62">
        <f t="shared" si="13"/>
        <v>67.2</v>
      </c>
      <c r="R62">
        <f t="shared" si="14"/>
        <v>528</v>
      </c>
      <c r="S62">
        <f t="shared" si="15"/>
        <v>464.64</v>
      </c>
      <c r="T62">
        <f t="shared" si="16"/>
        <v>63.36</v>
      </c>
      <c r="U62">
        <f>I62*E62/'[1]Inverter Analysis'!$L$2</f>
        <v>318.84257816512962</v>
      </c>
      <c r="V62">
        <f t="shared" si="17"/>
        <v>151.5151515151515</v>
      </c>
      <c r="W62">
        <f t="shared" si="18"/>
        <v>172.1763085399449</v>
      </c>
      <c r="X62">
        <f t="shared" si="19"/>
        <v>108.22510822510822</v>
      </c>
      <c r="Y62">
        <f t="shared" si="20"/>
        <v>0.17786808733465381</v>
      </c>
      <c r="Z62">
        <f t="shared" si="21"/>
        <v>10.241297510400003</v>
      </c>
    </row>
    <row r="63" spans="1:26" hidden="1">
      <c r="A63">
        <v>15</v>
      </c>
      <c r="B63">
        <v>3</v>
      </c>
      <c r="C63" s="1">
        <v>11</v>
      </c>
      <c r="D63">
        <f t="shared" si="0"/>
        <v>420</v>
      </c>
      <c r="E63">
        <f t="shared" si="1"/>
        <v>180</v>
      </c>
      <c r="F63">
        <f t="shared" si="2"/>
        <v>34.155000000000001</v>
      </c>
      <c r="G63">
        <f t="shared" si="3"/>
        <v>0.32999999999999996</v>
      </c>
      <c r="H63">
        <f t="shared" si="4"/>
        <v>124.74</v>
      </c>
      <c r="I63">
        <f t="shared" si="5"/>
        <v>693</v>
      </c>
      <c r="J63">
        <f t="shared" si="6"/>
        <v>495</v>
      </c>
      <c r="K63">
        <f t="shared" si="7"/>
        <v>89.1</v>
      </c>
      <c r="L63">
        <f t="shared" si="8"/>
        <v>8.2120499999999996</v>
      </c>
      <c r="M63">
        <f t="shared" si="9"/>
        <v>7.9002000000000008</v>
      </c>
      <c r="N63">
        <f t="shared" si="10"/>
        <v>5.7172499999999999</v>
      </c>
      <c r="O63">
        <f t="shared" si="11"/>
        <v>5.7967411764705883</v>
      </c>
      <c r="P63">
        <f t="shared" si="12"/>
        <v>2.7213822894168462</v>
      </c>
      <c r="Q63">
        <f t="shared" si="13"/>
        <v>63</v>
      </c>
      <c r="R63">
        <f t="shared" si="14"/>
        <v>495</v>
      </c>
      <c r="S63">
        <f t="shared" si="15"/>
        <v>435.6</v>
      </c>
      <c r="T63">
        <f t="shared" si="16"/>
        <v>59.399999999999991</v>
      </c>
      <c r="U63">
        <f>I63*E63/'[1]Inverter Analysis'!$L$2</f>
        <v>298.91491702980903</v>
      </c>
      <c r="V63">
        <f t="shared" si="17"/>
        <v>161.61616161616161</v>
      </c>
      <c r="W63">
        <f t="shared" si="18"/>
        <v>183.65472910927454</v>
      </c>
      <c r="X63">
        <f t="shared" si="19"/>
        <v>115.44011544011543</v>
      </c>
      <c r="Y63">
        <f t="shared" si="20"/>
        <v>0.2023743571452061</v>
      </c>
      <c r="Z63">
        <f t="shared" si="21"/>
        <v>8.4385691156250022</v>
      </c>
    </row>
    <row r="64" spans="1:26">
      <c r="A64">
        <v>14</v>
      </c>
      <c r="B64">
        <v>3</v>
      </c>
      <c r="C64" s="1">
        <v>11</v>
      </c>
      <c r="D64">
        <f t="shared" si="0"/>
        <v>420</v>
      </c>
      <c r="E64">
        <f t="shared" si="1"/>
        <v>180</v>
      </c>
      <c r="F64">
        <f t="shared" si="2"/>
        <v>31.878</v>
      </c>
      <c r="G64">
        <f t="shared" si="3"/>
        <v>0.308</v>
      </c>
      <c r="H64">
        <f t="shared" si="4"/>
        <v>116.42400000000002</v>
      </c>
      <c r="I64">
        <f t="shared" si="5"/>
        <v>646.80000000000007</v>
      </c>
      <c r="J64">
        <f t="shared" si="6"/>
        <v>462</v>
      </c>
      <c r="K64">
        <f t="shared" si="7"/>
        <v>83.16</v>
      </c>
      <c r="L64">
        <f t="shared" si="8"/>
        <v>7.6645800000000017</v>
      </c>
      <c r="M64">
        <f t="shared" si="9"/>
        <v>7.3735200000000001</v>
      </c>
      <c r="N64">
        <f t="shared" si="10"/>
        <v>5.3361000000000001</v>
      </c>
      <c r="O64">
        <f t="shared" si="11"/>
        <v>5.4102917647058844</v>
      </c>
      <c r="P64">
        <f t="shared" si="12"/>
        <v>2.5399568034557238</v>
      </c>
      <c r="Q64">
        <f t="shared" si="13"/>
        <v>58.800000000000004</v>
      </c>
      <c r="R64">
        <f t="shared" si="14"/>
        <v>462</v>
      </c>
      <c r="S64">
        <f t="shared" si="15"/>
        <v>406.56</v>
      </c>
      <c r="T64">
        <f t="shared" si="16"/>
        <v>55.44</v>
      </c>
      <c r="U64">
        <f>I64*E64/'[1]Inverter Analysis'!$L$2</f>
        <v>278.98725589448844</v>
      </c>
      <c r="V64">
        <f t="shared" si="17"/>
        <v>173.16017316017317</v>
      </c>
      <c r="W64">
        <f t="shared" si="18"/>
        <v>196.77292404565131</v>
      </c>
      <c r="X64">
        <f t="shared" si="19"/>
        <v>123.68583797155225</v>
      </c>
      <c r="Y64">
        <f t="shared" si="20"/>
        <v>0.23231750182485397</v>
      </c>
      <c r="Z64">
        <f t="shared" si="21"/>
        <v>6.8608692305999996</v>
      </c>
    </row>
    <row r="65" spans="1:26" hidden="1">
      <c r="A65">
        <v>13</v>
      </c>
      <c r="B65">
        <v>3</v>
      </c>
      <c r="C65" s="1">
        <v>11</v>
      </c>
      <c r="D65">
        <f t="shared" si="0"/>
        <v>420</v>
      </c>
      <c r="E65">
        <f t="shared" si="1"/>
        <v>180</v>
      </c>
      <c r="F65">
        <f t="shared" si="2"/>
        <v>29.600999999999999</v>
      </c>
      <c r="G65">
        <f t="shared" si="3"/>
        <v>0.28600000000000003</v>
      </c>
      <c r="H65">
        <f t="shared" si="4"/>
        <v>108.108</v>
      </c>
      <c r="I65">
        <f t="shared" si="5"/>
        <v>600.6</v>
      </c>
      <c r="J65">
        <f t="shared" si="6"/>
        <v>429</v>
      </c>
      <c r="K65">
        <f t="shared" si="7"/>
        <v>77.22</v>
      </c>
      <c r="L65">
        <f t="shared" si="8"/>
        <v>7.1171100000000003</v>
      </c>
      <c r="M65">
        <f t="shared" si="9"/>
        <v>6.8468400000000003</v>
      </c>
      <c r="N65">
        <f t="shared" si="10"/>
        <v>4.9549500000000011</v>
      </c>
      <c r="O65">
        <f t="shared" si="11"/>
        <v>5.0238423529411769</v>
      </c>
      <c r="P65">
        <f t="shared" si="12"/>
        <v>2.3585313174946005</v>
      </c>
      <c r="Q65">
        <f t="shared" si="13"/>
        <v>54.6</v>
      </c>
      <c r="R65">
        <f t="shared" si="14"/>
        <v>429</v>
      </c>
      <c r="S65">
        <f t="shared" si="15"/>
        <v>377.52</v>
      </c>
      <c r="T65">
        <f t="shared" si="16"/>
        <v>51.480000000000004</v>
      </c>
      <c r="U65">
        <f>I65*E65/'[1]Inverter Analysis'!$L$2</f>
        <v>259.05959475916785</v>
      </c>
      <c r="V65">
        <f t="shared" si="17"/>
        <v>186.48018648018649</v>
      </c>
      <c r="W65">
        <f t="shared" si="18"/>
        <v>211.90930281839374</v>
      </c>
      <c r="X65">
        <f t="shared" si="19"/>
        <v>133.20013320013319</v>
      </c>
      <c r="Y65">
        <f t="shared" si="20"/>
        <v>0.26943331572586621</v>
      </c>
      <c r="Z65">
        <f t="shared" si="21"/>
        <v>5.4931959546749995</v>
      </c>
    </row>
    <row r="66" spans="1:26" hidden="1">
      <c r="A66">
        <v>12</v>
      </c>
      <c r="B66">
        <v>3</v>
      </c>
      <c r="C66" s="1">
        <v>11</v>
      </c>
      <c r="D66">
        <f t="shared" si="0"/>
        <v>420</v>
      </c>
      <c r="E66">
        <f t="shared" si="1"/>
        <v>180</v>
      </c>
      <c r="F66">
        <f t="shared" si="2"/>
        <v>27.324000000000002</v>
      </c>
      <c r="G66">
        <f t="shared" si="3"/>
        <v>0.26400000000000001</v>
      </c>
      <c r="H66">
        <f t="shared" si="4"/>
        <v>99.792000000000002</v>
      </c>
      <c r="I66">
        <f t="shared" si="5"/>
        <v>554.4</v>
      </c>
      <c r="J66">
        <f t="shared" si="6"/>
        <v>396</v>
      </c>
      <c r="K66">
        <f t="shared" si="7"/>
        <v>71.28</v>
      </c>
      <c r="L66">
        <f t="shared" si="8"/>
        <v>6.5696400000000006</v>
      </c>
      <c r="M66">
        <f t="shared" si="9"/>
        <v>6.3201599999999996</v>
      </c>
      <c r="N66">
        <f t="shared" si="10"/>
        <v>4.5737999999999994</v>
      </c>
      <c r="O66">
        <f t="shared" si="11"/>
        <v>4.6373929411764712</v>
      </c>
      <c r="P66">
        <f t="shared" si="12"/>
        <v>2.1771058315334773</v>
      </c>
      <c r="Q66">
        <f t="shared" si="13"/>
        <v>50.4</v>
      </c>
      <c r="R66">
        <f t="shared" si="14"/>
        <v>396</v>
      </c>
      <c r="S66">
        <f t="shared" si="15"/>
        <v>348.48</v>
      </c>
      <c r="T66">
        <f t="shared" si="16"/>
        <v>47.52</v>
      </c>
      <c r="U66">
        <f>I66*E66/'[1]Inverter Analysis'!$L$2</f>
        <v>239.13193362384723</v>
      </c>
      <c r="V66">
        <f t="shared" si="17"/>
        <v>202.02020202020202</v>
      </c>
      <c r="W66">
        <f t="shared" si="18"/>
        <v>229.5684113865932</v>
      </c>
      <c r="X66">
        <f t="shared" si="19"/>
        <v>144.3001443001443</v>
      </c>
      <c r="Y66">
        <f t="shared" si="20"/>
        <v>0.31620993303938455</v>
      </c>
      <c r="Z66">
        <f t="shared" si="21"/>
        <v>4.3205473872000004</v>
      </c>
    </row>
    <row r="67" spans="1:26" hidden="1">
      <c r="A67">
        <v>11</v>
      </c>
      <c r="B67">
        <v>3</v>
      </c>
      <c r="C67" s="1">
        <v>11</v>
      </c>
      <c r="D67">
        <f t="shared" si="0"/>
        <v>420</v>
      </c>
      <c r="E67">
        <f t="shared" si="1"/>
        <v>180</v>
      </c>
      <c r="F67">
        <f t="shared" si="2"/>
        <v>25.047000000000001</v>
      </c>
      <c r="G67">
        <f t="shared" si="3"/>
        <v>0.24199999999999999</v>
      </c>
      <c r="H67">
        <f t="shared" si="4"/>
        <v>91.476000000000013</v>
      </c>
      <c r="I67">
        <f t="shared" si="5"/>
        <v>508.20000000000005</v>
      </c>
      <c r="J67">
        <f t="shared" si="6"/>
        <v>363</v>
      </c>
      <c r="K67">
        <f t="shared" si="7"/>
        <v>65.34</v>
      </c>
      <c r="L67">
        <f t="shared" si="8"/>
        <v>6.0221700000000009</v>
      </c>
      <c r="M67">
        <f t="shared" si="9"/>
        <v>5.7934800000000006</v>
      </c>
      <c r="N67">
        <f t="shared" si="10"/>
        <v>4.1926500000000004</v>
      </c>
      <c r="O67">
        <f t="shared" si="11"/>
        <v>4.2509435294117655</v>
      </c>
      <c r="P67">
        <f t="shared" si="12"/>
        <v>1.9956803455723544</v>
      </c>
      <c r="Q67">
        <f t="shared" si="13"/>
        <v>46.2</v>
      </c>
      <c r="R67">
        <f t="shared" si="14"/>
        <v>363</v>
      </c>
      <c r="S67">
        <f t="shared" si="15"/>
        <v>319.44</v>
      </c>
      <c r="T67">
        <f t="shared" si="16"/>
        <v>43.56</v>
      </c>
      <c r="U67">
        <f>I67*E67/'[1]Inverter Analysis'!$L$2</f>
        <v>219.20427248852667</v>
      </c>
      <c r="V67">
        <f t="shared" si="17"/>
        <v>220.38567493112947</v>
      </c>
      <c r="W67">
        <f t="shared" si="18"/>
        <v>250.43826696719259</v>
      </c>
      <c r="X67">
        <f t="shared" si="19"/>
        <v>157.41833923652104</v>
      </c>
      <c r="Y67">
        <f t="shared" si="20"/>
        <v>0.37631595336918494</v>
      </c>
      <c r="Z67">
        <f t="shared" si="21"/>
        <v>3.3279216275249999</v>
      </c>
    </row>
    <row r="68" spans="1:26" hidden="1">
      <c r="A68">
        <v>10</v>
      </c>
      <c r="B68">
        <v>3</v>
      </c>
      <c r="C68" s="1">
        <v>11</v>
      </c>
      <c r="D68">
        <f t="shared" si="0"/>
        <v>420</v>
      </c>
      <c r="E68">
        <f t="shared" si="1"/>
        <v>180</v>
      </c>
      <c r="F68">
        <f t="shared" si="2"/>
        <v>22.77</v>
      </c>
      <c r="G68">
        <f t="shared" si="3"/>
        <v>0.22</v>
      </c>
      <c r="H68">
        <f t="shared" si="4"/>
        <v>83.16</v>
      </c>
      <c r="I68">
        <f t="shared" si="5"/>
        <v>462</v>
      </c>
      <c r="J68">
        <f t="shared" si="6"/>
        <v>330</v>
      </c>
      <c r="K68">
        <f t="shared" si="7"/>
        <v>59.4</v>
      </c>
      <c r="L68">
        <f t="shared" si="8"/>
        <v>5.4747000000000003</v>
      </c>
      <c r="M68">
        <f t="shared" si="9"/>
        <v>5.266799999999999</v>
      </c>
      <c r="N68">
        <f t="shared" si="10"/>
        <v>3.8115000000000001</v>
      </c>
      <c r="O68">
        <f t="shared" si="11"/>
        <v>3.8644941176470593</v>
      </c>
      <c r="P68">
        <f t="shared" si="12"/>
        <v>1.8142548596112311</v>
      </c>
      <c r="Q68">
        <f t="shared" si="13"/>
        <v>42</v>
      </c>
      <c r="R68">
        <f t="shared" si="14"/>
        <v>330</v>
      </c>
      <c r="S68">
        <f t="shared" si="15"/>
        <v>290.39999999999998</v>
      </c>
      <c r="T68">
        <f t="shared" si="16"/>
        <v>39.6</v>
      </c>
      <c r="U68">
        <f>I68*E68/'[1]Inverter Analysis'!$L$2</f>
        <v>199.27661135320602</v>
      </c>
      <c r="V68">
        <f t="shared" si="17"/>
        <v>242.42424242424244</v>
      </c>
      <c r="W68">
        <f t="shared" si="18"/>
        <v>275.48209366391188</v>
      </c>
      <c r="X68">
        <f t="shared" si="19"/>
        <v>173.16017316017317</v>
      </c>
      <c r="Y68">
        <f t="shared" si="20"/>
        <v>0.45534230357671396</v>
      </c>
      <c r="Z68">
        <f t="shared" si="21"/>
        <v>2.500316774999999</v>
      </c>
    </row>
    <row r="69" spans="1:26" hidden="1">
      <c r="A69">
        <v>16</v>
      </c>
      <c r="B69">
        <v>2</v>
      </c>
      <c r="C69" s="1">
        <v>11</v>
      </c>
      <c r="D69">
        <f t="shared" si="0"/>
        <v>280</v>
      </c>
      <c r="E69">
        <f t="shared" si="1"/>
        <v>120</v>
      </c>
      <c r="F69">
        <f t="shared" si="2"/>
        <v>24.288</v>
      </c>
      <c r="G69">
        <f t="shared" si="3"/>
        <v>0.52800000000000002</v>
      </c>
      <c r="H69">
        <f t="shared" si="4"/>
        <v>88.703999999999994</v>
      </c>
      <c r="I69">
        <f t="shared" si="5"/>
        <v>739.2</v>
      </c>
      <c r="J69">
        <f t="shared" si="6"/>
        <v>528</v>
      </c>
      <c r="K69">
        <f t="shared" si="7"/>
        <v>63.36</v>
      </c>
      <c r="L69">
        <f t="shared" si="8"/>
        <v>5.8396800000000004</v>
      </c>
      <c r="M69">
        <f t="shared" si="9"/>
        <v>5.6179199999999998</v>
      </c>
      <c r="N69">
        <f t="shared" si="10"/>
        <v>4.0656000000000008</v>
      </c>
      <c r="O69">
        <f t="shared" si="11"/>
        <v>4.1221270588235299</v>
      </c>
      <c r="P69">
        <f t="shared" si="12"/>
        <v>1.9352051835853132</v>
      </c>
      <c r="Q69">
        <f t="shared" si="13"/>
        <v>67.2</v>
      </c>
      <c r="R69">
        <f t="shared" si="14"/>
        <v>352</v>
      </c>
      <c r="S69">
        <f t="shared" si="15"/>
        <v>464.64</v>
      </c>
      <c r="T69">
        <f t="shared" si="16"/>
        <v>63.36</v>
      </c>
      <c r="U69">
        <f>I69*E69/'[1]Inverter Analysis'!$L$2</f>
        <v>212.56171877675308</v>
      </c>
      <c r="V69">
        <f t="shared" si="17"/>
        <v>151.5151515151515</v>
      </c>
      <c r="W69">
        <f t="shared" si="18"/>
        <v>172.1763085399449</v>
      </c>
      <c r="X69">
        <f t="shared" si="19"/>
        <v>108.22510822510822</v>
      </c>
      <c r="Y69">
        <f t="shared" si="20"/>
        <v>0.17786808733465381</v>
      </c>
      <c r="Z69">
        <f t="shared" si="21"/>
        <v>6.8275316736000002</v>
      </c>
    </row>
    <row r="70" spans="1:26" hidden="1">
      <c r="A70">
        <v>15</v>
      </c>
      <c r="B70">
        <v>2</v>
      </c>
      <c r="C70" s="1">
        <v>11</v>
      </c>
      <c r="D70">
        <f t="shared" si="0"/>
        <v>280</v>
      </c>
      <c r="E70">
        <f t="shared" si="1"/>
        <v>120</v>
      </c>
      <c r="F70">
        <f t="shared" si="2"/>
        <v>22.77</v>
      </c>
      <c r="G70">
        <f t="shared" si="3"/>
        <v>0.495</v>
      </c>
      <c r="H70">
        <f t="shared" si="4"/>
        <v>83.16</v>
      </c>
      <c r="I70">
        <f t="shared" si="5"/>
        <v>693</v>
      </c>
      <c r="J70">
        <f t="shared" si="6"/>
        <v>495</v>
      </c>
      <c r="K70">
        <f t="shared" si="7"/>
        <v>59.4</v>
      </c>
      <c r="L70">
        <f t="shared" si="8"/>
        <v>5.4746999999999995</v>
      </c>
      <c r="M70">
        <f t="shared" si="9"/>
        <v>5.2667999999999999</v>
      </c>
      <c r="N70">
        <f t="shared" si="10"/>
        <v>3.8115000000000001</v>
      </c>
      <c r="O70">
        <f t="shared" si="11"/>
        <v>3.8644941176470589</v>
      </c>
      <c r="P70">
        <f t="shared" si="12"/>
        <v>1.8142548596112311</v>
      </c>
      <c r="Q70">
        <f t="shared" si="13"/>
        <v>63</v>
      </c>
      <c r="R70">
        <f t="shared" si="14"/>
        <v>330</v>
      </c>
      <c r="S70">
        <f t="shared" si="15"/>
        <v>435.6</v>
      </c>
      <c r="T70">
        <f t="shared" si="16"/>
        <v>59.4</v>
      </c>
      <c r="U70">
        <f>I70*E70/'[1]Inverter Analysis'!$L$2</f>
        <v>199.27661135320602</v>
      </c>
      <c r="V70">
        <f t="shared" si="17"/>
        <v>161.61616161616161</v>
      </c>
      <c r="W70">
        <f t="shared" si="18"/>
        <v>183.65472910927454</v>
      </c>
      <c r="X70">
        <f t="shared" si="19"/>
        <v>115.44011544011543</v>
      </c>
      <c r="Y70">
        <f t="shared" si="20"/>
        <v>0.2023743571452061</v>
      </c>
      <c r="Z70">
        <f t="shared" si="21"/>
        <v>5.6257127437500012</v>
      </c>
    </row>
    <row r="71" spans="1:26" hidden="1">
      <c r="A71">
        <v>14</v>
      </c>
      <c r="B71">
        <v>2</v>
      </c>
      <c r="C71" s="1">
        <v>11</v>
      </c>
      <c r="D71">
        <f t="shared" ref="D71:D134" si="22">B71*$J$3</f>
        <v>280</v>
      </c>
      <c r="E71">
        <f t="shared" ref="E71:E134" si="23">B71*$I$3</f>
        <v>120</v>
      </c>
      <c r="F71">
        <f t="shared" ref="F71:F134" si="24">A71*B71*C71*$Q$3/1000</f>
        <v>21.251999999999999</v>
      </c>
      <c r="G71">
        <f t="shared" ref="G71:G134" si="25">((B71*$R$3^(-1))^(-1))*A71*C71</f>
        <v>0.46200000000000002</v>
      </c>
      <c r="H71">
        <f t="shared" ref="H71:H134" si="26">E71*I71/1000</f>
        <v>77.616000000000014</v>
      </c>
      <c r="I71">
        <f t="shared" ref="I71:I134" si="27">A71*C71*4.2</f>
        <v>646.80000000000007</v>
      </c>
      <c r="J71">
        <f t="shared" ref="J71:J134" si="28">C71*A71*$K$3</f>
        <v>462</v>
      </c>
      <c r="K71">
        <f t="shared" ref="K71:K134" si="29">E71*J71/1000</f>
        <v>55.44</v>
      </c>
      <c r="L71">
        <f t="shared" ref="L71:L134" si="30">$N$3/1000*I71*B71/1000</f>
        <v>5.1097200000000011</v>
      </c>
      <c r="M71">
        <f t="shared" ref="M71:M134" si="31">$O$3/1000*I71*B71/1000</f>
        <v>4.91568</v>
      </c>
      <c r="N71">
        <f t="shared" ref="N71:N134" si="32">$P$3/1000*I71*B71/1000</f>
        <v>3.5574000000000003</v>
      </c>
      <c r="O71">
        <f t="shared" ref="O71:O134" si="33">L71*(($L$3-$K$3)/($L$3-$M$3))</f>
        <v>3.6068611764705891</v>
      </c>
      <c r="P71">
        <f t="shared" ref="P71:P134" si="34">$H$3/1000*B71*I71/277.8/C71</f>
        <v>1.6933045356371492</v>
      </c>
      <c r="Q71">
        <f t="shared" ref="Q71:Q134" si="35">I71/C71</f>
        <v>58.800000000000004</v>
      </c>
      <c r="R71">
        <f t="shared" ref="R71:R134" si="36">(A71*B71*C71)</f>
        <v>308</v>
      </c>
      <c r="S71">
        <f t="shared" ref="S71:S134" si="37">J71-(G71*E71)</f>
        <v>406.56</v>
      </c>
      <c r="T71">
        <f t="shared" ref="T71:T134" si="38">G71*E71</f>
        <v>55.440000000000005</v>
      </c>
      <c r="U71">
        <f>I71*E71/'[1]Inverter Analysis'!$L$2</f>
        <v>185.99150392965899</v>
      </c>
      <c r="V71">
        <f t="shared" ref="V71:V134" si="39">80000/J71</f>
        <v>173.16017316017317</v>
      </c>
      <c r="W71">
        <f t="shared" ref="W71:W134" si="40">80000/S71</f>
        <v>196.77292404565131</v>
      </c>
      <c r="X71">
        <f t="shared" ref="X71:X134" si="41">80000/I71</f>
        <v>123.68583797155225</v>
      </c>
      <c r="Y71">
        <f t="shared" ref="Y71:Y134" si="42">(MAX(V71:X71)^2)*$R$3/1000</f>
        <v>0.23231750182485397</v>
      </c>
      <c r="Z71">
        <f t="shared" ref="Z71:Z134" si="43">($S$3*F71/(Y71*1000))*10</f>
        <v>4.5739128204000004</v>
      </c>
    </row>
    <row r="72" spans="1:26" hidden="1">
      <c r="A72">
        <v>13</v>
      </c>
      <c r="B72">
        <v>2</v>
      </c>
      <c r="C72" s="1">
        <v>11</v>
      </c>
      <c r="D72">
        <f t="shared" si="22"/>
        <v>280</v>
      </c>
      <c r="E72">
        <f t="shared" si="23"/>
        <v>120</v>
      </c>
      <c r="F72">
        <f t="shared" si="24"/>
        <v>19.734000000000002</v>
      </c>
      <c r="G72">
        <f t="shared" si="25"/>
        <v>0.42899999999999999</v>
      </c>
      <c r="H72">
        <f t="shared" si="26"/>
        <v>72.072000000000003</v>
      </c>
      <c r="I72">
        <f t="shared" si="27"/>
        <v>600.6</v>
      </c>
      <c r="J72">
        <f t="shared" si="28"/>
        <v>429</v>
      </c>
      <c r="K72">
        <f t="shared" si="29"/>
        <v>51.48</v>
      </c>
      <c r="L72">
        <f t="shared" si="30"/>
        <v>4.7447400000000011</v>
      </c>
      <c r="M72">
        <f t="shared" si="31"/>
        <v>4.5645600000000002</v>
      </c>
      <c r="N72">
        <f t="shared" si="32"/>
        <v>3.3033000000000001</v>
      </c>
      <c r="O72">
        <f t="shared" si="33"/>
        <v>3.3492282352941185</v>
      </c>
      <c r="P72">
        <f t="shared" si="34"/>
        <v>1.5723542116630669</v>
      </c>
      <c r="Q72">
        <f t="shared" si="35"/>
        <v>54.6</v>
      </c>
      <c r="R72">
        <f t="shared" si="36"/>
        <v>286</v>
      </c>
      <c r="S72">
        <f t="shared" si="37"/>
        <v>377.52</v>
      </c>
      <c r="T72">
        <f t="shared" si="38"/>
        <v>51.48</v>
      </c>
      <c r="U72">
        <f>I72*E72/'[1]Inverter Analysis'!$L$2</f>
        <v>172.70639650611187</v>
      </c>
      <c r="V72">
        <f t="shared" si="39"/>
        <v>186.48018648018649</v>
      </c>
      <c r="W72">
        <f t="shared" si="40"/>
        <v>211.90930281839374</v>
      </c>
      <c r="X72">
        <f t="shared" si="41"/>
        <v>133.20013320013319</v>
      </c>
      <c r="Y72">
        <f t="shared" si="42"/>
        <v>0.26943331572586621</v>
      </c>
      <c r="Z72">
        <f t="shared" si="43"/>
        <v>3.6621306364500001</v>
      </c>
    </row>
    <row r="73" spans="1:26" hidden="1">
      <c r="A73">
        <v>12</v>
      </c>
      <c r="B73">
        <v>2</v>
      </c>
      <c r="C73" s="1">
        <v>11</v>
      </c>
      <c r="D73">
        <f t="shared" si="22"/>
        <v>280</v>
      </c>
      <c r="E73">
        <f t="shared" si="23"/>
        <v>120</v>
      </c>
      <c r="F73">
        <f t="shared" si="24"/>
        <v>18.216000000000001</v>
      </c>
      <c r="G73">
        <f t="shared" si="25"/>
        <v>0.39600000000000002</v>
      </c>
      <c r="H73">
        <f t="shared" si="26"/>
        <v>66.528000000000006</v>
      </c>
      <c r="I73">
        <f t="shared" si="27"/>
        <v>554.4</v>
      </c>
      <c r="J73">
        <f t="shared" si="28"/>
        <v>396</v>
      </c>
      <c r="K73">
        <f t="shared" si="29"/>
        <v>47.52</v>
      </c>
      <c r="L73">
        <f t="shared" si="30"/>
        <v>4.3797600000000001</v>
      </c>
      <c r="M73">
        <f t="shared" si="31"/>
        <v>4.2134399999999994</v>
      </c>
      <c r="N73">
        <f t="shared" si="32"/>
        <v>3.0491999999999999</v>
      </c>
      <c r="O73">
        <f t="shared" si="33"/>
        <v>3.0915952941176474</v>
      </c>
      <c r="P73">
        <f t="shared" si="34"/>
        <v>1.4514038876889848</v>
      </c>
      <c r="Q73">
        <f t="shared" si="35"/>
        <v>50.4</v>
      </c>
      <c r="R73">
        <f t="shared" si="36"/>
        <v>264</v>
      </c>
      <c r="S73">
        <f t="shared" si="37"/>
        <v>348.48</v>
      </c>
      <c r="T73">
        <f t="shared" si="38"/>
        <v>47.52</v>
      </c>
      <c r="U73">
        <f>I73*E73/'[1]Inverter Analysis'!$L$2</f>
        <v>159.42128908256481</v>
      </c>
      <c r="V73">
        <f t="shared" si="39"/>
        <v>202.02020202020202</v>
      </c>
      <c r="W73">
        <f t="shared" si="40"/>
        <v>229.5684113865932</v>
      </c>
      <c r="X73">
        <f t="shared" si="41"/>
        <v>144.3001443001443</v>
      </c>
      <c r="Y73">
        <f t="shared" si="42"/>
        <v>0.31620993303938455</v>
      </c>
      <c r="Z73">
        <f t="shared" si="43"/>
        <v>2.8803649248000007</v>
      </c>
    </row>
    <row r="74" spans="1:26" hidden="1">
      <c r="A74">
        <v>11</v>
      </c>
      <c r="B74">
        <v>2</v>
      </c>
      <c r="C74" s="1">
        <v>11</v>
      </c>
      <c r="D74">
        <f t="shared" si="22"/>
        <v>280</v>
      </c>
      <c r="E74">
        <f t="shared" si="23"/>
        <v>120</v>
      </c>
      <c r="F74">
        <f t="shared" si="24"/>
        <v>16.698</v>
      </c>
      <c r="G74">
        <f t="shared" si="25"/>
        <v>0.36299999999999999</v>
      </c>
      <c r="H74">
        <f t="shared" si="26"/>
        <v>60.984000000000009</v>
      </c>
      <c r="I74">
        <f t="shared" si="27"/>
        <v>508.20000000000005</v>
      </c>
      <c r="J74">
        <f t="shared" si="28"/>
        <v>363</v>
      </c>
      <c r="K74">
        <f t="shared" si="29"/>
        <v>43.56</v>
      </c>
      <c r="L74">
        <f t="shared" si="30"/>
        <v>4.0147800000000009</v>
      </c>
      <c r="M74">
        <f t="shared" si="31"/>
        <v>3.86232</v>
      </c>
      <c r="N74">
        <f t="shared" si="32"/>
        <v>2.7951000000000006</v>
      </c>
      <c r="O74">
        <f t="shared" si="33"/>
        <v>2.8339623529411773</v>
      </c>
      <c r="P74">
        <f t="shared" si="34"/>
        <v>1.3304535637149029</v>
      </c>
      <c r="Q74">
        <f t="shared" si="35"/>
        <v>46.2</v>
      </c>
      <c r="R74">
        <f t="shared" si="36"/>
        <v>242</v>
      </c>
      <c r="S74">
        <f t="shared" si="37"/>
        <v>319.44</v>
      </c>
      <c r="T74">
        <f t="shared" si="38"/>
        <v>43.56</v>
      </c>
      <c r="U74">
        <f>I74*E74/'[1]Inverter Analysis'!$L$2</f>
        <v>146.13618165901775</v>
      </c>
      <c r="V74">
        <f t="shared" si="39"/>
        <v>220.38567493112947</v>
      </c>
      <c r="W74">
        <f t="shared" si="40"/>
        <v>250.43826696719259</v>
      </c>
      <c r="X74">
        <f t="shared" si="41"/>
        <v>157.41833923652104</v>
      </c>
      <c r="Y74">
        <f t="shared" si="42"/>
        <v>0.37631595336918494</v>
      </c>
      <c r="Z74">
        <f t="shared" si="43"/>
        <v>2.2186144183500001</v>
      </c>
    </row>
    <row r="75" spans="1:26" hidden="1">
      <c r="A75">
        <v>10</v>
      </c>
      <c r="B75">
        <v>2</v>
      </c>
      <c r="C75" s="1">
        <v>11</v>
      </c>
      <c r="D75">
        <f t="shared" si="22"/>
        <v>280</v>
      </c>
      <c r="E75">
        <f t="shared" si="23"/>
        <v>120</v>
      </c>
      <c r="F75">
        <f t="shared" si="24"/>
        <v>15.18</v>
      </c>
      <c r="G75">
        <f t="shared" si="25"/>
        <v>0.32999999999999996</v>
      </c>
      <c r="H75">
        <f t="shared" si="26"/>
        <v>55.44</v>
      </c>
      <c r="I75">
        <f t="shared" si="27"/>
        <v>462</v>
      </c>
      <c r="J75">
        <f t="shared" si="28"/>
        <v>330</v>
      </c>
      <c r="K75">
        <f t="shared" si="29"/>
        <v>39.6</v>
      </c>
      <c r="L75">
        <f t="shared" si="30"/>
        <v>3.6498000000000004</v>
      </c>
      <c r="M75">
        <f t="shared" si="31"/>
        <v>3.5111999999999997</v>
      </c>
      <c r="N75">
        <f t="shared" si="32"/>
        <v>2.5409999999999999</v>
      </c>
      <c r="O75">
        <f t="shared" si="33"/>
        <v>2.5763294117647062</v>
      </c>
      <c r="P75">
        <f t="shared" si="34"/>
        <v>1.2095032397408207</v>
      </c>
      <c r="Q75">
        <f t="shared" si="35"/>
        <v>42</v>
      </c>
      <c r="R75">
        <f t="shared" si="36"/>
        <v>220</v>
      </c>
      <c r="S75">
        <f t="shared" si="37"/>
        <v>290.39999999999998</v>
      </c>
      <c r="T75">
        <f t="shared" si="38"/>
        <v>39.599999999999994</v>
      </c>
      <c r="U75">
        <f>I75*E75/'[1]Inverter Analysis'!$L$2</f>
        <v>132.85107423547069</v>
      </c>
      <c r="V75">
        <f t="shared" si="39"/>
        <v>242.42424242424244</v>
      </c>
      <c r="W75">
        <f t="shared" si="40"/>
        <v>275.48209366391188</v>
      </c>
      <c r="X75">
        <f t="shared" si="41"/>
        <v>173.16017316017317</v>
      </c>
      <c r="Y75">
        <f t="shared" si="42"/>
        <v>0.45534230357671396</v>
      </c>
      <c r="Z75">
        <f t="shared" si="43"/>
        <v>1.6668778499999994</v>
      </c>
    </row>
    <row r="76" spans="1:26" hidden="1">
      <c r="A76" s="8">
        <v>16</v>
      </c>
      <c r="B76" s="1">
        <v>6</v>
      </c>
      <c r="C76" s="1">
        <v>10</v>
      </c>
      <c r="D76">
        <f t="shared" si="22"/>
        <v>840</v>
      </c>
      <c r="E76">
        <f t="shared" si="23"/>
        <v>360</v>
      </c>
      <c r="F76">
        <f t="shared" si="24"/>
        <v>66.239999999999995</v>
      </c>
      <c r="G76">
        <f t="shared" si="25"/>
        <v>0.16</v>
      </c>
      <c r="H76">
        <f t="shared" si="26"/>
        <v>241.92</v>
      </c>
      <c r="I76">
        <f t="shared" si="27"/>
        <v>672</v>
      </c>
      <c r="J76">
        <f t="shared" si="28"/>
        <v>480</v>
      </c>
      <c r="K76">
        <f t="shared" si="29"/>
        <v>172.8</v>
      </c>
      <c r="L76">
        <f t="shared" si="30"/>
        <v>15.926400000000001</v>
      </c>
      <c r="M76">
        <f t="shared" si="31"/>
        <v>15.321599999999998</v>
      </c>
      <c r="N76">
        <f t="shared" si="32"/>
        <v>11.087999999999999</v>
      </c>
      <c r="O76">
        <f t="shared" si="33"/>
        <v>11.242164705882354</v>
      </c>
      <c r="P76">
        <f t="shared" si="34"/>
        <v>5.8056155507559399</v>
      </c>
      <c r="Q76">
        <f t="shared" si="35"/>
        <v>67.2</v>
      </c>
      <c r="R76">
        <f t="shared" si="36"/>
        <v>960</v>
      </c>
      <c r="S76">
        <f t="shared" si="37"/>
        <v>422.4</v>
      </c>
      <c r="T76">
        <f t="shared" si="38"/>
        <v>57.6</v>
      </c>
      <c r="U76">
        <f>I76*E76/'[1]Inverter Analysis'!$L$2</f>
        <v>579.71377848205384</v>
      </c>
      <c r="V76">
        <f t="shared" si="39"/>
        <v>166.66666666666666</v>
      </c>
      <c r="W76">
        <f t="shared" si="40"/>
        <v>189.39393939393941</v>
      </c>
      <c r="X76">
        <f t="shared" si="41"/>
        <v>119.04761904761905</v>
      </c>
      <c r="Y76">
        <f t="shared" si="42"/>
        <v>0.21522038567493118</v>
      </c>
      <c r="Z76">
        <f t="shared" si="43"/>
        <v>15.388876799999995</v>
      </c>
    </row>
    <row r="77" spans="1:26" hidden="1">
      <c r="A77" s="8">
        <v>15</v>
      </c>
      <c r="B77" s="1">
        <v>6</v>
      </c>
      <c r="C77" s="1">
        <v>10</v>
      </c>
      <c r="D77">
        <f t="shared" si="22"/>
        <v>840</v>
      </c>
      <c r="E77">
        <f t="shared" si="23"/>
        <v>360</v>
      </c>
      <c r="F77">
        <f t="shared" si="24"/>
        <v>62.1</v>
      </c>
      <c r="G77">
        <f t="shared" si="25"/>
        <v>0.15</v>
      </c>
      <c r="H77">
        <f t="shared" si="26"/>
        <v>226.8</v>
      </c>
      <c r="I77">
        <f t="shared" si="27"/>
        <v>630</v>
      </c>
      <c r="J77">
        <f t="shared" si="28"/>
        <v>450</v>
      </c>
      <c r="K77">
        <f t="shared" si="29"/>
        <v>162</v>
      </c>
      <c r="L77">
        <f t="shared" si="30"/>
        <v>14.930999999999999</v>
      </c>
      <c r="M77">
        <f t="shared" si="31"/>
        <v>14.364000000000001</v>
      </c>
      <c r="N77">
        <f t="shared" si="32"/>
        <v>10.395</v>
      </c>
      <c r="O77">
        <f t="shared" si="33"/>
        <v>10.539529411764706</v>
      </c>
      <c r="P77">
        <f t="shared" si="34"/>
        <v>5.4427645788336934</v>
      </c>
      <c r="Q77">
        <f t="shared" si="35"/>
        <v>63</v>
      </c>
      <c r="R77">
        <f t="shared" si="36"/>
        <v>900</v>
      </c>
      <c r="S77">
        <f t="shared" si="37"/>
        <v>396</v>
      </c>
      <c r="T77">
        <f t="shared" si="38"/>
        <v>54</v>
      </c>
      <c r="U77">
        <f>I77*E77/'[1]Inverter Analysis'!$L$2</f>
        <v>543.4816673269255</v>
      </c>
      <c r="V77">
        <f t="shared" si="39"/>
        <v>177.77777777777777</v>
      </c>
      <c r="W77">
        <f t="shared" si="40"/>
        <v>202.02020202020202</v>
      </c>
      <c r="X77">
        <f t="shared" si="41"/>
        <v>126.98412698412699</v>
      </c>
      <c r="Y77">
        <f t="shared" si="42"/>
        <v>0.24487297214569942</v>
      </c>
      <c r="Z77">
        <f t="shared" si="43"/>
        <v>12.680043750000001</v>
      </c>
    </row>
    <row r="78" spans="1:26" hidden="1">
      <c r="A78">
        <v>14</v>
      </c>
      <c r="B78" s="1">
        <v>6</v>
      </c>
      <c r="C78" s="1">
        <v>10</v>
      </c>
      <c r="D78">
        <f t="shared" si="22"/>
        <v>840</v>
      </c>
      <c r="E78">
        <f t="shared" si="23"/>
        <v>360</v>
      </c>
      <c r="F78">
        <f t="shared" si="24"/>
        <v>57.96</v>
      </c>
      <c r="G78">
        <f t="shared" si="25"/>
        <v>0.14000000000000001</v>
      </c>
      <c r="H78">
        <f t="shared" si="26"/>
        <v>211.68</v>
      </c>
      <c r="I78">
        <f t="shared" si="27"/>
        <v>588</v>
      </c>
      <c r="J78">
        <f t="shared" si="28"/>
        <v>420</v>
      </c>
      <c r="K78">
        <f t="shared" si="29"/>
        <v>151.19999999999999</v>
      </c>
      <c r="L78">
        <f t="shared" si="30"/>
        <v>13.935599999999999</v>
      </c>
      <c r="M78">
        <f t="shared" si="31"/>
        <v>13.406400000000001</v>
      </c>
      <c r="N78">
        <f t="shared" si="32"/>
        <v>9.702</v>
      </c>
      <c r="O78">
        <f t="shared" si="33"/>
        <v>9.8368941176470592</v>
      </c>
      <c r="P78">
        <f t="shared" si="34"/>
        <v>5.0799136069114468</v>
      </c>
      <c r="Q78">
        <f t="shared" si="35"/>
        <v>58.8</v>
      </c>
      <c r="R78">
        <f t="shared" si="36"/>
        <v>840</v>
      </c>
      <c r="S78">
        <f t="shared" si="37"/>
        <v>369.6</v>
      </c>
      <c r="T78">
        <f t="shared" si="38"/>
        <v>50.400000000000006</v>
      </c>
      <c r="U78">
        <f>I78*E78/'[1]Inverter Analysis'!$L$2</f>
        <v>507.24955617179717</v>
      </c>
      <c r="V78">
        <f t="shared" si="39"/>
        <v>190.47619047619048</v>
      </c>
      <c r="W78">
        <f t="shared" si="40"/>
        <v>216.45021645021643</v>
      </c>
      <c r="X78">
        <f t="shared" si="41"/>
        <v>136.05442176870747</v>
      </c>
      <c r="Y78">
        <f t="shared" si="42"/>
        <v>0.28110417720807329</v>
      </c>
      <c r="Z78">
        <f t="shared" si="43"/>
        <v>10.309345200000003</v>
      </c>
    </row>
    <row r="79" spans="1:26" hidden="1">
      <c r="A79">
        <v>13</v>
      </c>
      <c r="B79" s="1">
        <v>6</v>
      </c>
      <c r="C79" s="1">
        <v>10</v>
      </c>
      <c r="D79">
        <f t="shared" si="22"/>
        <v>840</v>
      </c>
      <c r="E79">
        <f t="shared" si="23"/>
        <v>360</v>
      </c>
      <c r="F79">
        <f t="shared" si="24"/>
        <v>53.82</v>
      </c>
      <c r="G79">
        <f t="shared" si="25"/>
        <v>0.13</v>
      </c>
      <c r="H79">
        <f t="shared" si="26"/>
        <v>196.56</v>
      </c>
      <c r="I79">
        <f t="shared" si="27"/>
        <v>546</v>
      </c>
      <c r="J79">
        <f t="shared" si="28"/>
        <v>390</v>
      </c>
      <c r="K79">
        <f t="shared" si="29"/>
        <v>140.4</v>
      </c>
      <c r="L79">
        <f t="shared" si="30"/>
        <v>12.940200000000001</v>
      </c>
      <c r="M79">
        <f t="shared" si="31"/>
        <v>12.448799999999999</v>
      </c>
      <c r="N79">
        <f t="shared" si="32"/>
        <v>9.0090000000000003</v>
      </c>
      <c r="O79">
        <f t="shared" si="33"/>
        <v>9.1342588235294127</v>
      </c>
      <c r="P79">
        <f t="shared" si="34"/>
        <v>4.7170626349892002</v>
      </c>
      <c r="Q79">
        <f t="shared" si="35"/>
        <v>54.6</v>
      </c>
      <c r="R79">
        <f t="shared" si="36"/>
        <v>780</v>
      </c>
      <c r="S79">
        <f t="shared" si="37"/>
        <v>343.2</v>
      </c>
      <c r="T79">
        <f t="shared" si="38"/>
        <v>46.800000000000004</v>
      </c>
      <c r="U79">
        <f>I79*E79/'[1]Inverter Analysis'!$L$2</f>
        <v>471.01744501666877</v>
      </c>
      <c r="V79">
        <f t="shared" si="39"/>
        <v>205.12820512820514</v>
      </c>
      <c r="W79">
        <f t="shared" si="40"/>
        <v>233.10023310023311</v>
      </c>
      <c r="X79">
        <f t="shared" si="41"/>
        <v>146.52014652014651</v>
      </c>
      <c r="Y79">
        <f t="shared" si="42"/>
        <v>0.32601431202829811</v>
      </c>
      <c r="Z79">
        <f t="shared" si="43"/>
        <v>8.2542388500000001</v>
      </c>
    </row>
    <row r="80" spans="1:26" hidden="1">
      <c r="A80">
        <v>12</v>
      </c>
      <c r="B80" s="1">
        <v>6</v>
      </c>
      <c r="C80" s="1">
        <v>10</v>
      </c>
      <c r="D80">
        <f t="shared" si="22"/>
        <v>840</v>
      </c>
      <c r="E80">
        <f t="shared" si="23"/>
        <v>360</v>
      </c>
      <c r="F80">
        <f t="shared" si="24"/>
        <v>49.68</v>
      </c>
      <c r="G80">
        <f t="shared" si="25"/>
        <v>0.12</v>
      </c>
      <c r="H80">
        <f t="shared" si="26"/>
        <v>181.44</v>
      </c>
      <c r="I80">
        <f t="shared" si="27"/>
        <v>504</v>
      </c>
      <c r="J80">
        <f t="shared" si="28"/>
        <v>360</v>
      </c>
      <c r="K80">
        <f t="shared" si="29"/>
        <v>129.6</v>
      </c>
      <c r="L80">
        <f t="shared" si="30"/>
        <v>11.944800000000001</v>
      </c>
      <c r="M80">
        <f t="shared" si="31"/>
        <v>11.491199999999999</v>
      </c>
      <c r="N80">
        <f t="shared" si="32"/>
        <v>8.3160000000000007</v>
      </c>
      <c r="O80">
        <f t="shared" si="33"/>
        <v>8.4316235294117661</v>
      </c>
      <c r="P80">
        <f t="shared" si="34"/>
        <v>4.3542116630669545</v>
      </c>
      <c r="Q80">
        <f t="shared" si="35"/>
        <v>50.4</v>
      </c>
      <c r="R80">
        <f t="shared" si="36"/>
        <v>720</v>
      </c>
      <c r="S80">
        <f t="shared" si="37"/>
        <v>316.8</v>
      </c>
      <c r="T80">
        <f t="shared" si="38"/>
        <v>43.199999999999996</v>
      </c>
      <c r="U80">
        <f>I80*E80/'[1]Inverter Analysis'!$L$2</f>
        <v>434.78533386154038</v>
      </c>
      <c r="V80">
        <f t="shared" si="39"/>
        <v>222.22222222222223</v>
      </c>
      <c r="W80">
        <f t="shared" si="40"/>
        <v>252.52525252525251</v>
      </c>
      <c r="X80">
        <f t="shared" si="41"/>
        <v>158.73015873015873</v>
      </c>
      <c r="Y80">
        <f t="shared" si="42"/>
        <v>0.38261401897765529</v>
      </c>
      <c r="Z80">
        <f t="shared" si="43"/>
        <v>6.4921824000000008</v>
      </c>
    </row>
    <row r="81" spans="1:26" hidden="1">
      <c r="A81">
        <v>11</v>
      </c>
      <c r="B81" s="1">
        <v>6</v>
      </c>
      <c r="C81" s="1">
        <v>10</v>
      </c>
      <c r="D81">
        <f t="shared" si="22"/>
        <v>840</v>
      </c>
      <c r="E81">
        <f t="shared" si="23"/>
        <v>360</v>
      </c>
      <c r="F81">
        <f t="shared" si="24"/>
        <v>45.54</v>
      </c>
      <c r="G81">
        <f t="shared" si="25"/>
        <v>0.10999999999999999</v>
      </c>
      <c r="H81">
        <f t="shared" si="26"/>
        <v>166.32</v>
      </c>
      <c r="I81">
        <f t="shared" si="27"/>
        <v>462</v>
      </c>
      <c r="J81">
        <f t="shared" si="28"/>
        <v>330</v>
      </c>
      <c r="K81">
        <f t="shared" si="29"/>
        <v>118.8</v>
      </c>
      <c r="L81">
        <f t="shared" si="30"/>
        <v>10.949400000000001</v>
      </c>
      <c r="M81">
        <f t="shared" si="31"/>
        <v>10.533599999999998</v>
      </c>
      <c r="N81">
        <f t="shared" si="32"/>
        <v>7.6230000000000002</v>
      </c>
      <c r="O81">
        <f t="shared" si="33"/>
        <v>7.7289882352941186</v>
      </c>
      <c r="P81">
        <f t="shared" si="34"/>
        <v>3.9913606911447084</v>
      </c>
      <c r="Q81">
        <f t="shared" si="35"/>
        <v>46.2</v>
      </c>
      <c r="R81">
        <f t="shared" si="36"/>
        <v>660</v>
      </c>
      <c r="S81">
        <f t="shared" si="37"/>
        <v>290.39999999999998</v>
      </c>
      <c r="T81">
        <f t="shared" si="38"/>
        <v>39.599999999999994</v>
      </c>
      <c r="U81">
        <f>I81*E81/'[1]Inverter Analysis'!$L$2</f>
        <v>398.55322270641204</v>
      </c>
      <c r="V81">
        <f t="shared" si="39"/>
        <v>242.42424242424244</v>
      </c>
      <c r="W81">
        <f t="shared" si="40"/>
        <v>275.48209366391188</v>
      </c>
      <c r="X81">
        <f t="shared" si="41"/>
        <v>173.16017316017317</v>
      </c>
      <c r="Y81">
        <f t="shared" si="42"/>
        <v>0.45534230357671396</v>
      </c>
      <c r="Z81">
        <f t="shared" si="43"/>
        <v>5.0006335499999981</v>
      </c>
    </row>
    <row r="82" spans="1:26" hidden="1">
      <c r="A82">
        <v>10</v>
      </c>
      <c r="B82" s="1">
        <v>6</v>
      </c>
      <c r="C82" s="1">
        <v>10</v>
      </c>
      <c r="D82">
        <f t="shared" si="22"/>
        <v>840</v>
      </c>
      <c r="E82">
        <f t="shared" si="23"/>
        <v>360</v>
      </c>
      <c r="F82">
        <f t="shared" si="24"/>
        <v>41.4</v>
      </c>
      <c r="G82">
        <f t="shared" si="25"/>
        <v>0.1</v>
      </c>
      <c r="H82">
        <f t="shared" si="26"/>
        <v>151.19999999999999</v>
      </c>
      <c r="I82">
        <f t="shared" si="27"/>
        <v>420</v>
      </c>
      <c r="J82">
        <f t="shared" si="28"/>
        <v>300</v>
      </c>
      <c r="K82">
        <f t="shared" si="29"/>
        <v>108</v>
      </c>
      <c r="L82">
        <f t="shared" si="30"/>
        <v>9.9540000000000006</v>
      </c>
      <c r="M82">
        <f t="shared" si="31"/>
        <v>9.5760000000000005</v>
      </c>
      <c r="N82">
        <f t="shared" si="32"/>
        <v>6.93</v>
      </c>
      <c r="O82">
        <f t="shared" si="33"/>
        <v>7.0263529411764711</v>
      </c>
      <c r="P82">
        <f t="shared" si="34"/>
        <v>3.6285097192224618</v>
      </c>
      <c r="Q82">
        <f t="shared" si="35"/>
        <v>42</v>
      </c>
      <c r="R82">
        <f t="shared" si="36"/>
        <v>600</v>
      </c>
      <c r="S82">
        <f t="shared" si="37"/>
        <v>264</v>
      </c>
      <c r="T82">
        <f t="shared" si="38"/>
        <v>36</v>
      </c>
      <c r="U82">
        <f>I82*E82/'[1]Inverter Analysis'!$L$2</f>
        <v>362.32111155128365</v>
      </c>
      <c r="V82">
        <f t="shared" si="39"/>
        <v>266.66666666666669</v>
      </c>
      <c r="W82">
        <f t="shared" si="40"/>
        <v>303.030303030303</v>
      </c>
      <c r="X82">
        <f t="shared" si="41"/>
        <v>190.47619047619048</v>
      </c>
      <c r="Y82">
        <f t="shared" si="42"/>
        <v>0.55096418732782371</v>
      </c>
      <c r="Z82">
        <f t="shared" si="43"/>
        <v>3.75705</v>
      </c>
    </row>
    <row r="83" spans="1:26" hidden="1">
      <c r="A83" s="8">
        <v>16</v>
      </c>
      <c r="B83" s="9">
        <v>5</v>
      </c>
      <c r="C83" s="1">
        <v>10</v>
      </c>
      <c r="D83">
        <f t="shared" si="22"/>
        <v>700</v>
      </c>
      <c r="E83">
        <f t="shared" si="23"/>
        <v>300</v>
      </c>
      <c r="F83">
        <f t="shared" si="24"/>
        <v>55.2</v>
      </c>
      <c r="G83">
        <f t="shared" si="25"/>
        <v>0.192</v>
      </c>
      <c r="H83">
        <f t="shared" si="26"/>
        <v>201.6</v>
      </c>
      <c r="I83">
        <f t="shared" si="27"/>
        <v>672</v>
      </c>
      <c r="J83">
        <f t="shared" si="28"/>
        <v>480</v>
      </c>
      <c r="K83">
        <f t="shared" si="29"/>
        <v>144</v>
      </c>
      <c r="L83">
        <f t="shared" si="30"/>
        <v>13.272</v>
      </c>
      <c r="M83">
        <f t="shared" si="31"/>
        <v>12.768000000000001</v>
      </c>
      <c r="N83">
        <f t="shared" si="32"/>
        <v>9.24</v>
      </c>
      <c r="O83">
        <f t="shared" si="33"/>
        <v>9.3684705882352954</v>
      </c>
      <c r="P83">
        <f t="shared" si="34"/>
        <v>4.838012958963283</v>
      </c>
      <c r="Q83">
        <f t="shared" si="35"/>
        <v>67.2</v>
      </c>
      <c r="R83">
        <f t="shared" si="36"/>
        <v>800</v>
      </c>
      <c r="S83">
        <f t="shared" si="37"/>
        <v>422.4</v>
      </c>
      <c r="T83">
        <f t="shared" si="38"/>
        <v>57.6</v>
      </c>
      <c r="U83">
        <f>I83*E83/'[1]Inverter Analysis'!$L$2</f>
        <v>483.09481540171157</v>
      </c>
      <c r="V83">
        <f t="shared" si="39"/>
        <v>166.66666666666666</v>
      </c>
      <c r="W83">
        <f t="shared" si="40"/>
        <v>189.39393939393941</v>
      </c>
      <c r="X83">
        <f t="shared" si="41"/>
        <v>119.04761904761905</v>
      </c>
      <c r="Y83">
        <f t="shared" si="42"/>
        <v>0.21522038567493118</v>
      </c>
      <c r="Z83">
        <f t="shared" si="43"/>
        <v>12.824063999999996</v>
      </c>
    </row>
    <row r="84" spans="1:26" hidden="1">
      <c r="A84" s="8">
        <v>15</v>
      </c>
      <c r="B84" s="9">
        <v>5</v>
      </c>
      <c r="C84" s="1">
        <v>10</v>
      </c>
      <c r="D84">
        <f t="shared" si="22"/>
        <v>700</v>
      </c>
      <c r="E84">
        <f t="shared" si="23"/>
        <v>300</v>
      </c>
      <c r="F84">
        <f t="shared" si="24"/>
        <v>51.75</v>
      </c>
      <c r="G84">
        <f t="shared" si="25"/>
        <v>0.18000000000000002</v>
      </c>
      <c r="H84">
        <f t="shared" si="26"/>
        <v>189</v>
      </c>
      <c r="I84">
        <f t="shared" si="27"/>
        <v>630</v>
      </c>
      <c r="J84">
        <f t="shared" si="28"/>
        <v>450</v>
      </c>
      <c r="K84">
        <f t="shared" si="29"/>
        <v>135</v>
      </c>
      <c r="L84">
        <f t="shared" si="30"/>
        <v>12.442500000000001</v>
      </c>
      <c r="M84">
        <f t="shared" si="31"/>
        <v>11.97</v>
      </c>
      <c r="N84">
        <f t="shared" si="32"/>
        <v>8.6624999999999996</v>
      </c>
      <c r="O84">
        <f t="shared" si="33"/>
        <v>8.7829411764705885</v>
      </c>
      <c r="P84">
        <f t="shared" si="34"/>
        <v>4.5356371490280782</v>
      </c>
      <c r="Q84">
        <f t="shared" si="35"/>
        <v>63</v>
      </c>
      <c r="R84">
        <f t="shared" si="36"/>
        <v>750</v>
      </c>
      <c r="S84">
        <f t="shared" si="37"/>
        <v>396</v>
      </c>
      <c r="T84">
        <f t="shared" si="38"/>
        <v>54.000000000000007</v>
      </c>
      <c r="U84">
        <f>I84*E84/'[1]Inverter Analysis'!$L$2</f>
        <v>452.90138943910461</v>
      </c>
      <c r="V84">
        <f t="shared" si="39"/>
        <v>177.77777777777777</v>
      </c>
      <c r="W84">
        <f t="shared" si="40"/>
        <v>202.02020202020202</v>
      </c>
      <c r="X84">
        <f t="shared" si="41"/>
        <v>126.98412698412699</v>
      </c>
      <c r="Y84">
        <f t="shared" si="42"/>
        <v>0.24487297214569942</v>
      </c>
      <c r="Z84">
        <f t="shared" si="43"/>
        <v>10.566703125</v>
      </c>
    </row>
    <row r="85" spans="1:26" hidden="1">
      <c r="A85">
        <v>14</v>
      </c>
      <c r="B85" s="9">
        <v>5</v>
      </c>
      <c r="C85" s="1">
        <v>10</v>
      </c>
      <c r="D85">
        <f t="shared" si="22"/>
        <v>700</v>
      </c>
      <c r="E85">
        <f t="shared" si="23"/>
        <v>300</v>
      </c>
      <c r="F85">
        <f t="shared" si="24"/>
        <v>48.3</v>
      </c>
      <c r="G85">
        <f t="shared" si="25"/>
        <v>0.16800000000000004</v>
      </c>
      <c r="H85">
        <f t="shared" si="26"/>
        <v>176.4</v>
      </c>
      <c r="I85">
        <f t="shared" si="27"/>
        <v>588</v>
      </c>
      <c r="J85">
        <f t="shared" si="28"/>
        <v>420</v>
      </c>
      <c r="K85">
        <f t="shared" si="29"/>
        <v>126</v>
      </c>
      <c r="L85">
        <f t="shared" si="30"/>
        <v>11.613</v>
      </c>
      <c r="M85">
        <f t="shared" si="31"/>
        <v>11.172000000000001</v>
      </c>
      <c r="N85">
        <f t="shared" si="32"/>
        <v>8.0850000000000009</v>
      </c>
      <c r="O85">
        <f t="shared" si="33"/>
        <v>8.1974117647058833</v>
      </c>
      <c r="P85">
        <f t="shared" si="34"/>
        <v>4.2332613390928717</v>
      </c>
      <c r="Q85">
        <f t="shared" si="35"/>
        <v>58.8</v>
      </c>
      <c r="R85">
        <f t="shared" si="36"/>
        <v>700</v>
      </c>
      <c r="S85">
        <f t="shared" si="37"/>
        <v>369.59999999999997</v>
      </c>
      <c r="T85">
        <f t="shared" si="38"/>
        <v>50.400000000000013</v>
      </c>
      <c r="U85">
        <f>I85*E85/'[1]Inverter Analysis'!$L$2</f>
        <v>422.70796347649764</v>
      </c>
      <c r="V85">
        <f t="shared" si="39"/>
        <v>190.47619047619048</v>
      </c>
      <c r="W85">
        <f t="shared" si="40"/>
        <v>216.45021645021646</v>
      </c>
      <c r="X85">
        <f t="shared" si="41"/>
        <v>136.05442176870747</v>
      </c>
      <c r="Y85">
        <f t="shared" si="42"/>
        <v>0.28110417720807335</v>
      </c>
      <c r="Z85">
        <f t="shared" si="43"/>
        <v>8.5911209999999993</v>
      </c>
    </row>
    <row r="86" spans="1:26" hidden="1">
      <c r="A86">
        <v>13</v>
      </c>
      <c r="B86" s="9">
        <v>5</v>
      </c>
      <c r="C86" s="1">
        <v>10</v>
      </c>
      <c r="D86">
        <f t="shared" si="22"/>
        <v>700</v>
      </c>
      <c r="E86">
        <f t="shared" si="23"/>
        <v>300</v>
      </c>
      <c r="F86">
        <f t="shared" si="24"/>
        <v>44.85</v>
      </c>
      <c r="G86">
        <f t="shared" si="25"/>
        <v>0.156</v>
      </c>
      <c r="H86">
        <f t="shared" si="26"/>
        <v>163.80000000000001</v>
      </c>
      <c r="I86">
        <f t="shared" si="27"/>
        <v>546</v>
      </c>
      <c r="J86">
        <f t="shared" si="28"/>
        <v>390</v>
      </c>
      <c r="K86">
        <f t="shared" si="29"/>
        <v>117</v>
      </c>
      <c r="L86">
        <f t="shared" si="30"/>
        <v>10.783500000000002</v>
      </c>
      <c r="M86">
        <f t="shared" si="31"/>
        <v>10.373999999999999</v>
      </c>
      <c r="N86">
        <f t="shared" si="32"/>
        <v>7.5075000000000003</v>
      </c>
      <c r="O86">
        <f t="shared" si="33"/>
        <v>7.6118823529411781</v>
      </c>
      <c r="P86">
        <f t="shared" si="34"/>
        <v>3.930885529157667</v>
      </c>
      <c r="Q86">
        <f t="shared" si="35"/>
        <v>54.6</v>
      </c>
      <c r="R86">
        <f t="shared" si="36"/>
        <v>650</v>
      </c>
      <c r="S86">
        <f t="shared" si="37"/>
        <v>343.2</v>
      </c>
      <c r="T86">
        <f t="shared" si="38"/>
        <v>46.8</v>
      </c>
      <c r="U86">
        <f>I86*E86/'[1]Inverter Analysis'!$L$2</f>
        <v>392.51453751389062</v>
      </c>
      <c r="V86">
        <f t="shared" si="39"/>
        <v>205.12820512820514</v>
      </c>
      <c r="W86">
        <f t="shared" si="40"/>
        <v>233.10023310023311</v>
      </c>
      <c r="X86">
        <f t="shared" si="41"/>
        <v>146.52014652014651</v>
      </c>
      <c r="Y86">
        <f t="shared" si="42"/>
        <v>0.32601431202829811</v>
      </c>
      <c r="Z86">
        <f t="shared" si="43"/>
        <v>6.8785323749999989</v>
      </c>
    </row>
    <row r="87" spans="1:26" hidden="1">
      <c r="A87">
        <v>12</v>
      </c>
      <c r="B87" s="9">
        <v>5</v>
      </c>
      <c r="C87" s="1">
        <v>10</v>
      </c>
      <c r="D87">
        <f t="shared" si="22"/>
        <v>700</v>
      </c>
      <c r="E87">
        <f t="shared" si="23"/>
        <v>300</v>
      </c>
      <c r="F87">
        <f t="shared" si="24"/>
        <v>41.4</v>
      </c>
      <c r="G87">
        <f t="shared" si="25"/>
        <v>0.14400000000000002</v>
      </c>
      <c r="H87">
        <f t="shared" si="26"/>
        <v>151.19999999999999</v>
      </c>
      <c r="I87">
        <f t="shared" si="27"/>
        <v>504</v>
      </c>
      <c r="J87">
        <f t="shared" si="28"/>
        <v>360</v>
      </c>
      <c r="K87">
        <f t="shared" si="29"/>
        <v>108</v>
      </c>
      <c r="L87">
        <f t="shared" si="30"/>
        <v>9.9540000000000006</v>
      </c>
      <c r="M87">
        <f t="shared" si="31"/>
        <v>9.5760000000000005</v>
      </c>
      <c r="N87">
        <f t="shared" si="32"/>
        <v>6.93</v>
      </c>
      <c r="O87">
        <f t="shared" si="33"/>
        <v>7.0263529411764711</v>
      </c>
      <c r="P87">
        <f t="shared" si="34"/>
        <v>3.6285097192224618</v>
      </c>
      <c r="Q87">
        <f t="shared" si="35"/>
        <v>50.4</v>
      </c>
      <c r="R87">
        <f t="shared" si="36"/>
        <v>600</v>
      </c>
      <c r="S87">
        <f t="shared" si="37"/>
        <v>316.8</v>
      </c>
      <c r="T87">
        <f t="shared" si="38"/>
        <v>43.2</v>
      </c>
      <c r="U87">
        <f>I87*E87/'[1]Inverter Analysis'!$L$2</f>
        <v>362.32111155128365</v>
      </c>
      <c r="V87">
        <f t="shared" si="39"/>
        <v>222.22222222222223</v>
      </c>
      <c r="W87">
        <f t="shared" si="40"/>
        <v>252.52525252525251</v>
      </c>
      <c r="X87">
        <f t="shared" si="41"/>
        <v>158.73015873015873</v>
      </c>
      <c r="Y87">
        <f t="shared" si="42"/>
        <v>0.38261401897765529</v>
      </c>
      <c r="Z87">
        <f t="shared" si="43"/>
        <v>5.4101520000000001</v>
      </c>
    </row>
    <row r="88" spans="1:26" hidden="1">
      <c r="A88">
        <v>11</v>
      </c>
      <c r="B88" s="9">
        <v>5</v>
      </c>
      <c r="C88" s="1">
        <v>10</v>
      </c>
      <c r="D88">
        <f t="shared" si="22"/>
        <v>700</v>
      </c>
      <c r="E88">
        <f t="shared" si="23"/>
        <v>300</v>
      </c>
      <c r="F88">
        <f t="shared" si="24"/>
        <v>37.950000000000003</v>
      </c>
      <c r="G88">
        <f t="shared" si="25"/>
        <v>0.13200000000000001</v>
      </c>
      <c r="H88">
        <f t="shared" si="26"/>
        <v>138.6</v>
      </c>
      <c r="I88">
        <f t="shared" si="27"/>
        <v>462</v>
      </c>
      <c r="J88">
        <f t="shared" si="28"/>
        <v>330</v>
      </c>
      <c r="K88">
        <f t="shared" si="29"/>
        <v>99</v>
      </c>
      <c r="L88">
        <f t="shared" si="30"/>
        <v>9.1244999999999994</v>
      </c>
      <c r="M88">
        <f t="shared" si="31"/>
        <v>8.7780000000000005</v>
      </c>
      <c r="N88">
        <f t="shared" si="32"/>
        <v>6.3525</v>
      </c>
      <c r="O88">
        <f t="shared" si="33"/>
        <v>6.4408235294117651</v>
      </c>
      <c r="P88">
        <f t="shared" si="34"/>
        <v>3.3261339092872566</v>
      </c>
      <c r="Q88">
        <f t="shared" si="35"/>
        <v>46.2</v>
      </c>
      <c r="R88">
        <f t="shared" si="36"/>
        <v>550</v>
      </c>
      <c r="S88">
        <f t="shared" si="37"/>
        <v>290.39999999999998</v>
      </c>
      <c r="T88">
        <f t="shared" si="38"/>
        <v>39.6</v>
      </c>
      <c r="U88">
        <f>I88*E88/'[1]Inverter Analysis'!$L$2</f>
        <v>332.12768558867668</v>
      </c>
      <c r="V88">
        <f t="shared" si="39"/>
        <v>242.42424242424244</v>
      </c>
      <c r="W88">
        <f t="shared" si="40"/>
        <v>275.48209366391188</v>
      </c>
      <c r="X88">
        <f t="shared" si="41"/>
        <v>173.16017316017317</v>
      </c>
      <c r="Y88">
        <f t="shared" si="42"/>
        <v>0.45534230357671396</v>
      </c>
      <c r="Z88">
        <f t="shared" si="43"/>
        <v>4.1671946249999987</v>
      </c>
    </row>
    <row r="89" spans="1:26" hidden="1">
      <c r="A89">
        <v>10</v>
      </c>
      <c r="B89" s="9">
        <v>5</v>
      </c>
      <c r="C89" s="1">
        <v>10</v>
      </c>
      <c r="D89">
        <f t="shared" si="22"/>
        <v>700</v>
      </c>
      <c r="E89">
        <f t="shared" si="23"/>
        <v>300</v>
      </c>
      <c r="F89">
        <f t="shared" si="24"/>
        <v>34.5</v>
      </c>
      <c r="G89">
        <f t="shared" si="25"/>
        <v>0.12</v>
      </c>
      <c r="H89">
        <f t="shared" si="26"/>
        <v>126</v>
      </c>
      <c r="I89">
        <f t="shared" si="27"/>
        <v>420</v>
      </c>
      <c r="J89">
        <f t="shared" si="28"/>
        <v>300</v>
      </c>
      <c r="K89">
        <f t="shared" si="29"/>
        <v>90</v>
      </c>
      <c r="L89">
        <f t="shared" si="30"/>
        <v>8.2949999999999999</v>
      </c>
      <c r="M89">
        <f t="shared" si="31"/>
        <v>7.98</v>
      </c>
      <c r="N89">
        <f t="shared" si="32"/>
        <v>5.7750000000000004</v>
      </c>
      <c r="O89">
        <f t="shared" si="33"/>
        <v>5.855294117647059</v>
      </c>
      <c r="P89">
        <f t="shared" si="34"/>
        <v>3.0237580993520519</v>
      </c>
      <c r="Q89">
        <f t="shared" si="35"/>
        <v>42</v>
      </c>
      <c r="R89">
        <f t="shared" si="36"/>
        <v>500</v>
      </c>
      <c r="S89">
        <f t="shared" si="37"/>
        <v>264</v>
      </c>
      <c r="T89">
        <f t="shared" si="38"/>
        <v>36</v>
      </c>
      <c r="U89">
        <f>I89*E89/'[1]Inverter Analysis'!$L$2</f>
        <v>301.93425962606972</v>
      </c>
      <c r="V89">
        <f t="shared" si="39"/>
        <v>266.66666666666669</v>
      </c>
      <c r="W89">
        <f t="shared" si="40"/>
        <v>303.030303030303</v>
      </c>
      <c r="X89">
        <f t="shared" si="41"/>
        <v>190.47619047619048</v>
      </c>
      <c r="Y89">
        <f t="shared" si="42"/>
        <v>0.55096418732782371</v>
      </c>
      <c r="Z89">
        <f t="shared" si="43"/>
        <v>3.1308750000000001</v>
      </c>
    </row>
    <row r="90" spans="1:26" hidden="1">
      <c r="A90">
        <v>16</v>
      </c>
      <c r="B90">
        <v>4</v>
      </c>
      <c r="C90" s="1">
        <v>10</v>
      </c>
      <c r="D90">
        <f t="shared" si="22"/>
        <v>560</v>
      </c>
      <c r="E90">
        <f t="shared" si="23"/>
        <v>240</v>
      </c>
      <c r="F90">
        <f t="shared" si="24"/>
        <v>44.16</v>
      </c>
      <c r="G90">
        <f t="shared" si="25"/>
        <v>0.24</v>
      </c>
      <c r="H90">
        <f t="shared" si="26"/>
        <v>161.28</v>
      </c>
      <c r="I90">
        <f t="shared" si="27"/>
        <v>672</v>
      </c>
      <c r="J90">
        <f t="shared" si="28"/>
        <v>480</v>
      </c>
      <c r="K90">
        <f t="shared" si="29"/>
        <v>115.2</v>
      </c>
      <c r="L90">
        <f t="shared" si="30"/>
        <v>10.617599999999999</v>
      </c>
      <c r="M90">
        <f t="shared" si="31"/>
        <v>10.214399999999999</v>
      </c>
      <c r="N90">
        <f t="shared" si="32"/>
        <v>7.3920000000000003</v>
      </c>
      <c r="O90">
        <f t="shared" si="33"/>
        <v>7.4947764705882358</v>
      </c>
      <c r="P90">
        <f t="shared" si="34"/>
        <v>3.8704103671706265</v>
      </c>
      <c r="Q90">
        <f t="shared" si="35"/>
        <v>67.2</v>
      </c>
      <c r="R90">
        <f t="shared" si="36"/>
        <v>640</v>
      </c>
      <c r="S90">
        <f t="shared" si="37"/>
        <v>422.4</v>
      </c>
      <c r="T90">
        <f t="shared" si="38"/>
        <v>57.599999999999994</v>
      </c>
      <c r="U90">
        <f>I90*E90/'[1]Inverter Analysis'!$L$2</f>
        <v>386.47585232136925</v>
      </c>
      <c r="V90">
        <f t="shared" si="39"/>
        <v>166.66666666666666</v>
      </c>
      <c r="W90">
        <f t="shared" si="40"/>
        <v>189.39393939393941</v>
      </c>
      <c r="X90">
        <f t="shared" si="41"/>
        <v>119.04761904761905</v>
      </c>
      <c r="Y90">
        <f t="shared" si="42"/>
        <v>0.21522038567493118</v>
      </c>
      <c r="Z90">
        <f t="shared" si="43"/>
        <v>10.259251199999998</v>
      </c>
    </row>
    <row r="91" spans="1:26" hidden="1">
      <c r="A91">
        <v>15</v>
      </c>
      <c r="B91">
        <v>4</v>
      </c>
      <c r="C91" s="1">
        <v>10</v>
      </c>
      <c r="D91">
        <f t="shared" si="22"/>
        <v>560</v>
      </c>
      <c r="E91">
        <f t="shared" si="23"/>
        <v>240</v>
      </c>
      <c r="F91">
        <f t="shared" si="24"/>
        <v>41.4</v>
      </c>
      <c r="G91">
        <f t="shared" si="25"/>
        <v>0.22499999999999998</v>
      </c>
      <c r="H91">
        <f t="shared" si="26"/>
        <v>151.19999999999999</v>
      </c>
      <c r="I91">
        <f t="shared" si="27"/>
        <v>630</v>
      </c>
      <c r="J91">
        <f t="shared" si="28"/>
        <v>450</v>
      </c>
      <c r="K91">
        <f t="shared" si="29"/>
        <v>108</v>
      </c>
      <c r="L91">
        <f t="shared" si="30"/>
        <v>9.9540000000000006</v>
      </c>
      <c r="M91">
        <f t="shared" si="31"/>
        <v>9.5760000000000005</v>
      </c>
      <c r="N91">
        <f t="shared" si="32"/>
        <v>6.93</v>
      </c>
      <c r="O91">
        <f t="shared" si="33"/>
        <v>7.0263529411764711</v>
      </c>
      <c r="P91">
        <f t="shared" si="34"/>
        <v>3.6285097192224618</v>
      </c>
      <c r="Q91">
        <f t="shared" si="35"/>
        <v>63</v>
      </c>
      <c r="R91">
        <f t="shared" si="36"/>
        <v>600</v>
      </c>
      <c r="S91">
        <f t="shared" si="37"/>
        <v>396</v>
      </c>
      <c r="T91">
        <f t="shared" si="38"/>
        <v>53.999999999999993</v>
      </c>
      <c r="U91">
        <f>I91*E91/'[1]Inverter Analysis'!$L$2</f>
        <v>362.32111155128365</v>
      </c>
      <c r="V91">
        <f t="shared" si="39"/>
        <v>177.77777777777777</v>
      </c>
      <c r="W91">
        <f t="shared" si="40"/>
        <v>202.02020202020202</v>
      </c>
      <c r="X91">
        <f t="shared" si="41"/>
        <v>126.98412698412699</v>
      </c>
      <c r="Y91">
        <f t="shared" si="42"/>
        <v>0.24487297214569942</v>
      </c>
      <c r="Z91">
        <f t="shared" si="43"/>
        <v>8.4533625000000008</v>
      </c>
    </row>
    <row r="92" spans="1:26" hidden="1">
      <c r="A92">
        <v>14</v>
      </c>
      <c r="B92">
        <v>4</v>
      </c>
      <c r="C92" s="1">
        <v>10</v>
      </c>
      <c r="D92">
        <f t="shared" si="22"/>
        <v>560</v>
      </c>
      <c r="E92">
        <f t="shared" si="23"/>
        <v>240</v>
      </c>
      <c r="F92">
        <f t="shared" si="24"/>
        <v>38.64</v>
      </c>
      <c r="G92">
        <f t="shared" si="25"/>
        <v>0.21000000000000002</v>
      </c>
      <c r="H92">
        <f t="shared" si="26"/>
        <v>141.12</v>
      </c>
      <c r="I92">
        <f t="shared" si="27"/>
        <v>588</v>
      </c>
      <c r="J92">
        <f t="shared" si="28"/>
        <v>420</v>
      </c>
      <c r="K92">
        <f t="shared" si="29"/>
        <v>100.8</v>
      </c>
      <c r="L92">
        <f t="shared" si="30"/>
        <v>9.2904</v>
      </c>
      <c r="M92">
        <f t="shared" si="31"/>
        <v>8.9375999999999998</v>
      </c>
      <c r="N92">
        <f t="shared" si="32"/>
        <v>6.468</v>
      </c>
      <c r="O92">
        <f t="shared" si="33"/>
        <v>6.5579294117647065</v>
      </c>
      <c r="P92">
        <f t="shared" si="34"/>
        <v>3.386609071274298</v>
      </c>
      <c r="Q92">
        <f t="shared" si="35"/>
        <v>58.8</v>
      </c>
      <c r="R92">
        <f t="shared" si="36"/>
        <v>560</v>
      </c>
      <c r="S92">
        <f t="shared" si="37"/>
        <v>369.6</v>
      </c>
      <c r="T92">
        <f t="shared" si="38"/>
        <v>50.400000000000006</v>
      </c>
      <c r="U92">
        <f>I92*E92/'[1]Inverter Analysis'!$L$2</f>
        <v>338.16637078119811</v>
      </c>
      <c r="V92">
        <f t="shared" si="39"/>
        <v>190.47619047619048</v>
      </c>
      <c r="W92">
        <f t="shared" si="40"/>
        <v>216.45021645021643</v>
      </c>
      <c r="X92">
        <f t="shared" si="41"/>
        <v>136.05442176870747</v>
      </c>
      <c r="Y92">
        <f t="shared" si="42"/>
        <v>0.28110417720807329</v>
      </c>
      <c r="Z92">
        <f t="shared" si="43"/>
        <v>6.8728968000000004</v>
      </c>
    </row>
    <row r="93" spans="1:26" hidden="1">
      <c r="A93">
        <v>13</v>
      </c>
      <c r="B93">
        <v>4</v>
      </c>
      <c r="C93" s="1">
        <v>10</v>
      </c>
      <c r="D93">
        <f t="shared" si="22"/>
        <v>560</v>
      </c>
      <c r="E93">
        <f t="shared" si="23"/>
        <v>240</v>
      </c>
      <c r="F93">
        <f t="shared" si="24"/>
        <v>35.880000000000003</v>
      </c>
      <c r="G93">
        <f t="shared" si="25"/>
        <v>0.19500000000000001</v>
      </c>
      <c r="H93">
        <f t="shared" si="26"/>
        <v>131.04</v>
      </c>
      <c r="I93">
        <f t="shared" si="27"/>
        <v>546</v>
      </c>
      <c r="J93">
        <f t="shared" si="28"/>
        <v>390</v>
      </c>
      <c r="K93">
        <f t="shared" si="29"/>
        <v>93.6</v>
      </c>
      <c r="L93">
        <f t="shared" si="30"/>
        <v>8.6268000000000011</v>
      </c>
      <c r="M93">
        <f t="shared" si="31"/>
        <v>8.299199999999999</v>
      </c>
      <c r="N93">
        <f t="shared" si="32"/>
        <v>6.0060000000000002</v>
      </c>
      <c r="O93">
        <f t="shared" si="33"/>
        <v>6.0895058823529427</v>
      </c>
      <c r="P93">
        <f t="shared" si="34"/>
        <v>3.1447084233261338</v>
      </c>
      <c r="Q93">
        <f t="shared" si="35"/>
        <v>54.6</v>
      </c>
      <c r="R93">
        <f t="shared" si="36"/>
        <v>520</v>
      </c>
      <c r="S93">
        <f t="shared" si="37"/>
        <v>343.2</v>
      </c>
      <c r="T93">
        <f t="shared" si="38"/>
        <v>46.800000000000004</v>
      </c>
      <c r="U93">
        <f>I93*E93/'[1]Inverter Analysis'!$L$2</f>
        <v>314.01163001111252</v>
      </c>
      <c r="V93">
        <f t="shared" si="39"/>
        <v>205.12820512820514</v>
      </c>
      <c r="W93">
        <f t="shared" si="40"/>
        <v>233.10023310023311</v>
      </c>
      <c r="X93">
        <f t="shared" si="41"/>
        <v>146.52014652014651</v>
      </c>
      <c r="Y93">
        <f t="shared" si="42"/>
        <v>0.32601431202829811</v>
      </c>
      <c r="Z93">
        <f t="shared" si="43"/>
        <v>5.5028258999999995</v>
      </c>
    </row>
    <row r="94" spans="1:26" hidden="1">
      <c r="A94">
        <v>12</v>
      </c>
      <c r="B94">
        <v>4</v>
      </c>
      <c r="C94" s="1">
        <v>10</v>
      </c>
      <c r="D94">
        <f t="shared" si="22"/>
        <v>560</v>
      </c>
      <c r="E94">
        <f t="shared" si="23"/>
        <v>240</v>
      </c>
      <c r="F94">
        <f t="shared" si="24"/>
        <v>33.119999999999997</v>
      </c>
      <c r="G94">
        <f t="shared" si="25"/>
        <v>0.18000000000000002</v>
      </c>
      <c r="H94">
        <f t="shared" si="26"/>
        <v>120.96</v>
      </c>
      <c r="I94">
        <f t="shared" si="27"/>
        <v>504</v>
      </c>
      <c r="J94">
        <f t="shared" si="28"/>
        <v>360</v>
      </c>
      <c r="K94">
        <f t="shared" si="29"/>
        <v>86.4</v>
      </c>
      <c r="L94">
        <f t="shared" si="30"/>
        <v>7.9632000000000005</v>
      </c>
      <c r="M94">
        <f t="shared" si="31"/>
        <v>7.6607999999999992</v>
      </c>
      <c r="N94">
        <f t="shared" si="32"/>
        <v>5.5439999999999996</v>
      </c>
      <c r="O94">
        <f t="shared" si="33"/>
        <v>5.6210823529411771</v>
      </c>
      <c r="P94">
        <f t="shared" si="34"/>
        <v>2.90280777537797</v>
      </c>
      <c r="Q94">
        <f t="shared" si="35"/>
        <v>50.4</v>
      </c>
      <c r="R94">
        <f t="shared" si="36"/>
        <v>480</v>
      </c>
      <c r="S94">
        <f t="shared" si="37"/>
        <v>316.8</v>
      </c>
      <c r="T94">
        <f t="shared" si="38"/>
        <v>43.2</v>
      </c>
      <c r="U94">
        <f>I94*E94/'[1]Inverter Analysis'!$L$2</f>
        <v>289.85688924102692</v>
      </c>
      <c r="V94">
        <f t="shared" si="39"/>
        <v>222.22222222222223</v>
      </c>
      <c r="W94">
        <f t="shared" si="40"/>
        <v>252.52525252525251</v>
      </c>
      <c r="X94">
        <f t="shared" si="41"/>
        <v>158.73015873015873</v>
      </c>
      <c r="Y94">
        <f t="shared" si="42"/>
        <v>0.38261401897765529</v>
      </c>
      <c r="Z94">
        <f t="shared" si="43"/>
        <v>4.3281216000000002</v>
      </c>
    </row>
    <row r="95" spans="1:26" hidden="1">
      <c r="A95">
        <v>11</v>
      </c>
      <c r="B95">
        <v>4</v>
      </c>
      <c r="C95" s="1">
        <v>10</v>
      </c>
      <c r="D95">
        <f t="shared" si="22"/>
        <v>560</v>
      </c>
      <c r="E95">
        <f t="shared" si="23"/>
        <v>240</v>
      </c>
      <c r="F95">
        <f t="shared" si="24"/>
        <v>30.36</v>
      </c>
      <c r="G95">
        <f t="shared" si="25"/>
        <v>0.16500000000000001</v>
      </c>
      <c r="H95">
        <f t="shared" si="26"/>
        <v>110.88</v>
      </c>
      <c r="I95">
        <f t="shared" si="27"/>
        <v>462</v>
      </c>
      <c r="J95">
        <f t="shared" si="28"/>
        <v>330</v>
      </c>
      <c r="K95">
        <f t="shared" si="29"/>
        <v>79.2</v>
      </c>
      <c r="L95">
        <f t="shared" si="30"/>
        <v>7.2996000000000008</v>
      </c>
      <c r="M95">
        <f t="shared" si="31"/>
        <v>7.0223999999999993</v>
      </c>
      <c r="N95">
        <f t="shared" si="32"/>
        <v>5.0819999999999999</v>
      </c>
      <c r="O95">
        <f t="shared" si="33"/>
        <v>5.1526588235294124</v>
      </c>
      <c r="P95">
        <f t="shared" si="34"/>
        <v>2.6609071274298057</v>
      </c>
      <c r="Q95">
        <f t="shared" si="35"/>
        <v>46.2</v>
      </c>
      <c r="R95">
        <f t="shared" si="36"/>
        <v>440</v>
      </c>
      <c r="S95">
        <f t="shared" si="37"/>
        <v>290.39999999999998</v>
      </c>
      <c r="T95">
        <f t="shared" si="38"/>
        <v>39.6</v>
      </c>
      <c r="U95">
        <f>I95*E95/'[1]Inverter Analysis'!$L$2</f>
        <v>265.70214847094138</v>
      </c>
      <c r="V95">
        <f t="shared" si="39"/>
        <v>242.42424242424244</v>
      </c>
      <c r="W95">
        <f t="shared" si="40"/>
        <v>275.48209366391188</v>
      </c>
      <c r="X95">
        <f t="shared" si="41"/>
        <v>173.16017316017317</v>
      </c>
      <c r="Y95">
        <f t="shared" si="42"/>
        <v>0.45534230357671396</v>
      </c>
      <c r="Z95">
        <f t="shared" si="43"/>
        <v>3.3337556999999989</v>
      </c>
    </row>
    <row r="96" spans="1:26" hidden="1">
      <c r="A96">
        <v>10</v>
      </c>
      <c r="B96">
        <v>4</v>
      </c>
      <c r="C96" s="1">
        <v>10</v>
      </c>
      <c r="D96">
        <f t="shared" si="22"/>
        <v>560</v>
      </c>
      <c r="E96">
        <f t="shared" si="23"/>
        <v>240</v>
      </c>
      <c r="F96">
        <f t="shared" si="24"/>
        <v>27.6</v>
      </c>
      <c r="G96">
        <f t="shared" si="25"/>
        <v>0.15</v>
      </c>
      <c r="H96">
        <f t="shared" si="26"/>
        <v>100.8</v>
      </c>
      <c r="I96">
        <f t="shared" si="27"/>
        <v>420</v>
      </c>
      <c r="J96">
        <f t="shared" si="28"/>
        <v>300</v>
      </c>
      <c r="K96">
        <f t="shared" si="29"/>
        <v>72</v>
      </c>
      <c r="L96">
        <f t="shared" si="30"/>
        <v>6.6360000000000001</v>
      </c>
      <c r="M96">
        <f t="shared" si="31"/>
        <v>6.3840000000000003</v>
      </c>
      <c r="N96">
        <f t="shared" si="32"/>
        <v>4.62</v>
      </c>
      <c r="O96">
        <f t="shared" si="33"/>
        <v>4.6842352941176477</v>
      </c>
      <c r="P96">
        <f t="shared" si="34"/>
        <v>2.4190064794816415</v>
      </c>
      <c r="Q96">
        <f t="shared" si="35"/>
        <v>42</v>
      </c>
      <c r="R96">
        <f t="shared" si="36"/>
        <v>400</v>
      </c>
      <c r="S96">
        <f t="shared" si="37"/>
        <v>264</v>
      </c>
      <c r="T96">
        <f t="shared" si="38"/>
        <v>36</v>
      </c>
      <c r="U96">
        <f>I96*E96/'[1]Inverter Analysis'!$L$2</f>
        <v>241.54740770085579</v>
      </c>
      <c r="V96">
        <f t="shared" si="39"/>
        <v>266.66666666666669</v>
      </c>
      <c r="W96">
        <f t="shared" si="40"/>
        <v>303.030303030303</v>
      </c>
      <c r="X96">
        <f t="shared" si="41"/>
        <v>190.47619047619048</v>
      </c>
      <c r="Y96">
        <f t="shared" si="42"/>
        <v>0.55096418732782371</v>
      </c>
      <c r="Z96">
        <f t="shared" si="43"/>
        <v>2.5047000000000001</v>
      </c>
    </row>
    <row r="97" spans="1:26" hidden="1">
      <c r="A97">
        <v>16</v>
      </c>
      <c r="B97">
        <v>3</v>
      </c>
      <c r="C97" s="1">
        <v>10</v>
      </c>
      <c r="D97">
        <f t="shared" si="22"/>
        <v>420</v>
      </c>
      <c r="E97">
        <f t="shared" si="23"/>
        <v>180</v>
      </c>
      <c r="F97">
        <f t="shared" si="24"/>
        <v>33.119999999999997</v>
      </c>
      <c r="G97">
        <f t="shared" si="25"/>
        <v>0.32</v>
      </c>
      <c r="H97">
        <f t="shared" si="26"/>
        <v>120.96</v>
      </c>
      <c r="I97">
        <f t="shared" si="27"/>
        <v>672</v>
      </c>
      <c r="J97">
        <f t="shared" si="28"/>
        <v>480</v>
      </c>
      <c r="K97">
        <f t="shared" si="29"/>
        <v>86.4</v>
      </c>
      <c r="L97">
        <f t="shared" si="30"/>
        <v>7.9632000000000005</v>
      </c>
      <c r="M97">
        <f t="shared" si="31"/>
        <v>7.6607999999999992</v>
      </c>
      <c r="N97">
        <f t="shared" si="32"/>
        <v>5.5439999999999996</v>
      </c>
      <c r="O97">
        <f t="shared" si="33"/>
        <v>5.6210823529411771</v>
      </c>
      <c r="P97">
        <f t="shared" si="34"/>
        <v>2.90280777537797</v>
      </c>
      <c r="Q97">
        <f t="shared" si="35"/>
        <v>67.2</v>
      </c>
      <c r="R97">
        <f t="shared" si="36"/>
        <v>480</v>
      </c>
      <c r="S97">
        <f t="shared" si="37"/>
        <v>422.4</v>
      </c>
      <c r="T97">
        <f t="shared" si="38"/>
        <v>57.6</v>
      </c>
      <c r="U97">
        <f>I97*E97/'[1]Inverter Analysis'!$L$2</f>
        <v>289.85688924102692</v>
      </c>
      <c r="V97">
        <f t="shared" si="39"/>
        <v>166.66666666666666</v>
      </c>
      <c r="W97">
        <f t="shared" si="40"/>
        <v>189.39393939393941</v>
      </c>
      <c r="X97">
        <f t="shared" si="41"/>
        <v>119.04761904761905</v>
      </c>
      <c r="Y97">
        <f t="shared" si="42"/>
        <v>0.21522038567493118</v>
      </c>
      <c r="Z97">
        <f t="shared" si="43"/>
        <v>7.6944383999999975</v>
      </c>
    </row>
    <row r="98" spans="1:26" hidden="1">
      <c r="A98">
        <v>15</v>
      </c>
      <c r="B98">
        <v>3</v>
      </c>
      <c r="C98" s="1">
        <v>10</v>
      </c>
      <c r="D98">
        <f t="shared" si="22"/>
        <v>420</v>
      </c>
      <c r="E98">
        <f t="shared" si="23"/>
        <v>180</v>
      </c>
      <c r="F98">
        <f t="shared" si="24"/>
        <v>31.05</v>
      </c>
      <c r="G98">
        <f t="shared" si="25"/>
        <v>0.3</v>
      </c>
      <c r="H98">
        <f t="shared" si="26"/>
        <v>113.4</v>
      </c>
      <c r="I98">
        <f t="shared" si="27"/>
        <v>630</v>
      </c>
      <c r="J98">
        <f t="shared" si="28"/>
        <v>450</v>
      </c>
      <c r="K98">
        <f t="shared" si="29"/>
        <v>81</v>
      </c>
      <c r="L98">
        <f t="shared" si="30"/>
        <v>7.4654999999999996</v>
      </c>
      <c r="M98">
        <f t="shared" si="31"/>
        <v>7.1820000000000004</v>
      </c>
      <c r="N98">
        <f t="shared" si="32"/>
        <v>5.1974999999999998</v>
      </c>
      <c r="O98">
        <f t="shared" si="33"/>
        <v>5.2697647058823529</v>
      </c>
      <c r="P98">
        <f t="shared" si="34"/>
        <v>2.7213822894168467</v>
      </c>
      <c r="Q98">
        <f t="shared" si="35"/>
        <v>63</v>
      </c>
      <c r="R98">
        <f t="shared" si="36"/>
        <v>450</v>
      </c>
      <c r="S98">
        <f t="shared" si="37"/>
        <v>396</v>
      </c>
      <c r="T98">
        <f t="shared" si="38"/>
        <v>54</v>
      </c>
      <c r="U98">
        <f>I98*E98/'[1]Inverter Analysis'!$L$2</f>
        <v>271.74083366346275</v>
      </c>
      <c r="V98">
        <f t="shared" si="39"/>
        <v>177.77777777777777</v>
      </c>
      <c r="W98">
        <f t="shared" si="40"/>
        <v>202.02020202020202</v>
      </c>
      <c r="X98">
        <f t="shared" si="41"/>
        <v>126.98412698412699</v>
      </c>
      <c r="Y98">
        <f t="shared" si="42"/>
        <v>0.24487297214569942</v>
      </c>
      <c r="Z98">
        <f t="shared" si="43"/>
        <v>6.3400218750000006</v>
      </c>
    </row>
    <row r="99" spans="1:26">
      <c r="A99">
        <v>14</v>
      </c>
      <c r="B99">
        <v>3</v>
      </c>
      <c r="C99" s="1">
        <v>10</v>
      </c>
      <c r="D99">
        <f t="shared" si="22"/>
        <v>420</v>
      </c>
      <c r="E99">
        <f t="shared" si="23"/>
        <v>180</v>
      </c>
      <c r="F99">
        <f t="shared" si="24"/>
        <v>28.98</v>
      </c>
      <c r="G99">
        <f t="shared" si="25"/>
        <v>0.28000000000000003</v>
      </c>
      <c r="H99">
        <f t="shared" si="26"/>
        <v>105.84</v>
      </c>
      <c r="I99">
        <f t="shared" si="27"/>
        <v>588</v>
      </c>
      <c r="J99">
        <f t="shared" si="28"/>
        <v>420</v>
      </c>
      <c r="K99">
        <f t="shared" si="29"/>
        <v>75.599999999999994</v>
      </c>
      <c r="L99">
        <f t="shared" si="30"/>
        <v>6.9677999999999995</v>
      </c>
      <c r="M99">
        <f t="shared" si="31"/>
        <v>6.7032000000000007</v>
      </c>
      <c r="N99">
        <f t="shared" si="32"/>
        <v>4.851</v>
      </c>
      <c r="O99">
        <f t="shared" si="33"/>
        <v>4.9184470588235296</v>
      </c>
      <c r="P99">
        <f t="shared" si="34"/>
        <v>2.5399568034557234</v>
      </c>
      <c r="Q99">
        <f t="shared" si="35"/>
        <v>58.8</v>
      </c>
      <c r="R99">
        <f t="shared" si="36"/>
        <v>420</v>
      </c>
      <c r="S99">
        <f t="shared" si="37"/>
        <v>369.6</v>
      </c>
      <c r="T99">
        <f t="shared" si="38"/>
        <v>50.400000000000006</v>
      </c>
      <c r="U99">
        <f>I99*E99/'[1]Inverter Analysis'!$L$2</f>
        <v>253.62477808589858</v>
      </c>
      <c r="V99">
        <f t="shared" si="39"/>
        <v>190.47619047619048</v>
      </c>
      <c r="W99">
        <f t="shared" si="40"/>
        <v>216.45021645021643</v>
      </c>
      <c r="X99">
        <f t="shared" si="41"/>
        <v>136.05442176870747</v>
      </c>
      <c r="Y99">
        <f t="shared" si="42"/>
        <v>0.28110417720807329</v>
      </c>
      <c r="Z99">
        <f t="shared" si="43"/>
        <v>5.1546726000000014</v>
      </c>
    </row>
    <row r="100" spans="1:26" hidden="1">
      <c r="A100">
        <v>13</v>
      </c>
      <c r="B100">
        <v>3</v>
      </c>
      <c r="C100" s="1">
        <v>10</v>
      </c>
      <c r="D100">
        <f t="shared" si="22"/>
        <v>420</v>
      </c>
      <c r="E100">
        <f t="shared" si="23"/>
        <v>180</v>
      </c>
      <c r="F100">
        <f t="shared" si="24"/>
        <v>26.91</v>
      </c>
      <c r="G100">
        <f t="shared" si="25"/>
        <v>0.26</v>
      </c>
      <c r="H100">
        <f t="shared" si="26"/>
        <v>98.28</v>
      </c>
      <c r="I100">
        <f t="shared" si="27"/>
        <v>546</v>
      </c>
      <c r="J100">
        <f t="shared" si="28"/>
        <v>390</v>
      </c>
      <c r="K100">
        <f t="shared" si="29"/>
        <v>70.2</v>
      </c>
      <c r="L100">
        <f t="shared" si="30"/>
        <v>6.4701000000000004</v>
      </c>
      <c r="M100">
        <f t="shared" si="31"/>
        <v>6.2243999999999993</v>
      </c>
      <c r="N100">
        <f t="shared" si="32"/>
        <v>4.5045000000000002</v>
      </c>
      <c r="O100">
        <f t="shared" si="33"/>
        <v>4.5671294117647063</v>
      </c>
      <c r="P100">
        <f t="shared" si="34"/>
        <v>2.3585313174946001</v>
      </c>
      <c r="Q100">
        <f t="shared" si="35"/>
        <v>54.6</v>
      </c>
      <c r="R100">
        <f t="shared" si="36"/>
        <v>390</v>
      </c>
      <c r="S100">
        <f t="shared" si="37"/>
        <v>343.2</v>
      </c>
      <c r="T100">
        <f t="shared" si="38"/>
        <v>46.800000000000004</v>
      </c>
      <c r="U100">
        <f>I100*E100/'[1]Inverter Analysis'!$L$2</f>
        <v>235.50872250833439</v>
      </c>
      <c r="V100">
        <f t="shared" si="39"/>
        <v>205.12820512820514</v>
      </c>
      <c r="W100">
        <f t="shared" si="40"/>
        <v>233.10023310023311</v>
      </c>
      <c r="X100">
        <f t="shared" si="41"/>
        <v>146.52014652014651</v>
      </c>
      <c r="Y100">
        <f t="shared" si="42"/>
        <v>0.32601431202829811</v>
      </c>
      <c r="Z100">
        <f t="shared" si="43"/>
        <v>4.1271194250000001</v>
      </c>
    </row>
    <row r="101" spans="1:26" hidden="1">
      <c r="A101">
        <v>12</v>
      </c>
      <c r="B101">
        <v>3</v>
      </c>
      <c r="C101" s="1">
        <v>10</v>
      </c>
      <c r="D101">
        <f t="shared" si="22"/>
        <v>420</v>
      </c>
      <c r="E101">
        <f t="shared" si="23"/>
        <v>180</v>
      </c>
      <c r="F101">
        <f t="shared" si="24"/>
        <v>24.84</v>
      </c>
      <c r="G101">
        <f t="shared" si="25"/>
        <v>0.24</v>
      </c>
      <c r="H101">
        <f t="shared" si="26"/>
        <v>90.72</v>
      </c>
      <c r="I101">
        <f t="shared" si="27"/>
        <v>504</v>
      </c>
      <c r="J101">
        <f t="shared" si="28"/>
        <v>360</v>
      </c>
      <c r="K101">
        <f t="shared" si="29"/>
        <v>64.8</v>
      </c>
      <c r="L101">
        <f t="shared" si="30"/>
        <v>5.9724000000000004</v>
      </c>
      <c r="M101">
        <f t="shared" si="31"/>
        <v>5.7455999999999996</v>
      </c>
      <c r="N101">
        <f t="shared" si="32"/>
        <v>4.1580000000000004</v>
      </c>
      <c r="O101">
        <f t="shared" si="33"/>
        <v>4.215811764705883</v>
      </c>
      <c r="P101">
        <f t="shared" si="34"/>
        <v>2.1771058315334773</v>
      </c>
      <c r="Q101">
        <f t="shared" si="35"/>
        <v>50.4</v>
      </c>
      <c r="R101">
        <f t="shared" si="36"/>
        <v>360</v>
      </c>
      <c r="S101">
        <f t="shared" si="37"/>
        <v>316.8</v>
      </c>
      <c r="T101">
        <f t="shared" si="38"/>
        <v>43.199999999999996</v>
      </c>
      <c r="U101">
        <f>I101*E101/'[1]Inverter Analysis'!$L$2</f>
        <v>217.39266693077019</v>
      </c>
      <c r="V101">
        <f t="shared" si="39"/>
        <v>222.22222222222223</v>
      </c>
      <c r="W101">
        <f t="shared" si="40"/>
        <v>252.52525252525251</v>
      </c>
      <c r="X101">
        <f t="shared" si="41"/>
        <v>158.73015873015873</v>
      </c>
      <c r="Y101">
        <f t="shared" si="42"/>
        <v>0.38261401897765529</v>
      </c>
      <c r="Z101">
        <f t="shared" si="43"/>
        <v>3.2460912000000004</v>
      </c>
    </row>
    <row r="102" spans="1:26" hidden="1">
      <c r="A102">
        <v>11</v>
      </c>
      <c r="B102">
        <v>3</v>
      </c>
      <c r="C102" s="1">
        <v>10</v>
      </c>
      <c r="D102">
        <f t="shared" si="22"/>
        <v>420</v>
      </c>
      <c r="E102">
        <f t="shared" si="23"/>
        <v>180</v>
      </c>
      <c r="F102">
        <f t="shared" si="24"/>
        <v>22.77</v>
      </c>
      <c r="G102">
        <f t="shared" si="25"/>
        <v>0.21999999999999997</v>
      </c>
      <c r="H102">
        <f t="shared" si="26"/>
        <v>83.16</v>
      </c>
      <c r="I102">
        <f t="shared" si="27"/>
        <v>462</v>
      </c>
      <c r="J102">
        <f t="shared" si="28"/>
        <v>330</v>
      </c>
      <c r="K102">
        <f t="shared" si="29"/>
        <v>59.4</v>
      </c>
      <c r="L102">
        <f t="shared" si="30"/>
        <v>5.4747000000000003</v>
      </c>
      <c r="M102">
        <f t="shared" si="31"/>
        <v>5.266799999999999</v>
      </c>
      <c r="N102">
        <f t="shared" si="32"/>
        <v>3.8115000000000001</v>
      </c>
      <c r="O102">
        <f t="shared" si="33"/>
        <v>3.8644941176470593</v>
      </c>
      <c r="P102">
        <f t="shared" si="34"/>
        <v>1.9956803455723542</v>
      </c>
      <c r="Q102">
        <f t="shared" si="35"/>
        <v>46.2</v>
      </c>
      <c r="R102">
        <f t="shared" si="36"/>
        <v>330</v>
      </c>
      <c r="S102">
        <f t="shared" si="37"/>
        <v>290.39999999999998</v>
      </c>
      <c r="T102">
        <f t="shared" si="38"/>
        <v>39.599999999999994</v>
      </c>
      <c r="U102">
        <f>I102*E102/'[1]Inverter Analysis'!$L$2</f>
        <v>199.27661135320602</v>
      </c>
      <c r="V102">
        <f t="shared" si="39"/>
        <v>242.42424242424244</v>
      </c>
      <c r="W102">
        <f t="shared" si="40"/>
        <v>275.48209366391188</v>
      </c>
      <c r="X102">
        <f t="shared" si="41"/>
        <v>173.16017316017317</v>
      </c>
      <c r="Y102">
        <f t="shared" si="42"/>
        <v>0.45534230357671396</v>
      </c>
      <c r="Z102">
        <f t="shared" si="43"/>
        <v>2.500316774999999</v>
      </c>
    </row>
    <row r="103" spans="1:26" hidden="1">
      <c r="A103">
        <v>10</v>
      </c>
      <c r="B103">
        <v>3</v>
      </c>
      <c r="C103" s="1">
        <v>10</v>
      </c>
      <c r="D103">
        <f t="shared" si="22"/>
        <v>420</v>
      </c>
      <c r="E103">
        <f t="shared" si="23"/>
        <v>180</v>
      </c>
      <c r="F103">
        <f t="shared" si="24"/>
        <v>20.7</v>
      </c>
      <c r="G103">
        <f t="shared" si="25"/>
        <v>0.2</v>
      </c>
      <c r="H103">
        <f t="shared" si="26"/>
        <v>75.599999999999994</v>
      </c>
      <c r="I103">
        <f t="shared" si="27"/>
        <v>420</v>
      </c>
      <c r="J103">
        <f t="shared" si="28"/>
        <v>300</v>
      </c>
      <c r="K103">
        <f t="shared" si="29"/>
        <v>54</v>
      </c>
      <c r="L103">
        <f t="shared" si="30"/>
        <v>4.9770000000000003</v>
      </c>
      <c r="M103">
        <f t="shared" si="31"/>
        <v>4.7880000000000003</v>
      </c>
      <c r="N103">
        <f t="shared" si="32"/>
        <v>3.4649999999999999</v>
      </c>
      <c r="O103">
        <f t="shared" si="33"/>
        <v>3.5131764705882356</v>
      </c>
      <c r="P103">
        <f t="shared" si="34"/>
        <v>1.8142548596112309</v>
      </c>
      <c r="Q103">
        <f t="shared" si="35"/>
        <v>42</v>
      </c>
      <c r="R103">
        <f t="shared" si="36"/>
        <v>300</v>
      </c>
      <c r="S103">
        <f t="shared" si="37"/>
        <v>264</v>
      </c>
      <c r="T103">
        <f t="shared" si="38"/>
        <v>36</v>
      </c>
      <c r="U103">
        <f>I103*E103/'[1]Inverter Analysis'!$L$2</f>
        <v>181.16055577564182</v>
      </c>
      <c r="V103">
        <f t="shared" si="39"/>
        <v>266.66666666666669</v>
      </c>
      <c r="W103">
        <f t="shared" si="40"/>
        <v>303.030303030303</v>
      </c>
      <c r="X103">
        <f t="shared" si="41"/>
        <v>190.47619047619048</v>
      </c>
      <c r="Y103">
        <f t="shared" si="42"/>
        <v>0.55096418732782371</v>
      </c>
      <c r="Z103">
        <f t="shared" si="43"/>
        <v>1.878525</v>
      </c>
    </row>
    <row r="104" spans="1:26" hidden="1">
      <c r="A104">
        <v>16</v>
      </c>
      <c r="B104">
        <v>2</v>
      </c>
      <c r="C104" s="1">
        <v>10</v>
      </c>
      <c r="D104">
        <f t="shared" si="22"/>
        <v>280</v>
      </c>
      <c r="E104">
        <f t="shared" si="23"/>
        <v>120</v>
      </c>
      <c r="F104">
        <f t="shared" si="24"/>
        <v>22.08</v>
      </c>
      <c r="G104">
        <f t="shared" si="25"/>
        <v>0.48</v>
      </c>
      <c r="H104">
        <f t="shared" si="26"/>
        <v>80.64</v>
      </c>
      <c r="I104">
        <f t="shared" si="27"/>
        <v>672</v>
      </c>
      <c r="J104">
        <f t="shared" si="28"/>
        <v>480</v>
      </c>
      <c r="K104">
        <f t="shared" si="29"/>
        <v>57.6</v>
      </c>
      <c r="L104">
        <f t="shared" si="30"/>
        <v>5.3087999999999997</v>
      </c>
      <c r="M104">
        <f t="shared" si="31"/>
        <v>5.1071999999999997</v>
      </c>
      <c r="N104">
        <f t="shared" si="32"/>
        <v>3.6960000000000002</v>
      </c>
      <c r="O104">
        <f t="shared" si="33"/>
        <v>3.7473882352941179</v>
      </c>
      <c r="P104">
        <f t="shared" si="34"/>
        <v>1.9352051835853132</v>
      </c>
      <c r="Q104">
        <f t="shared" si="35"/>
        <v>67.2</v>
      </c>
      <c r="R104">
        <f t="shared" si="36"/>
        <v>320</v>
      </c>
      <c r="S104">
        <f t="shared" si="37"/>
        <v>422.4</v>
      </c>
      <c r="T104">
        <f t="shared" si="38"/>
        <v>57.599999999999994</v>
      </c>
      <c r="U104">
        <f>I104*E104/'[1]Inverter Analysis'!$L$2</f>
        <v>193.23792616068462</v>
      </c>
      <c r="V104">
        <f t="shared" si="39"/>
        <v>166.66666666666666</v>
      </c>
      <c r="W104">
        <f t="shared" si="40"/>
        <v>189.39393939393941</v>
      </c>
      <c r="X104">
        <f t="shared" si="41"/>
        <v>119.04761904761905</v>
      </c>
      <c r="Y104">
        <f t="shared" si="42"/>
        <v>0.21522038567493118</v>
      </c>
      <c r="Z104">
        <f t="shared" si="43"/>
        <v>5.1296255999999989</v>
      </c>
    </row>
    <row r="105" spans="1:26" hidden="1">
      <c r="A105">
        <v>15</v>
      </c>
      <c r="B105">
        <v>2</v>
      </c>
      <c r="C105" s="1">
        <v>10</v>
      </c>
      <c r="D105">
        <f t="shared" si="22"/>
        <v>280</v>
      </c>
      <c r="E105">
        <f t="shared" si="23"/>
        <v>120</v>
      </c>
      <c r="F105">
        <f t="shared" si="24"/>
        <v>20.7</v>
      </c>
      <c r="G105">
        <f t="shared" si="25"/>
        <v>0.44999999999999996</v>
      </c>
      <c r="H105">
        <f t="shared" si="26"/>
        <v>75.599999999999994</v>
      </c>
      <c r="I105">
        <f t="shared" si="27"/>
        <v>630</v>
      </c>
      <c r="J105">
        <f t="shared" si="28"/>
        <v>450</v>
      </c>
      <c r="K105">
        <f t="shared" si="29"/>
        <v>54</v>
      </c>
      <c r="L105">
        <f t="shared" si="30"/>
        <v>4.9770000000000003</v>
      </c>
      <c r="M105">
        <f t="shared" si="31"/>
        <v>4.7880000000000003</v>
      </c>
      <c r="N105">
        <f t="shared" si="32"/>
        <v>3.4649999999999999</v>
      </c>
      <c r="O105">
        <f t="shared" si="33"/>
        <v>3.5131764705882356</v>
      </c>
      <c r="P105">
        <f t="shared" si="34"/>
        <v>1.8142548596112309</v>
      </c>
      <c r="Q105">
        <f t="shared" si="35"/>
        <v>63</v>
      </c>
      <c r="R105">
        <f t="shared" si="36"/>
        <v>300</v>
      </c>
      <c r="S105">
        <f t="shared" si="37"/>
        <v>396</v>
      </c>
      <c r="T105">
        <f t="shared" si="38"/>
        <v>53.999999999999993</v>
      </c>
      <c r="U105">
        <f>I105*E105/'[1]Inverter Analysis'!$L$2</f>
        <v>181.16055577564182</v>
      </c>
      <c r="V105">
        <f t="shared" si="39"/>
        <v>177.77777777777777</v>
      </c>
      <c r="W105">
        <f t="shared" si="40"/>
        <v>202.02020202020202</v>
      </c>
      <c r="X105">
        <f t="shared" si="41"/>
        <v>126.98412698412699</v>
      </c>
      <c r="Y105">
        <f t="shared" si="42"/>
        <v>0.24487297214569942</v>
      </c>
      <c r="Z105">
        <f t="shared" si="43"/>
        <v>4.2266812500000004</v>
      </c>
    </row>
    <row r="106" spans="1:26" hidden="1">
      <c r="A106">
        <v>14</v>
      </c>
      <c r="B106">
        <v>2</v>
      </c>
      <c r="C106" s="1">
        <v>10</v>
      </c>
      <c r="D106">
        <f t="shared" si="22"/>
        <v>280</v>
      </c>
      <c r="E106">
        <f t="shared" si="23"/>
        <v>120</v>
      </c>
      <c r="F106">
        <f t="shared" si="24"/>
        <v>19.32</v>
      </c>
      <c r="G106">
        <f t="shared" si="25"/>
        <v>0.42000000000000004</v>
      </c>
      <c r="H106">
        <f t="shared" si="26"/>
        <v>70.56</v>
      </c>
      <c r="I106">
        <f t="shared" si="27"/>
        <v>588</v>
      </c>
      <c r="J106">
        <f t="shared" si="28"/>
        <v>420</v>
      </c>
      <c r="K106">
        <f t="shared" si="29"/>
        <v>50.4</v>
      </c>
      <c r="L106">
        <f t="shared" si="30"/>
        <v>4.6452</v>
      </c>
      <c r="M106">
        <f t="shared" si="31"/>
        <v>4.4687999999999999</v>
      </c>
      <c r="N106">
        <f t="shared" si="32"/>
        <v>3.234</v>
      </c>
      <c r="O106">
        <f t="shared" si="33"/>
        <v>3.2789647058823532</v>
      </c>
      <c r="P106">
        <f t="shared" si="34"/>
        <v>1.693304535637149</v>
      </c>
      <c r="Q106">
        <f t="shared" si="35"/>
        <v>58.8</v>
      </c>
      <c r="R106">
        <f t="shared" si="36"/>
        <v>280</v>
      </c>
      <c r="S106">
        <f t="shared" si="37"/>
        <v>369.6</v>
      </c>
      <c r="T106">
        <f t="shared" si="38"/>
        <v>50.400000000000006</v>
      </c>
      <c r="U106">
        <f>I106*E106/'[1]Inverter Analysis'!$L$2</f>
        <v>169.08318539059906</v>
      </c>
      <c r="V106">
        <f t="shared" si="39"/>
        <v>190.47619047619048</v>
      </c>
      <c r="W106">
        <f t="shared" si="40"/>
        <v>216.45021645021643</v>
      </c>
      <c r="X106">
        <f t="shared" si="41"/>
        <v>136.05442176870747</v>
      </c>
      <c r="Y106">
        <f t="shared" si="42"/>
        <v>0.28110417720807329</v>
      </c>
      <c r="Z106">
        <f t="shared" si="43"/>
        <v>3.4364484000000002</v>
      </c>
    </row>
    <row r="107" spans="1:26" hidden="1">
      <c r="A107">
        <v>13</v>
      </c>
      <c r="B107">
        <v>2</v>
      </c>
      <c r="C107" s="1">
        <v>10</v>
      </c>
      <c r="D107">
        <f t="shared" si="22"/>
        <v>280</v>
      </c>
      <c r="E107">
        <f t="shared" si="23"/>
        <v>120</v>
      </c>
      <c r="F107">
        <f t="shared" si="24"/>
        <v>17.940000000000001</v>
      </c>
      <c r="G107">
        <f t="shared" si="25"/>
        <v>0.39</v>
      </c>
      <c r="H107">
        <f t="shared" si="26"/>
        <v>65.52</v>
      </c>
      <c r="I107">
        <f t="shared" si="27"/>
        <v>546</v>
      </c>
      <c r="J107">
        <f t="shared" si="28"/>
        <v>390</v>
      </c>
      <c r="K107">
        <f t="shared" si="29"/>
        <v>46.8</v>
      </c>
      <c r="L107">
        <f t="shared" si="30"/>
        <v>4.3134000000000006</v>
      </c>
      <c r="M107">
        <f t="shared" si="31"/>
        <v>4.1495999999999995</v>
      </c>
      <c r="N107">
        <f t="shared" si="32"/>
        <v>3.0030000000000001</v>
      </c>
      <c r="O107">
        <f t="shared" si="33"/>
        <v>3.0447529411764713</v>
      </c>
      <c r="P107">
        <f t="shared" si="34"/>
        <v>1.5723542116630669</v>
      </c>
      <c r="Q107">
        <f t="shared" si="35"/>
        <v>54.6</v>
      </c>
      <c r="R107">
        <f t="shared" si="36"/>
        <v>260</v>
      </c>
      <c r="S107">
        <f t="shared" si="37"/>
        <v>343.2</v>
      </c>
      <c r="T107">
        <f t="shared" si="38"/>
        <v>46.800000000000004</v>
      </c>
      <c r="U107">
        <f>I107*E107/'[1]Inverter Analysis'!$L$2</f>
        <v>157.00581500555626</v>
      </c>
      <c r="V107">
        <f t="shared" si="39"/>
        <v>205.12820512820514</v>
      </c>
      <c r="W107">
        <f t="shared" si="40"/>
        <v>233.10023310023311</v>
      </c>
      <c r="X107">
        <f t="shared" si="41"/>
        <v>146.52014652014651</v>
      </c>
      <c r="Y107">
        <f t="shared" si="42"/>
        <v>0.32601431202829811</v>
      </c>
      <c r="Z107">
        <f t="shared" si="43"/>
        <v>2.7514129499999997</v>
      </c>
    </row>
    <row r="108" spans="1:26" hidden="1">
      <c r="A108">
        <v>12</v>
      </c>
      <c r="B108">
        <v>2</v>
      </c>
      <c r="C108" s="1">
        <v>10</v>
      </c>
      <c r="D108">
        <f t="shared" si="22"/>
        <v>280</v>
      </c>
      <c r="E108">
        <f t="shared" si="23"/>
        <v>120</v>
      </c>
      <c r="F108">
        <f t="shared" si="24"/>
        <v>16.559999999999999</v>
      </c>
      <c r="G108">
        <f t="shared" si="25"/>
        <v>0.36000000000000004</v>
      </c>
      <c r="H108">
        <f t="shared" si="26"/>
        <v>60.48</v>
      </c>
      <c r="I108">
        <f t="shared" si="27"/>
        <v>504</v>
      </c>
      <c r="J108">
        <f t="shared" si="28"/>
        <v>360</v>
      </c>
      <c r="K108">
        <f t="shared" si="29"/>
        <v>43.2</v>
      </c>
      <c r="L108">
        <f t="shared" si="30"/>
        <v>3.9816000000000003</v>
      </c>
      <c r="M108">
        <f t="shared" si="31"/>
        <v>3.8303999999999996</v>
      </c>
      <c r="N108">
        <f t="shared" si="32"/>
        <v>2.7719999999999998</v>
      </c>
      <c r="O108">
        <f t="shared" si="33"/>
        <v>2.8105411764705885</v>
      </c>
      <c r="P108">
        <f t="shared" si="34"/>
        <v>1.451403887688985</v>
      </c>
      <c r="Q108">
        <f t="shared" si="35"/>
        <v>50.4</v>
      </c>
      <c r="R108">
        <f t="shared" si="36"/>
        <v>240</v>
      </c>
      <c r="S108">
        <f t="shared" si="37"/>
        <v>316.8</v>
      </c>
      <c r="T108">
        <f t="shared" si="38"/>
        <v>43.2</v>
      </c>
      <c r="U108">
        <f>I108*E108/'[1]Inverter Analysis'!$L$2</f>
        <v>144.92844462051346</v>
      </c>
      <c r="V108">
        <f t="shared" si="39"/>
        <v>222.22222222222223</v>
      </c>
      <c r="W108">
        <f t="shared" si="40"/>
        <v>252.52525252525251</v>
      </c>
      <c r="X108">
        <f t="shared" si="41"/>
        <v>158.73015873015873</v>
      </c>
      <c r="Y108">
        <f t="shared" si="42"/>
        <v>0.38261401897765529</v>
      </c>
      <c r="Z108">
        <f t="shared" si="43"/>
        <v>2.1640608000000001</v>
      </c>
    </row>
    <row r="109" spans="1:26" hidden="1">
      <c r="A109">
        <v>11</v>
      </c>
      <c r="B109">
        <v>2</v>
      </c>
      <c r="C109" s="1">
        <v>10</v>
      </c>
      <c r="D109">
        <f t="shared" si="22"/>
        <v>280</v>
      </c>
      <c r="E109">
        <f t="shared" si="23"/>
        <v>120</v>
      </c>
      <c r="F109">
        <f t="shared" si="24"/>
        <v>15.18</v>
      </c>
      <c r="G109">
        <f t="shared" si="25"/>
        <v>0.33</v>
      </c>
      <c r="H109">
        <f t="shared" si="26"/>
        <v>55.44</v>
      </c>
      <c r="I109">
        <f t="shared" si="27"/>
        <v>462</v>
      </c>
      <c r="J109">
        <f t="shared" si="28"/>
        <v>330</v>
      </c>
      <c r="K109">
        <f t="shared" si="29"/>
        <v>39.6</v>
      </c>
      <c r="L109">
        <f t="shared" si="30"/>
        <v>3.6498000000000004</v>
      </c>
      <c r="M109">
        <f t="shared" si="31"/>
        <v>3.5111999999999997</v>
      </c>
      <c r="N109">
        <f t="shared" si="32"/>
        <v>2.5409999999999999</v>
      </c>
      <c r="O109">
        <f t="shared" si="33"/>
        <v>2.5763294117647062</v>
      </c>
      <c r="P109">
        <f t="shared" si="34"/>
        <v>1.3304535637149029</v>
      </c>
      <c r="Q109">
        <f t="shared" si="35"/>
        <v>46.2</v>
      </c>
      <c r="R109">
        <f t="shared" si="36"/>
        <v>220</v>
      </c>
      <c r="S109">
        <f t="shared" si="37"/>
        <v>290.39999999999998</v>
      </c>
      <c r="T109">
        <f t="shared" si="38"/>
        <v>39.6</v>
      </c>
      <c r="U109">
        <f>I109*E109/'[1]Inverter Analysis'!$L$2</f>
        <v>132.85107423547069</v>
      </c>
      <c r="V109">
        <f t="shared" si="39"/>
        <v>242.42424242424244</v>
      </c>
      <c r="W109">
        <f t="shared" si="40"/>
        <v>275.48209366391188</v>
      </c>
      <c r="X109">
        <f t="shared" si="41"/>
        <v>173.16017316017317</v>
      </c>
      <c r="Y109">
        <f t="shared" si="42"/>
        <v>0.45534230357671396</v>
      </c>
      <c r="Z109">
        <f t="shared" si="43"/>
        <v>1.6668778499999994</v>
      </c>
    </row>
    <row r="110" spans="1:26" hidden="1">
      <c r="A110">
        <v>10</v>
      </c>
      <c r="B110">
        <v>2</v>
      </c>
      <c r="C110" s="1">
        <v>10</v>
      </c>
      <c r="D110">
        <f t="shared" si="22"/>
        <v>280</v>
      </c>
      <c r="E110">
        <f t="shared" si="23"/>
        <v>120</v>
      </c>
      <c r="F110">
        <f t="shared" si="24"/>
        <v>13.8</v>
      </c>
      <c r="G110">
        <f t="shared" si="25"/>
        <v>0.3</v>
      </c>
      <c r="H110">
        <f t="shared" si="26"/>
        <v>50.4</v>
      </c>
      <c r="I110">
        <f t="shared" si="27"/>
        <v>420</v>
      </c>
      <c r="J110">
        <f t="shared" si="28"/>
        <v>300</v>
      </c>
      <c r="K110">
        <f t="shared" si="29"/>
        <v>36</v>
      </c>
      <c r="L110">
        <f t="shared" si="30"/>
        <v>3.3180000000000001</v>
      </c>
      <c r="M110">
        <f t="shared" si="31"/>
        <v>3.1920000000000002</v>
      </c>
      <c r="N110">
        <f t="shared" si="32"/>
        <v>2.31</v>
      </c>
      <c r="O110">
        <f t="shared" si="33"/>
        <v>2.3421176470588239</v>
      </c>
      <c r="P110">
        <f t="shared" si="34"/>
        <v>1.2095032397408207</v>
      </c>
      <c r="Q110">
        <f t="shared" si="35"/>
        <v>42</v>
      </c>
      <c r="R110">
        <f t="shared" si="36"/>
        <v>200</v>
      </c>
      <c r="S110">
        <f t="shared" si="37"/>
        <v>264</v>
      </c>
      <c r="T110">
        <f t="shared" si="38"/>
        <v>36</v>
      </c>
      <c r="U110">
        <f>I110*E110/'[1]Inverter Analysis'!$L$2</f>
        <v>120.77370385042789</v>
      </c>
      <c r="V110">
        <f t="shared" si="39"/>
        <v>266.66666666666669</v>
      </c>
      <c r="W110">
        <f t="shared" si="40"/>
        <v>303.030303030303</v>
      </c>
      <c r="X110">
        <f t="shared" si="41"/>
        <v>190.47619047619048</v>
      </c>
      <c r="Y110">
        <f t="shared" si="42"/>
        <v>0.55096418732782371</v>
      </c>
      <c r="Z110">
        <f t="shared" si="43"/>
        <v>1.2523500000000001</v>
      </c>
    </row>
    <row r="111" spans="1:26" hidden="1">
      <c r="A111" s="8">
        <v>16</v>
      </c>
      <c r="B111" s="1">
        <v>6</v>
      </c>
      <c r="C111" s="1">
        <v>9</v>
      </c>
      <c r="D111">
        <f t="shared" si="22"/>
        <v>840</v>
      </c>
      <c r="E111">
        <f t="shared" si="23"/>
        <v>360</v>
      </c>
      <c r="F111">
        <f t="shared" si="24"/>
        <v>59.616</v>
      </c>
      <c r="G111">
        <f t="shared" si="25"/>
        <v>0.14400000000000002</v>
      </c>
      <c r="H111">
        <f t="shared" si="26"/>
        <v>217.72800000000004</v>
      </c>
      <c r="I111">
        <f t="shared" si="27"/>
        <v>604.80000000000007</v>
      </c>
      <c r="J111">
        <f t="shared" si="28"/>
        <v>432</v>
      </c>
      <c r="K111">
        <f t="shared" si="29"/>
        <v>155.52000000000001</v>
      </c>
      <c r="L111">
        <f t="shared" si="30"/>
        <v>14.333760000000002</v>
      </c>
      <c r="M111">
        <f t="shared" si="31"/>
        <v>13.789440000000003</v>
      </c>
      <c r="N111">
        <f t="shared" si="32"/>
        <v>9.9792000000000005</v>
      </c>
      <c r="O111">
        <f t="shared" si="33"/>
        <v>10.117948235294119</v>
      </c>
      <c r="P111">
        <f t="shared" si="34"/>
        <v>5.8056155507559399</v>
      </c>
      <c r="Q111">
        <f t="shared" si="35"/>
        <v>67.2</v>
      </c>
      <c r="R111">
        <f t="shared" si="36"/>
        <v>864</v>
      </c>
      <c r="S111">
        <f t="shared" si="37"/>
        <v>380.15999999999997</v>
      </c>
      <c r="T111">
        <f t="shared" si="38"/>
        <v>51.84</v>
      </c>
      <c r="U111">
        <f>I111*E111/'[1]Inverter Analysis'!$L$2</f>
        <v>521.74240063384855</v>
      </c>
      <c r="V111">
        <f t="shared" si="39"/>
        <v>185.18518518518519</v>
      </c>
      <c r="W111">
        <f t="shared" si="40"/>
        <v>210.43771043771045</v>
      </c>
      <c r="X111">
        <f t="shared" si="41"/>
        <v>132.27513227513225</v>
      </c>
      <c r="Y111">
        <f t="shared" si="42"/>
        <v>0.26570417984559402</v>
      </c>
      <c r="Z111">
        <f t="shared" si="43"/>
        <v>11.2184911872</v>
      </c>
    </row>
    <row r="112" spans="1:26" hidden="1">
      <c r="A112" s="8">
        <v>15</v>
      </c>
      <c r="B112" s="1">
        <v>6</v>
      </c>
      <c r="C112" s="1">
        <v>9</v>
      </c>
      <c r="D112">
        <f t="shared" si="22"/>
        <v>840</v>
      </c>
      <c r="E112">
        <f t="shared" si="23"/>
        <v>360</v>
      </c>
      <c r="F112">
        <f t="shared" si="24"/>
        <v>55.89</v>
      </c>
      <c r="G112">
        <f t="shared" si="25"/>
        <v>0.13500000000000001</v>
      </c>
      <c r="H112">
        <f t="shared" si="26"/>
        <v>204.12</v>
      </c>
      <c r="I112">
        <f t="shared" si="27"/>
        <v>567</v>
      </c>
      <c r="J112">
        <f t="shared" si="28"/>
        <v>405</v>
      </c>
      <c r="K112">
        <f t="shared" si="29"/>
        <v>145.80000000000001</v>
      </c>
      <c r="L112">
        <f t="shared" si="30"/>
        <v>13.437900000000001</v>
      </c>
      <c r="M112">
        <f t="shared" si="31"/>
        <v>12.927599999999998</v>
      </c>
      <c r="N112">
        <f t="shared" si="32"/>
        <v>9.3554999999999993</v>
      </c>
      <c r="O112">
        <f t="shared" si="33"/>
        <v>9.4855764705882368</v>
      </c>
      <c r="P112">
        <f t="shared" si="34"/>
        <v>5.4427645788336925</v>
      </c>
      <c r="Q112">
        <f t="shared" si="35"/>
        <v>63</v>
      </c>
      <c r="R112">
        <f t="shared" si="36"/>
        <v>810</v>
      </c>
      <c r="S112">
        <f t="shared" si="37"/>
        <v>356.4</v>
      </c>
      <c r="T112">
        <f t="shared" si="38"/>
        <v>48.6</v>
      </c>
      <c r="U112">
        <f>I112*E112/'[1]Inverter Analysis'!$L$2</f>
        <v>489.13350059423294</v>
      </c>
      <c r="V112">
        <f t="shared" si="39"/>
        <v>197.53086419753086</v>
      </c>
      <c r="W112">
        <f t="shared" si="40"/>
        <v>224.46689113355782</v>
      </c>
      <c r="X112">
        <f t="shared" si="41"/>
        <v>141.09347442680777</v>
      </c>
      <c r="Y112">
        <f t="shared" si="42"/>
        <v>0.30231231129098701</v>
      </c>
      <c r="Z112">
        <f t="shared" si="43"/>
        <v>9.2437518937499981</v>
      </c>
    </row>
    <row r="113" spans="1:26" hidden="1">
      <c r="A113">
        <v>14</v>
      </c>
      <c r="B113" s="1">
        <v>6</v>
      </c>
      <c r="C113" s="1">
        <v>9</v>
      </c>
      <c r="D113">
        <f t="shared" si="22"/>
        <v>840</v>
      </c>
      <c r="E113">
        <f t="shared" si="23"/>
        <v>360</v>
      </c>
      <c r="F113">
        <f t="shared" si="24"/>
        <v>52.164000000000001</v>
      </c>
      <c r="G113">
        <f t="shared" si="25"/>
        <v>0.126</v>
      </c>
      <c r="H113">
        <f t="shared" si="26"/>
        <v>190.51200000000003</v>
      </c>
      <c r="I113">
        <f t="shared" si="27"/>
        <v>529.20000000000005</v>
      </c>
      <c r="J113">
        <f t="shared" si="28"/>
        <v>378</v>
      </c>
      <c r="K113">
        <f t="shared" si="29"/>
        <v>136.08000000000001</v>
      </c>
      <c r="L113">
        <f t="shared" si="30"/>
        <v>12.54204</v>
      </c>
      <c r="M113">
        <f t="shared" si="31"/>
        <v>12.065760000000001</v>
      </c>
      <c r="N113">
        <f t="shared" si="32"/>
        <v>8.7318000000000016</v>
      </c>
      <c r="O113">
        <f t="shared" si="33"/>
        <v>8.8532047058823533</v>
      </c>
      <c r="P113">
        <f t="shared" si="34"/>
        <v>5.0799136069114477</v>
      </c>
      <c r="Q113">
        <f t="shared" si="35"/>
        <v>58.800000000000004</v>
      </c>
      <c r="R113">
        <f t="shared" si="36"/>
        <v>756</v>
      </c>
      <c r="S113">
        <f t="shared" si="37"/>
        <v>332.64</v>
      </c>
      <c r="T113">
        <f t="shared" si="38"/>
        <v>45.36</v>
      </c>
      <c r="U113">
        <f>I113*E113/'[1]Inverter Analysis'!$L$2</f>
        <v>456.52460055461751</v>
      </c>
      <c r="V113">
        <f t="shared" si="39"/>
        <v>211.64021164021165</v>
      </c>
      <c r="W113">
        <f t="shared" si="40"/>
        <v>240.50024050024052</v>
      </c>
      <c r="X113">
        <f t="shared" si="41"/>
        <v>151.17157974300829</v>
      </c>
      <c r="Y113">
        <f t="shared" si="42"/>
        <v>0.34704219408404119</v>
      </c>
      <c r="Z113">
        <f t="shared" si="43"/>
        <v>7.515512650799999</v>
      </c>
    </row>
    <row r="114" spans="1:26" hidden="1">
      <c r="A114">
        <v>13</v>
      </c>
      <c r="B114" s="1">
        <v>6</v>
      </c>
      <c r="C114" s="1">
        <v>9</v>
      </c>
      <c r="D114">
        <f t="shared" si="22"/>
        <v>840</v>
      </c>
      <c r="E114">
        <f t="shared" si="23"/>
        <v>360</v>
      </c>
      <c r="F114">
        <f t="shared" si="24"/>
        <v>48.438000000000002</v>
      </c>
      <c r="G114">
        <f t="shared" si="25"/>
        <v>0.11700000000000001</v>
      </c>
      <c r="H114">
        <f t="shared" si="26"/>
        <v>176.904</v>
      </c>
      <c r="I114">
        <f t="shared" si="27"/>
        <v>491.40000000000003</v>
      </c>
      <c r="J114">
        <f t="shared" si="28"/>
        <v>351</v>
      </c>
      <c r="K114">
        <f t="shared" si="29"/>
        <v>126.36</v>
      </c>
      <c r="L114">
        <f t="shared" si="30"/>
        <v>11.646180000000001</v>
      </c>
      <c r="M114">
        <f t="shared" si="31"/>
        <v>11.20392</v>
      </c>
      <c r="N114">
        <f t="shared" si="32"/>
        <v>8.1081000000000003</v>
      </c>
      <c r="O114">
        <f t="shared" si="33"/>
        <v>8.2208329411764716</v>
      </c>
      <c r="P114">
        <f t="shared" si="34"/>
        <v>4.7170626349892011</v>
      </c>
      <c r="Q114">
        <f t="shared" si="35"/>
        <v>54.6</v>
      </c>
      <c r="R114">
        <f t="shared" si="36"/>
        <v>702</v>
      </c>
      <c r="S114">
        <f t="shared" si="37"/>
        <v>308.88</v>
      </c>
      <c r="T114">
        <f t="shared" si="38"/>
        <v>42.120000000000005</v>
      </c>
      <c r="U114">
        <f>I114*E114/'[1]Inverter Analysis'!$L$2</f>
        <v>423.9157005150019</v>
      </c>
      <c r="V114">
        <f t="shared" si="39"/>
        <v>227.92022792022792</v>
      </c>
      <c r="W114">
        <f t="shared" si="40"/>
        <v>259.00025900025901</v>
      </c>
      <c r="X114">
        <f t="shared" si="41"/>
        <v>162.80016280016278</v>
      </c>
      <c r="Y114">
        <f t="shared" si="42"/>
        <v>0.40248680497320743</v>
      </c>
      <c r="Z114">
        <f t="shared" si="43"/>
        <v>6.0173401216500002</v>
      </c>
    </row>
    <row r="115" spans="1:26" hidden="1">
      <c r="A115">
        <v>12</v>
      </c>
      <c r="B115" s="1">
        <v>6</v>
      </c>
      <c r="C115" s="1">
        <v>9</v>
      </c>
      <c r="D115">
        <f t="shared" si="22"/>
        <v>840</v>
      </c>
      <c r="E115">
        <f t="shared" si="23"/>
        <v>360</v>
      </c>
      <c r="F115">
        <f t="shared" si="24"/>
        <v>44.712000000000003</v>
      </c>
      <c r="G115">
        <f t="shared" si="25"/>
        <v>0.108</v>
      </c>
      <c r="H115">
        <f t="shared" si="26"/>
        <v>163.29599999999999</v>
      </c>
      <c r="I115">
        <f t="shared" si="27"/>
        <v>453.6</v>
      </c>
      <c r="J115">
        <f t="shared" si="28"/>
        <v>324</v>
      </c>
      <c r="K115">
        <f t="shared" si="29"/>
        <v>116.64</v>
      </c>
      <c r="L115">
        <f t="shared" si="30"/>
        <v>10.750320000000002</v>
      </c>
      <c r="M115">
        <f t="shared" si="31"/>
        <v>10.342079999999999</v>
      </c>
      <c r="N115">
        <f t="shared" si="32"/>
        <v>7.4844000000000008</v>
      </c>
      <c r="O115">
        <f t="shared" si="33"/>
        <v>7.5884611764705898</v>
      </c>
      <c r="P115">
        <f t="shared" si="34"/>
        <v>4.3542116630669554</v>
      </c>
      <c r="Q115">
        <f t="shared" si="35"/>
        <v>50.400000000000006</v>
      </c>
      <c r="R115">
        <f t="shared" si="36"/>
        <v>648</v>
      </c>
      <c r="S115">
        <f t="shared" si="37"/>
        <v>285.12</v>
      </c>
      <c r="T115">
        <f t="shared" si="38"/>
        <v>38.880000000000003</v>
      </c>
      <c r="U115">
        <f>I115*E115/'[1]Inverter Analysis'!$L$2</f>
        <v>391.30680047538635</v>
      </c>
      <c r="V115">
        <f t="shared" si="39"/>
        <v>246.91358024691357</v>
      </c>
      <c r="W115">
        <f t="shared" si="40"/>
        <v>280.58361391694723</v>
      </c>
      <c r="X115">
        <f t="shared" si="41"/>
        <v>176.3668430335097</v>
      </c>
      <c r="Y115">
        <f t="shared" si="42"/>
        <v>0.47236298639216701</v>
      </c>
      <c r="Z115">
        <f t="shared" si="43"/>
        <v>4.7328009696000013</v>
      </c>
    </row>
    <row r="116" spans="1:26" hidden="1">
      <c r="A116">
        <v>11</v>
      </c>
      <c r="B116" s="1">
        <v>6</v>
      </c>
      <c r="C116" s="1">
        <v>9</v>
      </c>
      <c r="D116">
        <f t="shared" si="22"/>
        <v>840</v>
      </c>
      <c r="E116">
        <f t="shared" si="23"/>
        <v>360</v>
      </c>
      <c r="F116">
        <f t="shared" si="24"/>
        <v>40.985999999999997</v>
      </c>
      <c r="G116">
        <f t="shared" si="25"/>
        <v>9.8999999999999991E-2</v>
      </c>
      <c r="H116">
        <f t="shared" si="26"/>
        <v>149.68799999999999</v>
      </c>
      <c r="I116">
        <f t="shared" si="27"/>
        <v>415.8</v>
      </c>
      <c r="J116">
        <f t="shared" si="28"/>
        <v>297</v>
      </c>
      <c r="K116">
        <f t="shared" si="29"/>
        <v>106.92</v>
      </c>
      <c r="L116">
        <f t="shared" si="30"/>
        <v>9.8544600000000013</v>
      </c>
      <c r="M116">
        <f t="shared" si="31"/>
        <v>9.4802400000000002</v>
      </c>
      <c r="N116">
        <f t="shared" si="32"/>
        <v>6.8607000000000005</v>
      </c>
      <c r="O116">
        <f t="shared" si="33"/>
        <v>6.9560894117647072</v>
      </c>
      <c r="P116">
        <f t="shared" si="34"/>
        <v>3.9913606911447084</v>
      </c>
      <c r="Q116">
        <f t="shared" si="35"/>
        <v>46.2</v>
      </c>
      <c r="R116">
        <f t="shared" si="36"/>
        <v>594</v>
      </c>
      <c r="S116">
        <f t="shared" si="37"/>
        <v>261.36</v>
      </c>
      <c r="T116">
        <f t="shared" si="38"/>
        <v>35.639999999999993</v>
      </c>
      <c r="U116">
        <f>I116*E116/'[1]Inverter Analysis'!$L$2</f>
        <v>358.69790043577086</v>
      </c>
      <c r="V116">
        <f t="shared" si="39"/>
        <v>269.36026936026934</v>
      </c>
      <c r="W116">
        <f t="shared" si="40"/>
        <v>306.09121518212424</v>
      </c>
      <c r="X116">
        <f t="shared" si="41"/>
        <v>192.4001924001924</v>
      </c>
      <c r="Y116">
        <f t="shared" si="42"/>
        <v>0.56215099207001684</v>
      </c>
      <c r="Z116">
        <f t="shared" si="43"/>
        <v>3.6454618579500009</v>
      </c>
    </row>
    <row r="117" spans="1:26" hidden="1">
      <c r="A117">
        <v>10</v>
      </c>
      <c r="B117" s="1">
        <v>6</v>
      </c>
      <c r="C117" s="1">
        <v>9</v>
      </c>
      <c r="D117">
        <f t="shared" si="22"/>
        <v>840</v>
      </c>
      <c r="E117">
        <f t="shared" si="23"/>
        <v>360</v>
      </c>
      <c r="F117">
        <f t="shared" si="24"/>
        <v>37.26</v>
      </c>
      <c r="G117">
        <f t="shared" si="25"/>
        <v>0.09</v>
      </c>
      <c r="H117">
        <f t="shared" si="26"/>
        <v>136.08000000000001</v>
      </c>
      <c r="I117">
        <f t="shared" si="27"/>
        <v>378</v>
      </c>
      <c r="J117">
        <f t="shared" si="28"/>
        <v>270</v>
      </c>
      <c r="K117">
        <f t="shared" si="29"/>
        <v>97.2</v>
      </c>
      <c r="L117">
        <f t="shared" si="30"/>
        <v>8.9586000000000006</v>
      </c>
      <c r="M117">
        <f t="shared" si="31"/>
        <v>8.6183999999999994</v>
      </c>
      <c r="N117">
        <f t="shared" si="32"/>
        <v>6.2370000000000001</v>
      </c>
      <c r="O117">
        <f t="shared" si="33"/>
        <v>6.3237176470588246</v>
      </c>
      <c r="P117">
        <f t="shared" si="34"/>
        <v>3.6285097192224622</v>
      </c>
      <c r="Q117">
        <f t="shared" si="35"/>
        <v>42</v>
      </c>
      <c r="R117">
        <f t="shared" si="36"/>
        <v>540</v>
      </c>
      <c r="S117">
        <f t="shared" si="37"/>
        <v>237.6</v>
      </c>
      <c r="T117">
        <f t="shared" si="38"/>
        <v>32.4</v>
      </c>
      <c r="U117">
        <f>I117*E117/'[1]Inverter Analysis'!$L$2</f>
        <v>326.08900039615531</v>
      </c>
      <c r="V117">
        <f t="shared" si="39"/>
        <v>296.2962962962963</v>
      </c>
      <c r="W117">
        <f t="shared" si="40"/>
        <v>336.70033670033672</v>
      </c>
      <c r="X117">
        <f t="shared" si="41"/>
        <v>211.64021164021165</v>
      </c>
      <c r="Y117">
        <f t="shared" si="42"/>
        <v>0.68020270040472075</v>
      </c>
      <c r="Z117">
        <f t="shared" si="43"/>
        <v>2.7388894499999994</v>
      </c>
    </row>
    <row r="118" spans="1:26" hidden="1">
      <c r="A118" s="8">
        <v>16</v>
      </c>
      <c r="B118" s="9">
        <v>5</v>
      </c>
      <c r="C118" s="1">
        <v>9</v>
      </c>
      <c r="D118">
        <f t="shared" si="22"/>
        <v>700</v>
      </c>
      <c r="E118">
        <f t="shared" si="23"/>
        <v>300</v>
      </c>
      <c r="F118">
        <f t="shared" si="24"/>
        <v>49.68</v>
      </c>
      <c r="G118">
        <f t="shared" si="25"/>
        <v>0.17280000000000001</v>
      </c>
      <c r="H118">
        <f t="shared" si="26"/>
        <v>181.44000000000003</v>
      </c>
      <c r="I118">
        <f t="shared" si="27"/>
        <v>604.80000000000007</v>
      </c>
      <c r="J118">
        <f t="shared" si="28"/>
        <v>432</v>
      </c>
      <c r="K118">
        <f t="shared" si="29"/>
        <v>129.6</v>
      </c>
      <c r="L118">
        <f t="shared" si="30"/>
        <v>11.944800000000003</v>
      </c>
      <c r="M118">
        <f t="shared" si="31"/>
        <v>11.491200000000001</v>
      </c>
      <c r="N118">
        <f t="shared" si="32"/>
        <v>8.3160000000000025</v>
      </c>
      <c r="O118">
        <f t="shared" si="33"/>
        <v>8.4316235294117678</v>
      </c>
      <c r="P118">
        <f t="shared" si="34"/>
        <v>4.8380129589632839</v>
      </c>
      <c r="Q118">
        <f t="shared" si="35"/>
        <v>67.2</v>
      </c>
      <c r="R118">
        <f t="shared" si="36"/>
        <v>720</v>
      </c>
      <c r="S118">
        <f t="shared" si="37"/>
        <v>380.15999999999997</v>
      </c>
      <c r="T118">
        <f t="shared" si="38"/>
        <v>51.84</v>
      </c>
      <c r="U118">
        <f>I118*E118/'[1]Inverter Analysis'!$L$2</f>
        <v>434.78533386154049</v>
      </c>
      <c r="V118">
        <f t="shared" si="39"/>
        <v>185.18518518518519</v>
      </c>
      <c r="W118">
        <f t="shared" si="40"/>
        <v>210.43771043771045</v>
      </c>
      <c r="X118">
        <f t="shared" si="41"/>
        <v>132.27513227513225</v>
      </c>
      <c r="Y118">
        <f t="shared" si="42"/>
        <v>0.26570417984559402</v>
      </c>
      <c r="Z118">
        <f t="shared" si="43"/>
        <v>9.3487426559999989</v>
      </c>
    </row>
    <row r="119" spans="1:26" hidden="1">
      <c r="A119" s="8">
        <v>15</v>
      </c>
      <c r="B119" s="9">
        <v>5</v>
      </c>
      <c r="C119" s="1">
        <v>9</v>
      </c>
      <c r="D119">
        <f t="shared" si="22"/>
        <v>700</v>
      </c>
      <c r="E119">
        <f t="shared" si="23"/>
        <v>300</v>
      </c>
      <c r="F119">
        <f t="shared" si="24"/>
        <v>46.575000000000003</v>
      </c>
      <c r="G119">
        <f t="shared" si="25"/>
        <v>0.16200000000000003</v>
      </c>
      <c r="H119">
        <f t="shared" si="26"/>
        <v>170.1</v>
      </c>
      <c r="I119">
        <f t="shared" si="27"/>
        <v>567</v>
      </c>
      <c r="J119">
        <f t="shared" si="28"/>
        <v>405</v>
      </c>
      <c r="K119">
        <f t="shared" si="29"/>
        <v>121.5</v>
      </c>
      <c r="L119">
        <f t="shared" si="30"/>
        <v>11.19825</v>
      </c>
      <c r="M119">
        <f t="shared" si="31"/>
        <v>10.773</v>
      </c>
      <c r="N119">
        <f t="shared" si="32"/>
        <v>7.7962499999999997</v>
      </c>
      <c r="O119">
        <f t="shared" si="33"/>
        <v>7.9046470588235298</v>
      </c>
      <c r="P119">
        <f t="shared" si="34"/>
        <v>4.5356371490280774</v>
      </c>
      <c r="Q119">
        <f t="shared" si="35"/>
        <v>63</v>
      </c>
      <c r="R119">
        <f t="shared" si="36"/>
        <v>675</v>
      </c>
      <c r="S119">
        <f t="shared" si="37"/>
        <v>356.4</v>
      </c>
      <c r="T119">
        <f t="shared" si="38"/>
        <v>48.600000000000009</v>
      </c>
      <c r="U119">
        <f>I119*E119/'[1]Inverter Analysis'!$L$2</f>
        <v>407.61125049519416</v>
      </c>
      <c r="V119">
        <f t="shared" si="39"/>
        <v>197.53086419753086</v>
      </c>
      <c r="W119">
        <f t="shared" si="40"/>
        <v>224.46689113355782</v>
      </c>
      <c r="X119">
        <f t="shared" si="41"/>
        <v>141.09347442680777</v>
      </c>
      <c r="Y119">
        <f t="shared" si="42"/>
        <v>0.30231231129098701</v>
      </c>
      <c r="Z119">
        <f t="shared" si="43"/>
        <v>7.7031265781249978</v>
      </c>
    </row>
    <row r="120" spans="1:26" hidden="1">
      <c r="A120">
        <v>14</v>
      </c>
      <c r="B120" s="9">
        <v>5</v>
      </c>
      <c r="C120" s="1">
        <v>9</v>
      </c>
      <c r="D120">
        <f t="shared" si="22"/>
        <v>700</v>
      </c>
      <c r="E120">
        <f t="shared" si="23"/>
        <v>300</v>
      </c>
      <c r="F120">
        <f t="shared" si="24"/>
        <v>43.47</v>
      </c>
      <c r="G120">
        <f t="shared" si="25"/>
        <v>0.15120000000000003</v>
      </c>
      <c r="H120">
        <f t="shared" si="26"/>
        <v>158.76</v>
      </c>
      <c r="I120">
        <f t="shared" si="27"/>
        <v>529.20000000000005</v>
      </c>
      <c r="J120">
        <f t="shared" si="28"/>
        <v>378</v>
      </c>
      <c r="K120">
        <f t="shared" si="29"/>
        <v>113.4</v>
      </c>
      <c r="L120">
        <f t="shared" si="30"/>
        <v>10.451700000000001</v>
      </c>
      <c r="M120">
        <f t="shared" si="31"/>
        <v>10.054799999999998</v>
      </c>
      <c r="N120">
        <f t="shared" si="32"/>
        <v>7.2765000000000013</v>
      </c>
      <c r="O120">
        <f t="shared" si="33"/>
        <v>7.3776705882352953</v>
      </c>
      <c r="P120">
        <f t="shared" si="34"/>
        <v>4.2332613390928726</v>
      </c>
      <c r="Q120">
        <f t="shared" si="35"/>
        <v>58.800000000000004</v>
      </c>
      <c r="R120">
        <f t="shared" si="36"/>
        <v>630</v>
      </c>
      <c r="S120">
        <f t="shared" si="37"/>
        <v>332.64</v>
      </c>
      <c r="T120">
        <f t="shared" si="38"/>
        <v>45.360000000000007</v>
      </c>
      <c r="U120">
        <f>I120*E120/'[1]Inverter Analysis'!$L$2</f>
        <v>380.43716712884788</v>
      </c>
      <c r="V120">
        <f t="shared" si="39"/>
        <v>211.64021164021165</v>
      </c>
      <c r="W120">
        <f t="shared" si="40"/>
        <v>240.50024050024052</v>
      </c>
      <c r="X120">
        <f t="shared" si="41"/>
        <v>151.17157974300829</v>
      </c>
      <c r="Y120">
        <f t="shared" si="42"/>
        <v>0.34704219408404119</v>
      </c>
      <c r="Z120">
        <f t="shared" si="43"/>
        <v>6.262927208999999</v>
      </c>
    </row>
    <row r="121" spans="1:26" hidden="1">
      <c r="A121">
        <v>13</v>
      </c>
      <c r="B121" s="9">
        <v>5</v>
      </c>
      <c r="C121" s="1">
        <v>9</v>
      </c>
      <c r="D121">
        <f t="shared" si="22"/>
        <v>700</v>
      </c>
      <c r="E121">
        <f t="shared" si="23"/>
        <v>300</v>
      </c>
      <c r="F121">
        <f t="shared" si="24"/>
        <v>40.365000000000002</v>
      </c>
      <c r="G121">
        <f t="shared" si="25"/>
        <v>0.1404</v>
      </c>
      <c r="H121">
        <f t="shared" si="26"/>
        <v>147.41999999999999</v>
      </c>
      <c r="I121">
        <f t="shared" si="27"/>
        <v>491.40000000000003</v>
      </c>
      <c r="J121">
        <f t="shared" si="28"/>
        <v>351</v>
      </c>
      <c r="K121">
        <f t="shared" si="29"/>
        <v>105.3</v>
      </c>
      <c r="L121">
        <f t="shared" si="30"/>
        <v>9.7051500000000015</v>
      </c>
      <c r="M121">
        <f t="shared" si="31"/>
        <v>9.3366000000000007</v>
      </c>
      <c r="N121">
        <f t="shared" si="32"/>
        <v>6.7567500000000011</v>
      </c>
      <c r="O121">
        <f t="shared" si="33"/>
        <v>6.8506941176470599</v>
      </c>
      <c r="P121">
        <f t="shared" si="34"/>
        <v>3.9308855291576674</v>
      </c>
      <c r="Q121">
        <f t="shared" si="35"/>
        <v>54.6</v>
      </c>
      <c r="R121">
        <f t="shared" si="36"/>
        <v>585</v>
      </c>
      <c r="S121">
        <f t="shared" si="37"/>
        <v>308.88</v>
      </c>
      <c r="T121">
        <f t="shared" si="38"/>
        <v>42.12</v>
      </c>
      <c r="U121">
        <f>I121*E121/'[1]Inverter Analysis'!$L$2</f>
        <v>353.26308376250159</v>
      </c>
      <c r="V121">
        <f t="shared" si="39"/>
        <v>227.92022792022792</v>
      </c>
      <c r="W121">
        <f t="shared" si="40"/>
        <v>259.00025900025901</v>
      </c>
      <c r="X121">
        <f t="shared" si="41"/>
        <v>162.80016280016278</v>
      </c>
      <c r="Y121">
        <f t="shared" si="42"/>
        <v>0.40248680497320743</v>
      </c>
      <c r="Z121">
        <f t="shared" si="43"/>
        <v>5.0144501013750009</v>
      </c>
    </row>
    <row r="122" spans="1:26" hidden="1">
      <c r="A122">
        <v>12</v>
      </c>
      <c r="B122" s="9">
        <v>5</v>
      </c>
      <c r="C122" s="1">
        <v>9</v>
      </c>
      <c r="D122">
        <f t="shared" si="22"/>
        <v>700</v>
      </c>
      <c r="E122">
        <f t="shared" si="23"/>
        <v>300</v>
      </c>
      <c r="F122">
        <f t="shared" si="24"/>
        <v>37.26</v>
      </c>
      <c r="G122">
        <f t="shared" si="25"/>
        <v>0.12960000000000002</v>
      </c>
      <c r="H122">
        <f t="shared" si="26"/>
        <v>136.08000000000001</v>
      </c>
      <c r="I122">
        <f t="shared" si="27"/>
        <v>453.6</v>
      </c>
      <c r="J122">
        <f t="shared" si="28"/>
        <v>324</v>
      </c>
      <c r="K122">
        <f t="shared" si="29"/>
        <v>97.2</v>
      </c>
      <c r="L122">
        <f t="shared" si="30"/>
        <v>8.9586000000000023</v>
      </c>
      <c r="M122">
        <f t="shared" si="31"/>
        <v>8.6183999999999994</v>
      </c>
      <c r="N122">
        <f t="shared" si="32"/>
        <v>6.2370000000000001</v>
      </c>
      <c r="O122">
        <f t="shared" si="33"/>
        <v>6.3237176470588254</v>
      </c>
      <c r="P122">
        <f t="shared" si="34"/>
        <v>3.6285097192224622</v>
      </c>
      <c r="Q122">
        <f t="shared" si="35"/>
        <v>50.400000000000006</v>
      </c>
      <c r="R122">
        <f t="shared" si="36"/>
        <v>540</v>
      </c>
      <c r="S122">
        <f t="shared" si="37"/>
        <v>285.12</v>
      </c>
      <c r="T122">
        <f t="shared" si="38"/>
        <v>38.88000000000001</v>
      </c>
      <c r="U122">
        <f>I122*E122/'[1]Inverter Analysis'!$L$2</f>
        <v>326.08900039615531</v>
      </c>
      <c r="V122">
        <f t="shared" si="39"/>
        <v>246.91358024691357</v>
      </c>
      <c r="W122">
        <f t="shared" si="40"/>
        <v>280.58361391694723</v>
      </c>
      <c r="X122">
        <f t="shared" si="41"/>
        <v>176.3668430335097</v>
      </c>
      <c r="Y122">
        <f t="shared" si="42"/>
        <v>0.47236298639216701</v>
      </c>
      <c r="Z122">
        <f t="shared" si="43"/>
        <v>3.9440008080000006</v>
      </c>
    </row>
    <row r="123" spans="1:26" hidden="1">
      <c r="A123">
        <v>11</v>
      </c>
      <c r="B123" s="9">
        <v>5</v>
      </c>
      <c r="C123" s="1">
        <v>9</v>
      </c>
      <c r="D123">
        <f t="shared" si="22"/>
        <v>700</v>
      </c>
      <c r="E123">
        <f t="shared" si="23"/>
        <v>300</v>
      </c>
      <c r="F123">
        <f t="shared" si="24"/>
        <v>34.155000000000001</v>
      </c>
      <c r="G123">
        <f t="shared" si="25"/>
        <v>0.11880000000000002</v>
      </c>
      <c r="H123">
        <f t="shared" si="26"/>
        <v>124.74</v>
      </c>
      <c r="I123">
        <f t="shared" si="27"/>
        <v>415.8</v>
      </c>
      <c r="J123">
        <f t="shared" si="28"/>
        <v>297</v>
      </c>
      <c r="K123">
        <f t="shared" si="29"/>
        <v>89.1</v>
      </c>
      <c r="L123">
        <f t="shared" si="30"/>
        <v>8.2120500000000014</v>
      </c>
      <c r="M123">
        <f t="shared" si="31"/>
        <v>7.9001999999999999</v>
      </c>
      <c r="N123">
        <f t="shared" si="32"/>
        <v>5.7172499999999999</v>
      </c>
      <c r="O123">
        <f t="shared" si="33"/>
        <v>5.7967411764705892</v>
      </c>
      <c r="P123">
        <f t="shared" si="34"/>
        <v>3.3261339092872566</v>
      </c>
      <c r="Q123">
        <f t="shared" si="35"/>
        <v>46.2</v>
      </c>
      <c r="R123">
        <f t="shared" si="36"/>
        <v>495</v>
      </c>
      <c r="S123">
        <f t="shared" si="37"/>
        <v>261.36</v>
      </c>
      <c r="T123">
        <f t="shared" si="38"/>
        <v>35.640000000000008</v>
      </c>
      <c r="U123">
        <f>I123*E123/'[1]Inverter Analysis'!$L$2</f>
        <v>298.91491702980903</v>
      </c>
      <c r="V123">
        <f t="shared" si="39"/>
        <v>269.36026936026934</v>
      </c>
      <c r="W123">
        <f t="shared" si="40"/>
        <v>306.09121518212424</v>
      </c>
      <c r="X123">
        <f t="shared" si="41"/>
        <v>192.4001924001924</v>
      </c>
      <c r="Y123">
        <f t="shared" si="42"/>
        <v>0.56215099207001684</v>
      </c>
      <c r="Z123">
        <f t="shared" si="43"/>
        <v>3.037884881625001</v>
      </c>
    </row>
    <row r="124" spans="1:26" hidden="1">
      <c r="A124">
        <v>10</v>
      </c>
      <c r="B124" s="9">
        <v>5</v>
      </c>
      <c r="C124" s="1">
        <v>9</v>
      </c>
      <c r="D124">
        <f t="shared" si="22"/>
        <v>700</v>
      </c>
      <c r="E124">
        <f t="shared" si="23"/>
        <v>300</v>
      </c>
      <c r="F124">
        <f t="shared" si="24"/>
        <v>31.05</v>
      </c>
      <c r="G124">
        <f t="shared" si="25"/>
        <v>0.108</v>
      </c>
      <c r="H124">
        <f t="shared" si="26"/>
        <v>113.4</v>
      </c>
      <c r="I124">
        <f t="shared" si="27"/>
        <v>378</v>
      </c>
      <c r="J124">
        <f t="shared" si="28"/>
        <v>270</v>
      </c>
      <c r="K124">
        <f t="shared" si="29"/>
        <v>81</v>
      </c>
      <c r="L124">
        <f t="shared" si="30"/>
        <v>7.4655000000000005</v>
      </c>
      <c r="M124">
        <f t="shared" si="31"/>
        <v>7.1819999999999995</v>
      </c>
      <c r="N124">
        <f t="shared" si="32"/>
        <v>5.1974999999999998</v>
      </c>
      <c r="O124">
        <f t="shared" si="33"/>
        <v>5.2697647058823538</v>
      </c>
      <c r="P124">
        <f t="shared" si="34"/>
        <v>3.0237580993520519</v>
      </c>
      <c r="Q124">
        <f t="shared" si="35"/>
        <v>42</v>
      </c>
      <c r="R124">
        <f t="shared" si="36"/>
        <v>450</v>
      </c>
      <c r="S124">
        <f t="shared" si="37"/>
        <v>237.6</v>
      </c>
      <c r="T124">
        <f t="shared" si="38"/>
        <v>32.4</v>
      </c>
      <c r="U124">
        <f>I124*E124/'[1]Inverter Analysis'!$L$2</f>
        <v>271.74083366346275</v>
      </c>
      <c r="V124">
        <f t="shared" si="39"/>
        <v>296.2962962962963</v>
      </c>
      <c r="W124">
        <f t="shared" si="40"/>
        <v>336.70033670033672</v>
      </c>
      <c r="X124">
        <f t="shared" si="41"/>
        <v>211.64021164021165</v>
      </c>
      <c r="Y124">
        <f t="shared" si="42"/>
        <v>0.68020270040472075</v>
      </c>
      <c r="Z124">
        <f t="shared" si="43"/>
        <v>2.2824078749999996</v>
      </c>
    </row>
    <row r="125" spans="1:26" hidden="1">
      <c r="A125">
        <v>16</v>
      </c>
      <c r="B125">
        <v>4</v>
      </c>
      <c r="C125" s="1">
        <v>9</v>
      </c>
      <c r="D125">
        <f t="shared" si="22"/>
        <v>560</v>
      </c>
      <c r="E125">
        <f t="shared" si="23"/>
        <v>240</v>
      </c>
      <c r="F125">
        <f t="shared" si="24"/>
        <v>39.744</v>
      </c>
      <c r="G125">
        <f t="shared" si="25"/>
        <v>0.216</v>
      </c>
      <c r="H125">
        <f t="shared" si="26"/>
        <v>145.15200000000002</v>
      </c>
      <c r="I125">
        <f t="shared" si="27"/>
        <v>604.80000000000007</v>
      </c>
      <c r="J125">
        <f t="shared" si="28"/>
        <v>432</v>
      </c>
      <c r="K125">
        <f t="shared" si="29"/>
        <v>103.68</v>
      </c>
      <c r="L125">
        <f t="shared" si="30"/>
        <v>9.5558400000000017</v>
      </c>
      <c r="M125">
        <f t="shared" si="31"/>
        <v>9.1929600000000011</v>
      </c>
      <c r="N125">
        <f t="shared" si="32"/>
        <v>6.6528000000000009</v>
      </c>
      <c r="O125">
        <f t="shared" si="33"/>
        <v>6.7452988235294136</v>
      </c>
      <c r="P125">
        <f t="shared" si="34"/>
        <v>3.8704103671706269</v>
      </c>
      <c r="Q125">
        <f t="shared" si="35"/>
        <v>67.2</v>
      </c>
      <c r="R125">
        <f t="shared" si="36"/>
        <v>576</v>
      </c>
      <c r="S125">
        <f t="shared" si="37"/>
        <v>380.16</v>
      </c>
      <c r="T125">
        <f t="shared" si="38"/>
        <v>51.839999999999996</v>
      </c>
      <c r="U125">
        <f>I125*E125/'[1]Inverter Analysis'!$L$2</f>
        <v>347.82826708923238</v>
      </c>
      <c r="V125">
        <f t="shared" si="39"/>
        <v>185.18518518518519</v>
      </c>
      <c r="W125">
        <f t="shared" si="40"/>
        <v>210.43771043771042</v>
      </c>
      <c r="X125">
        <f t="shared" si="41"/>
        <v>132.27513227513225</v>
      </c>
      <c r="Y125">
        <f t="shared" si="42"/>
        <v>0.26570417984559397</v>
      </c>
      <c r="Z125">
        <f t="shared" si="43"/>
        <v>7.4789941248000016</v>
      </c>
    </row>
    <row r="126" spans="1:26" hidden="1">
      <c r="A126">
        <v>15</v>
      </c>
      <c r="B126">
        <v>4</v>
      </c>
      <c r="C126" s="1">
        <v>9</v>
      </c>
      <c r="D126">
        <f t="shared" si="22"/>
        <v>560</v>
      </c>
      <c r="E126">
        <f t="shared" si="23"/>
        <v>240</v>
      </c>
      <c r="F126">
        <f t="shared" si="24"/>
        <v>37.26</v>
      </c>
      <c r="G126">
        <f t="shared" si="25"/>
        <v>0.20249999999999999</v>
      </c>
      <c r="H126">
        <f t="shared" si="26"/>
        <v>136.08000000000001</v>
      </c>
      <c r="I126">
        <f t="shared" si="27"/>
        <v>567</v>
      </c>
      <c r="J126">
        <f t="shared" si="28"/>
        <v>405</v>
      </c>
      <c r="K126">
        <f t="shared" si="29"/>
        <v>97.2</v>
      </c>
      <c r="L126">
        <f t="shared" si="30"/>
        <v>8.9586000000000006</v>
      </c>
      <c r="M126">
        <f t="shared" si="31"/>
        <v>8.6183999999999994</v>
      </c>
      <c r="N126">
        <f t="shared" si="32"/>
        <v>6.2370000000000001</v>
      </c>
      <c r="O126">
        <f t="shared" si="33"/>
        <v>6.3237176470588246</v>
      </c>
      <c r="P126">
        <f t="shared" si="34"/>
        <v>3.6285097192224622</v>
      </c>
      <c r="Q126">
        <f t="shared" si="35"/>
        <v>63</v>
      </c>
      <c r="R126">
        <f t="shared" si="36"/>
        <v>540</v>
      </c>
      <c r="S126">
        <f t="shared" si="37"/>
        <v>356.4</v>
      </c>
      <c r="T126">
        <f t="shared" si="38"/>
        <v>48.599999999999994</v>
      </c>
      <c r="U126">
        <f>I126*E126/'[1]Inverter Analysis'!$L$2</f>
        <v>326.08900039615531</v>
      </c>
      <c r="V126">
        <f t="shared" si="39"/>
        <v>197.53086419753086</v>
      </c>
      <c r="W126">
        <f t="shared" si="40"/>
        <v>224.46689113355782</v>
      </c>
      <c r="X126">
        <f t="shared" si="41"/>
        <v>141.09347442680777</v>
      </c>
      <c r="Y126">
        <f t="shared" si="42"/>
        <v>0.30231231129098701</v>
      </c>
      <c r="Z126">
        <f t="shared" si="43"/>
        <v>6.1625012624999984</v>
      </c>
    </row>
    <row r="127" spans="1:26" hidden="1">
      <c r="A127">
        <v>14</v>
      </c>
      <c r="B127">
        <v>4</v>
      </c>
      <c r="C127" s="1">
        <v>9</v>
      </c>
      <c r="D127">
        <f t="shared" si="22"/>
        <v>560</v>
      </c>
      <c r="E127">
        <f t="shared" si="23"/>
        <v>240</v>
      </c>
      <c r="F127">
        <f t="shared" si="24"/>
        <v>34.776000000000003</v>
      </c>
      <c r="G127">
        <f t="shared" si="25"/>
        <v>0.189</v>
      </c>
      <c r="H127">
        <f t="shared" si="26"/>
        <v>127.00800000000001</v>
      </c>
      <c r="I127">
        <f t="shared" si="27"/>
        <v>529.20000000000005</v>
      </c>
      <c r="J127">
        <f t="shared" si="28"/>
        <v>378</v>
      </c>
      <c r="K127">
        <f t="shared" si="29"/>
        <v>90.72</v>
      </c>
      <c r="L127">
        <f t="shared" si="30"/>
        <v>8.3613600000000012</v>
      </c>
      <c r="M127">
        <f t="shared" si="31"/>
        <v>8.0438399999999994</v>
      </c>
      <c r="N127">
        <f t="shared" si="32"/>
        <v>5.821200000000001</v>
      </c>
      <c r="O127">
        <f t="shared" si="33"/>
        <v>5.9021364705882364</v>
      </c>
      <c r="P127">
        <f t="shared" si="34"/>
        <v>3.3866090712742984</v>
      </c>
      <c r="Q127">
        <f t="shared" si="35"/>
        <v>58.800000000000004</v>
      </c>
      <c r="R127">
        <f t="shared" si="36"/>
        <v>504</v>
      </c>
      <c r="S127">
        <f t="shared" si="37"/>
        <v>332.64</v>
      </c>
      <c r="T127">
        <f t="shared" si="38"/>
        <v>45.36</v>
      </c>
      <c r="U127">
        <f>I127*E127/'[1]Inverter Analysis'!$L$2</f>
        <v>304.3497337030783</v>
      </c>
      <c r="V127">
        <f t="shared" si="39"/>
        <v>211.64021164021165</v>
      </c>
      <c r="W127">
        <f t="shared" si="40"/>
        <v>240.50024050024052</v>
      </c>
      <c r="X127">
        <f t="shared" si="41"/>
        <v>151.17157974300829</v>
      </c>
      <c r="Y127">
        <f t="shared" si="42"/>
        <v>0.34704219408404119</v>
      </c>
      <c r="Z127">
        <f t="shared" si="43"/>
        <v>5.0103417672000008</v>
      </c>
    </row>
    <row r="128" spans="1:26" hidden="1">
      <c r="A128">
        <v>13</v>
      </c>
      <c r="B128">
        <v>4</v>
      </c>
      <c r="C128" s="1">
        <v>9</v>
      </c>
      <c r="D128">
        <f t="shared" si="22"/>
        <v>560</v>
      </c>
      <c r="E128">
        <f t="shared" si="23"/>
        <v>240</v>
      </c>
      <c r="F128">
        <f t="shared" si="24"/>
        <v>32.292000000000002</v>
      </c>
      <c r="G128">
        <f t="shared" si="25"/>
        <v>0.17549999999999999</v>
      </c>
      <c r="H128">
        <f t="shared" si="26"/>
        <v>117.93600000000002</v>
      </c>
      <c r="I128">
        <f t="shared" si="27"/>
        <v>491.40000000000003</v>
      </c>
      <c r="J128">
        <f t="shared" si="28"/>
        <v>351</v>
      </c>
      <c r="K128">
        <f t="shared" si="29"/>
        <v>84.24</v>
      </c>
      <c r="L128">
        <f t="shared" si="30"/>
        <v>7.764120000000001</v>
      </c>
      <c r="M128">
        <f t="shared" si="31"/>
        <v>7.4692799999999995</v>
      </c>
      <c r="N128">
        <f t="shared" si="32"/>
        <v>5.4054000000000002</v>
      </c>
      <c r="O128">
        <f t="shared" si="33"/>
        <v>5.4805552941176483</v>
      </c>
      <c r="P128">
        <f t="shared" si="34"/>
        <v>3.1447084233261342</v>
      </c>
      <c r="Q128">
        <f t="shared" si="35"/>
        <v>54.6</v>
      </c>
      <c r="R128">
        <f t="shared" si="36"/>
        <v>468</v>
      </c>
      <c r="S128">
        <f t="shared" si="37"/>
        <v>308.88</v>
      </c>
      <c r="T128">
        <f t="shared" si="38"/>
        <v>42.12</v>
      </c>
      <c r="U128">
        <f>I128*E128/'[1]Inverter Analysis'!$L$2</f>
        <v>282.61046701000129</v>
      </c>
      <c r="V128">
        <f t="shared" si="39"/>
        <v>227.92022792022792</v>
      </c>
      <c r="W128">
        <f t="shared" si="40"/>
        <v>259.00025900025901</v>
      </c>
      <c r="X128">
        <f t="shared" si="41"/>
        <v>162.80016280016278</v>
      </c>
      <c r="Y128">
        <f t="shared" si="42"/>
        <v>0.40248680497320743</v>
      </c>
      <c r="Z128">
        <f t="shared" si="43"/>
        <v>4.0115600811000007</v>
      </c>
    </row>
    <row r="129" spans="1:26" hidden="1">
      <c r="A129">
        <v>12</v>
      </c>
      <c r="B129">
        <v>4</v>
      </c>
      <c r="C129" s="1">
        <v>9</v>
      </c>
      <c r="D129">
        <f t="shared" si="22"/>
        <v>560</v>
      </c>
      <c r="E129">
        <f t="shared" si="23"/>
        <v>240</v>
      </c>
      <c r="F129">
        <f t="shared" si="24"/>
        <v>29.808</v>
      </c>
      <c r="G129">
        <f t="shared" si="25"/>
        <v>0.16200000000000003</v>
      </c>
      <c r="H129">
        <f t="shared" si="26"/>
        <v>108.864</v>
      </c>
      <c r="I129">
        <f t="shared" si="27"/>
        <v>453.6</v>
      </c>
      <c r="J129">
        <f t="shared" si="28"/>
        <v>324</v>
      </c>
      <c r="K129">
        <f t="shared" si="29"/>
        <v>77.760000000000005</v>
      </c>
      <c r="L129">
        <f t="shared" si="30"/>
        <v>7.1668800000000008</v>
      </c>
      <c r="M129">
        <f t="shared" si="31"/>
        <v>6.8947200000000004</v>
      </c>
      <c r="N129">
        <f t="shared" si="32"/>
        <v>4.9896000000000003</v>
      </c>
      <c r="O129">
        <f t="shared" si="33"/>
        <v>5.0589741176470593</v>
      </c>
      <c r="P129">
        <f t="shared" si="34"/>
        <v>2.90280777537797</v>
      </c>
      <c r="Q129">
        <f t="shared" si="35"/>
        <v>50.400000000000006</v>
      </c>
      <c r="R129">
        <f t="shared" si="36"/>
        <v>432</v>
      </c>
      <c r="S129">
        <f t="shared" si="37"/>
        <v>285.12</v>
      </c>
      <c r="T129">
        <f t="shared" si="38"/>
        <v>38.88000000000001</v>
      </c>
      <c r="U129">
        <f>I129*E129/'[1]Inverter Analysis'!$L$2</f>
        <v>260.87120031692422</v>
      </c>
      <c r="V129">
        <f t="shared" si="39"/>
        <v>246.91358024691357</v>
      </c>
      <c r="W129">
        <f t="shared" si="40"/>
        <v>280.58361391694723</v>
      </c>
      <c r="X129">
        <f t="shared" si="41"/>
        <v>176.3668430335097</v>
      </c>
      <c r="Y129">
        <f t="shared" si="42"/>
        <v>0.47236298639216701</v>
      </c>
      <c r="Z129">
        <f t="shared" si="43"/>
        <v>3.1552006464000004</v>
      </c>
    </row>
    <row r="130" spans="1:26" hidden="1">
      <c r="A130">
        <v>11</v>
      </c>
      <c r="B130">
        <v>4</v>
      </c>
      <c r="C130" s="1">
        <v>9</v>
      </c>
      <c r="D130">
        <f t="shared" si="22"/>
        <v>560</v>
      </c>
      <c r="E130">
        <f t="shared" si="23"/>
        <v>240</v>
      </c>
      <c r="F130">
        <f t="shared" si="24"/>
        <v>27.324000000000002</v>
      </c>
      <c r="G130">
        <f t="shared" si="25"/>
        <v>0.14850000000000002</v>
      </c>
      <c r="H130">
        <f t="shared" si="26"/>
        <v>99.792000000000002</v>
      </c>
      <c r="I130">
        <f t="shared" si="27"/>
        <v>415.8</v>
      </c>
      <c r="J130">
        <f t="shared" si="28"/>
        <v>297</v>
      </c>
      <c r="K130">
        <f t="shared" si="29"/>
        <v>71.28</v>
      </c>
      <c r="L130">
        <f t="shared" si="30"/>
        <v>6.5696400000000006</v>
      </c>
      <c r="M130">
        <f t="shared" si="31"/>
        <v>6.3201599999999996</v>
      </c>
      <c r="N130">
        <f t="shared" si="32"/>
        <v>4.5738000000000003</v>
      </c>
      <c r="O130">
        <f t="shared" si="33"/>
        <v>4.6373929411764712</v>
      </c>
      <c r="P130">
        <f t="shared" si="34"/>
        <v>2.6609071274298057</v>
      </c>
      <c r="Q130">
        <f t="shared" si="35"/>
        <v>46.2</v>
      </c>
      <c r="R130">
        <f t="shared" si="36"/>
        <v>396</v>
      </c>
      <c r="S130">
        <f t="shared" si="37"/>
        <v>261.36</v>
      </c>
      <c r="T130">
        <f t="shared" si="38"/>
        <v>35.640000000000008</v>
      </c>
      <c r="U130">
        <f>I130*E130/'[1]Inverter Analysis'!$L$2</f>
        <v>239.13193362384723</v>
      </c>
      <c r="V130">
        <f t="shared" si="39"/>
        <v>269.36026936026934</v>
      </c>
      <c r="W130">
        <f t="shared" si="40"/>
        <v>306.09121518212424</v>
      </c>
      <c r="X130">
        <f t="shared" si="41"/>
        <v>192.4001924001924</v>
      </c>
      <c r="Y130">
        <f t="shared" si="42"/>
        <v>0.56215099207001684</v>
      </c>
      <c r="Z130">
        <f t="shared" si="43"/>
        <v>2.4303079053000012</v>
      </c>
    </row>
    <row r="131" spans="1:26" hidden="1">
      <c r="A131">
        <v>10</v>
      </c>
      <c r="B131">
        <v>4</v>
      </c>
      <c r="C131" s="1">
        <v>9</v>
      </c>
      <c r="D131">
        <f t="shared" si="22"/>
        <v>560</v>
      </c>
      <c r="E131">
        <f t="shared" si="23"/>
        <v>240</v>
      </c>
      <c r="F131">
        <f t="shared" si="24"/>
        <v>24.84</v>
      </c>
      <c r="G131">
        <f t="shared" si="25"/>
        <v>0.13500000000000001</v>
      </c>
      <c r="H131">
        <f t="shared" si="26"/>
        <v>90.72</v>
      </c>
      <c r="I131">
        <f t="shared" si="27"/>
        <v>378</v>
      </c>
      <c r="J131">
        <f t="shared" si="28"/>
        <v>270</v>
      </c>
      <c r="K131">
        <f t="shared" si="29"/>
        <v>64.8</v>
      </c>
      <c r="L131">
        <f t="shared" si="30"/>
        <v>5.9724000000000004</v>
      </c>
      <c r="M131">
        <f t="shared" si="31"/>
        <v>5.7455999999999996</v>
      </c>
      <c r="N131">
        <f t="shared" si="32"/>
        <v>4.1580000000000004</v>
      </c>
      <c r="O131">
        <f t="shared" si="33"/>
        <v>4.215811764705883</v>
      </c>
      <c r="P131">
        <f t="shared" si="34"/>
        <v>2.4190064794816415</v>
      </c>
      <c r="Q131">
        <f t="shared" si="35"/>
        <v>42</v>
      </c>
      <c r="R131">
        <f t="shared" si="36"/>
        <v>360</v>
      </c>
      <c r="S131">
        <f t="shared" si="37"/>
        <v>237.6</v>
      </c>
      <c r="T131">
        <f t="shared" si="38"/>
        <v>32.400000000000006</v>
      </c>
      <c r="U131">
        <f>I131*E131/'[1]Inverter Analysis'!$L$2</f>
        <v>217.39266693077019</v>
      </c>
      <c r="V131">
        <f t="shared" si="39"/>
        <v>296.2962962962963</v>
      </c>
      <c r="W131">
        <f t="shared" si="40"/>
        <v>336.70033670033672</v>
      </c>
      <c r="X131">
        <f t="shared" si="41"/>
        <v>211.64021164021165</v>
      </c>
      <c r="Y131">
        <f t="shared" si="42"/>
        <v>0.68020270040472075</v>
      </c>
      <c r="Z131">
        <f t="shared" si="43"/>
        <v>1.8259262999999994</v>
      </c>
    </row>
    <row r="132" spans="1:26" hidden="1">
      <c r="A132">
        <v>16</v>
      </c>
      <c r="B132">
        <v>3</v>
      </c>
      <c r="C132" s="1">
        <v>9</v>
      </c>
      <c r="D132">
        <f t="shared" si="22"/>
        <v>420</v>
      </c>
      <c r="E132">
        <f t="shared" si="23"/>
        <v>180</v>
      </c>
      <c r="F132">
        <f t="shared" si="24"/>
        <v>29.808</v>
      </c>
      <c r="G132">
        <f t="shared" si="25"/>
        <v>0.28800000000000003</v>
      </c>
      <c r="H132">
        <f t="shared" si="26"/>
        <v>108.86400000000002</v>
      </c>
      <c r="I132">
        <f t="shared" si="27"/>
        <v>604.80000000000007</v>
      </c>
      <c r="J132">
        <f t="shared" si="28"/>
        <v>432</v>
      </c>
      <c r="K132">
        <f t="shared" si="29"/>
        <v>77.760000000000005</v>
      </c>
      <c r="L132">
        <f t="shared" si="30"/>
        <v>7.1668800000000008</v>
      </c>
      <c r="M132">
        <f t="shared" si="31"/>
        <v>6.8947200000000013</v>
      </c>
      <c r="N132">
        <f t="shared" si="32"/>
        <v>4.9896000000000003</v>
      </c>
      <c r="O132">
        <f t="shared" si="33"/>
        <v>5.0589741176470593</v>
      </c>
      <c r="P132">
        <f t="shared" si="34"/>
        <v>2.90280777537797</v>
      </c>
      <c r="Q132">
        <f t="shared" si="35"/>
        <v>67.2</v>
      </c>
      <c r="R132">
        <f t="shared" si="36"/>
        <v>432</v>
      </c>
      <c r="S132">
        <f t="shared" si="37"/>
        <v>380.15999999999997</v>
      </c>
      <c r="T132">
        <f t="shared" si="38"/>
        <v>51.84</v>
      </c>
      <c r="U132">
        <f>I132*E132/'[1]Inverter Analysis'!$L$2</f>
        <v>260.87120031692427</v>
      </c>
      <c r="V132">
        <f t="shared" si="39"/>
        <v>185.18518518518519</v>
      </c>
      <c r="W132">
        <f t="shared" si="40"/>
        <v>210.43771043771045</v>
      </c>
      <c r="X132">
        <f t="shared" si="41"/>
        <v>132.27513227513225</v>
      </c>
      <c r="Y132">
        <f t="shared" si="42"/>
        <v>0.26570417984559402</v>
      </c>
      <c r="Z132">
        <f t="shared" si="43"/>
        <v>5.6092455935999999</v>
      </c>
    </row>
    <row r="133" spans="1:26" hidden="1">
      <c r="A133">
        <v>15</v>
      </c>
      <c r="B133">
        <v>3</v>
      </c>
      <c r="C133" s="1">
        <v>9</v>
      </c>
      <c r="D133">
        <f t="shared" si="22"/>
        <v>420</v>
      </c>
      <c r="E133">
        <f t="shared" si="23"/>
        <v>180</v>
      </c>
      <c r="F133">
        <f t="shared" si="24"/>
        <v>27.945</v>
      </c>
      <c r="G133">
        <f t="shared" si="25"/>
        <v>0.27</v>
      </c>
      <c r="H133">
        <f t="shared" si="26"/>
        <v>102.06</v>
      </c>
      <c r="I133">
        <f t="shared" si="27"/>
        <v>567</v>
      </c>
      <c r="J133">
        <f t="shared" si="28"/>
        <v>405</v>
      </c>
      <c r="K133">
        <f t="shared" si="29"/>
        <v>72.900000000000006</v>
      </c>
      <c r="L133">
        <f t="shared" si="30"/>
        <v>6.7189500000000004</v>
      </c>
      <c r="M133">
        <f t="shared" si="31"/>
        <v>6.4637999999999991</v>
      </c>
      <c r="N133">
        <f t="shared" si="32"/>
        <v>4.6777499999999996</v>
      </c>
      <c r="O133">
        <f t="shared" si="33"/>
        <v>4.7427882352941184</v>
      </c>
      <c r="P133">
        <f t="shared" si="34"/>
        <v>2.7213822894168462</v>
      </c>
      <c r="Q133">
        <f t="shared" si="35"/>
        <v>63</v>
      </c>
      <c r="R133">
        <f t="shared" si="36"/>
        <v>405</v>
      </c>
      <c r="S133">
        <f t="shared" si="37"/>
        <v>356.4</v>
      </c>
      <c r="T133">
        <f t="shared" si="38"/>
        <v>48.6</v>
      </c>
      <c r="U133">
        <f>I133*E133/'[1]Inverter Analysis'!$L$2</f>
        <v>244.56675029711647</v>
      </c>
      <c r="V133">
        <f t="shared" si="39"/>
        <v>197.53086419753086</v>
      </c>
      <c r="W133">
        <f t="shared" si="40"/>
        <v>224.46689113355782</v>
      </c>
      <c r="X133">
        <f t="shared" si="41"/>
        <v>141.09347442680777</v>
      </c>
      <c r="Y133">
        <f t="shared" si="42"/>
        <v>0.30231231129098701</v>
      </c>
      <c r="Z133">
        <f t="shared" si="43"/>
        <v>4.621875946874999</v>
      </c>
    </row>
    <row r="134" spans="1:26">
      <c r="A134">
        <v>14</v>
      </c>
      <c r="B134">
        <v>3</v>
      </c>
      <c r="C134" s="1">
        <v>9</v>
      </c>
      <c r="D134">
        <f t="shared" si="22"/>
        <v>420</v>
      </c>
      <c r="E134">
        <f t="shared" si="23"/>
        <v>180</v>
      </c>
      <c r="F134">
        <f t="shared" si="24"/>
        <v>26.082000000000001</v>
      </c>
      <c r="G134">
        <f t="shared" si="25"/>
        <v>0.252</v>
      </c>
      <c r="H134">
        <f t="shared" si="26"/>
        <v>95.256000000000014</v>
      </c>
      <c r="I134">
        <f t="shared" si="27"/>
        <v>529.20000000000005</v>
      </c>
      <c r="J134">
        <f t="shared" si="28"/>
        <v>378</v>
      </c>
      <c r="K134">
        <f t="shared" si="29"/>
        <v>68.040000000000006</v>
      </c>
      <c r="L134">
        <f t="shared" si="30"/>
        <v>6.27102</v>
      </c>
      <c r="M134">
        <f t="shared" si="31"/>
        <v>6.0328800000000005</v>
      </c>
      <c r="N134">
        <f t="shared" si="32"/>
        <v>4.3659000000000008</v>
      </c>
      <c r="O134">
        <f t="shared" si="33"/>
        <v>4.4266023529411767</v>
      </c>
      <c r="P134">
        <f t="shared" si="34"/>
        <v>2.5399568034557238</v>
      </c>
      <c r="Q134">
        <f t="shared" si="35"/>
        <v>58.800000000000004</v>
      </c>
      <c r="R134">
        <f t="shared" si="36"/>
        <v>378</v>
      </c>
      <c r="S134">
        <f t="shared" si="37"/>
        <v>332.64</v>
      </c>
      <c r="T134">
        <f t="shared" si="38"/>
        <v>45.36</v>
      </c>
      <c r="U134">
        <f>I134*E134/'[1]Inverter Analysis'!$L$2</f>
        <v>228.26230027730875</v>
      </c>
      <c r="V134">
        <f t="shared" si="39"/>
        <v>211.64021164021165</v>
      </c>
      <c r="W134">
        <f t="shared" si="40"/>
        <v>240.50024050024052</v>
      </c>
      <c r="X134">
        <f t="shared" si="41"/>
        <v>151.17157974300829</v>
      </c>
      <c r="Y134">
        <f t="shared" si="42"/>
        <v>0.34704219408404119</v>
      </c>
      <c r="Z134">
        <f t="shared" si="43"/>
        <v>3.7577563253999995</v>
      </c>
    </row>
    <row r="135" spans="1:26" hidden="1">
      <c r="A135">
        <v>13</v>
      </c>
      <c r="B135">
        <v>3</v>
      </c>
      <c r="C135" s="1">
        <v>9</v>
      </c>
      <c r="D135">
        <f t="shared" ref="D135:D198" si="44">B135*$J$3</f>
        <v>420</v>
      </c>
      <c r="E135">
        <f t="shared" ref="E135:E198" si="45">B135*$I$3</f>
        <v>180</v>
      </c>
      <c r="F135">
        <f t="shared" ref="F135:F198" si="46">A135*B135*C135*$Q$3/1000</f>
        <v>24.219000000000001</v>
      </c>
      <c r="G135">
        <f t="shared" ref="G135:G198" si="47">((B135*$R$3^(-1))^(-1))*A135*C135</f>
        <v>0.23400000000000001</v>
      </c>
      <c r="H135">
        <f t="shared" ref="H135:H198" si="48">E135*I135/1000</f>
        <v>88.451999999999998</v>
      </c>
      <c r="I135">
        <f t="shared" ref="I135:I198" si="49">A135*C135*4.2</f>
        <v>491.40000000000003</v>
      </c>
      <c r="J135">
        <f t="shared" ref="J135:J198" si="50">C135*A135*$K$3</f>
        <v>351</v>
      </c>
      <c r="K135">
        <f t="shared" ref="K135:K198" si="51">E135*J135/1000</f>
        <v>63.18</v>
      </c>
      <c r="L135">
        <f t="shared" ref="L135:L198" si="52">$N$3/1000*I135*B135/1000</f>
        <v>5.8230900000000005</v>
      </c>
      <c r="M135">
        <f t="shared" ref="M135:M198" si="53">$O$3/1000*I135*B135/1000</f>
        <v>5.6019600000000001</v>
      </c>
      <c r="N135">
        <f t="shared" ref="N135:N198" si="54">$P$3/1000*I135*B135/1000</f>
        <v>4.0540500000000002</v>
      </c>
      <c r="O135">
        <f t="shared" ref="O135:O198" si="55">L135*(($L$3-$K$3)/($L$3-$M$3))</f>
        <v>4.1104164705882358</v>
      </c>
      <c r="P135">
        <f t="shared" ref="P135:P198" si="56">$H$3/1000*B135*I135/277.8/C135</f>
        <v>2.3585313174946005</v>
      </c>
      <c r="Q135">
        <f t="shared" ref="Q135:Q198" si="57">I135/C135</f>
        <v>54.6</v>
      </c>
      <c r="R135">
        <f t="shared" ref="R135:R198" si="58">(A135*B135*C135)</f>
        <v>351</v>
      </c>
      <c r="S135">
        <f t="shared" ref="S135:S198" si="59">J135-(G135*E135)</f>
        <v>308.88</v>
      </c>
      <c r="T135">
        <f t="shared" ref="T135:T198" si="60">G135*E135</f>
        <v>42.120000000000005</v>
      </c>
      <c r="U135">
        <f>I135*E135/'[1]Inverter Analysis'!$L$2</f>
        <v>211.95785025750095</v>
      </c>
      <c r="V135">
        <f t="shared" ref="V135:V198" si="61">80000/J135</f>
        <v>227.92022792022792</v>
      </c>
      <c r="W135">
        <f t="shared" ref="W135:W198" si="62">80000/S135</f>
        <v>259.00025900025901</v>
      </c>
      <c r="X135">
        <f t="shared" ref="X135:X198" si="63">80000/I135</f>
        <v>162.80016280016278</v>
      </c>
      <c r="Y135">
        <f t="shared" ref="Y135:Y198" si="64">(MAX(V135:X135)^2)*$R$3/1000</f>
        <v>0.40248680497320743</v>
      </c>
      <c r="Z135">
        <f t="shared" ref="Z135:Z198" si="65">($S$3*F135/(Y135*1000))*10</f>
        <v>3.0086700608250001</v>
      </c>
    </row>
    <row r="136" spans="1:26" hidden="1">
      <c r="A136">
        <v>12</v>
      </c>
      <c r="B136">
        <v>3</v>
      </c>
      <c r="C136" s="1">
        <v>9</v>
      </c>
      <c r="D136">
        <f t="shared" si="44"/>
        <v>420</v>
      </c>
      <c r="E136">
        <f t="shared" si="45"/>
        <v>180</v>
      </c>
      <c r="F136">
        <f t="shared" si="46"/>
        <v>22.356000000000002</v>
      </c>
      <c r="G136">
        <f t="shared" si="47"/>
        <v>0.216</v>
      </c>
      <c r="H136">
        <f t="shared" si="48"/>
        <v>81.647999999999996</v>
      </c>
      <c r="I136">
        <f t="shared" si="49"/>
        <v>453.6</v>
      </c>
      <c r="J136">
        <f t="shared" si="50"/>
        <v>324</v>
      </c>
      <c r="K136">
        <f t="shared" si="51"/>
        <v>58.32</v>
      </c>
      <c r="L136">
        <f t="shared" si="52"/>
        <v>5.375160000000001</v>
      </c>
      <c r="M136">
        <f t="shared" si="53"/>
        <v>5.1710399999999996</v>
      </c>
      <c r="N136">
        <f t="shared" si="54"/>
        <v>3.7422000000000004</v>
      </c>
      <c r="O136">
        <f t="shared" si="55"/>
        <v>3.7942305882352949</v>
      </c>
      <c r="P136">
        <f t="shared" si="56"/>
        <v>2.1771058315334777</v>
      </c>
      <c r="Q136">
        <f t="shared" si="57"/>
        <v>50.400000000000006</v>
      </c>
      <c r="R136">
        <f t="shared" si="58"/>
        <v>324</v>
      </c>
      <c r="S136">
        <f t="shared" si="59"/>
        <v>285.12</v>
      </c>
      <c r="T136">
        <f t="shared" si="60"/>
        <v>38.880000000000003</v>
      </c>
      <c r="U136">
        <f>I136*E136/'[1]Inverter Analysis'!$L$2</f>
        <v>195.65340023769318</v>
      </c>
      <c r="V136">
        <f t="shared" si="61"/>
        <v>246.91358024691357</v>
      </c>
      <c r="W136">
        <f t="shared" si="62"/>
        <v>280.58361391694723</v>
      </c>
      <c r="X136">
        <f t="shared" si="63"/>
        <v>176.3668430335097</v>
      </c>
      <c r="Y136">
        <f t="shared" si="64"/>
        <v>0.47236298639216701</v>
      </c>
      <c r="Z136">
        <f t="shared" si="65"/>
        <v>2.3664004848000006</v>
      </c>
    </row>
    <row r="137" spans="1:26" hidden="1">
      <c r="A137">
        <v>11</v>
      </c>
      <c r="B137">
        <v>3</v>
      </c>
      <c r="C137" s="1">
        <v>9</v>
      </c>
      <c r="D137">
        <f t="shared" si="44"/>
        <v>420</v>
      </c>
      <c r="E137">
        <f t="shared" si="45"/>
        <v>180</v>
      </c>
      <c r="F137">
        <f t="shared" si="46"/>
        <v>20.492999999999999</v>
      </c>
      <c r="G137">
        <f t="shared" si="47"/>
        <v>0.19799999999999998</v>
      </c>
      <c r="H137">
        <f t="shared" si="48"/>
        <v>74.843999999999994</v>
      </c>
      <c r="I137">
        <f t="shared" si="49"/>
        <v>415.8</v>
      </c>
      <c r="J137">
        <f t="shared" si="50"/>
        <v>297</v>
      </c>
      <c r="K137">
        <f t="shared" si="51"/>
        <v>53.46</v>
      </c>
      <c r="L137">
        <f t="shared" si="52"/>
        <v>4.9272300000000007</v>
      </c>
      <c r="M137">
        <f t="shared" si="53"/>
        <v>4.7401200000000001</v>
      </c>
      <c r="N137">
        <f t="shared" si="54"/>
        <v>3.4303500000000002</v>
      </c>
      <c r="O137">
        <f t="shared" si="55"/>
        <v>3.4780447058823536</v>
      </c>
      <c r="P137">
        <f t="shared" si="56"/>
        <v>1.9956803455723542</v>
      </c>
      <c r="Q137">
        <f t="shared" si="57"/>
        <v>46.2</v>
      </c>
      <c r="R137">
        <f t="shared" si="58"/>
        <v>297</v>
      </c>
      <c r="S137">
        <f t="shared" si="59"/>
        <v>261.36</v>
      </c>
      <c r="T137">
        <f t="shared" si="60"/>
        <v>35.639999999999993</v>
      </c>
      <c r="U137">
        <f>I137*E137/'[1]Inverter Analysis'!$L$2</f>
        <v>179.34895021788543</v>
      </c>
      <c r="V137">
        <f t="shared" si="61"/>
        <v>269.36026936026934</v>
      </c>
      <c r="W137">
        <f t="shared" si="62"/>
        <v>306.09121518212424</v>
      </c>
      <c r="X137">
        <f t="shared" si="63"/>
        <v>192.4001924001924</v>
      </c>
      <c r="Y137">
        <f t="shared" si="64"/>
        <v>0.56215099207001684</v>
      </c>
      <c r="Z137">
        <f t="shared" si="65"/>
        <v>1.8227309289750004</v>
      </c>
    </row>
    <row r="138" spans="1:26" hidden="1">
      <c r="A138">
        <v>10</v>
      </c>
      <c r="B138">
        <v>3</v>
      </c>
      <c r="C138" s="1">
        <v>9</v>
      </c>
      <c r="D138">
        <f t="shared" si="44"/>
        <v>420</v>
      </c>
      <c r="E138">
        <f t="shared" si="45"/>
        <v>180</v>
      </c>
      <c r="F138">
        <f t="shared" si="46"/>
        <v>18.63</v>
      </c>
      <c r="G138">
        <f t="shared" si="47"/>
        <v>0.18</v>
      </c>
      <c r="H138">
        <f t="shared" si="48"/>
        <v>68.040000000000006</v>
      </c>
      <c r="I138">
        <f t="shared" si="49"/>
        <v>378</v>
      </c>
      <c r="J138">
        <f t="shared" si="50"/>
        <v>270</v>
      </c>
      <c r="K138">
        <f t="shared" si="51"/>
        <v>48.6</v>
      </c>
      <c r="L138">
        <f t="shared" si="52"/>
        <v>4.4793000000000003</v>
      </c>
      <c r="M138">
        <f t="shared" si="53"/>
        <v>4.3091999999999997</v>
      </c>
      <c r="N138">
        <f t="shared" si="54"/>
        <v>3.1185</v>
      </c>
      <c r="O138">
        <f t="shared" si="55"/>
        <v>3.1618588235294123</v>
      </c>
      <c r="P138">
        <f t="shared" si="56"/>
        <v>1.8142548596112311</v>
      </c>
      <c r="Q138">
        <f t="shared" si="57"/>
        <v>42</v>
      </c>
      <c r="R138">
        <f t="shared" si="58"/>
        <v>270</v>
      </c>
      <c r="S138">
        <f t="shared" si="59"/>
        <v>237.6</v>
      </c>
      <c r="T138">
        <f t="shared" si="60"/>
        <v>32.4</v>
      </c>
      <c r="U138">
        <f>I138*E138/'[1]Inverter Analysis'!$L$2</f>
        <v>163.04450019807766</v>
      </c>
      <c r="V138">
        <f t="shared" si="61"/>
        <v>296.2962962962963</v>
      </c>
      <c r="W138">
        <f t="shared" si="62"/>
        <v>336.70033670033672</v>
      </c>
      <c r="X138">
        <f t="shared" si="63"/>
        <v>211.64021164021165</v>
      </c>
      <c r="Y138">
        <f t="shared" si="64"/>
        <v>0.68020270040472075</v>
      </c>
      <c r="Z138">
        <f t="shared" si="65"/>
        <v>1.3694447249999997</v>
      </c>
    </row>
    <row r="139" spans="1:26" hidden="1">
      <c r="A139">
        <v>16</v>
      </c>
      <c r="B139">
        <v>2</v>
      </c>
      <c r="C139" s="1">
        <v>9</v>
      </c>
      <c r="D139">
        <f t="shared" si="44"/>
        <v>280</v>
      </c>
      <c r="E139">
        <f t="shared" si="45"/>
        <v>120</v>
      </c>
      <c r="F139">
        <f t="shared" si="46"/>
        <v>19.872</v>
      </c>
      <c r="G139">
        <f t="shared" si="47"/>
        <v>0.432</v>
      </c>
      <c r="H139">
        <f t="shared" si="48"/>
        <v>72.576000000000008</v>
      </c>
      <c r="I139">
        <f t="shared" si="49"/>
        <v>604.80000000000007</v>
      </c>
      <c r="J139">
        <f t="shared" si="50"/>
        <v>432</v>
      </c>
      <c r="K139">
        <f t="shared" si="51"/>
        <v>51.84</v>
      </c>
      <c r="L139">
        <f t="shared" si="52"/>
        <v>4.7779200000000008</v>
      </c>
      <c r="M139">
        <f t="shared" si="53"/>
        <v>4.5964800000000006</v>
      </c>
      <c r="N139">
        <f t="shared" si="54"/>
        <v>3.3264000000000005</v>
      </c>
      <c r="O139">
        <f t="shared" si="55"/>
        <v>3.3726494117647068</v>
      </c>
      <c r="P139">
        <f t="shared" si="56"/>
        <v>1.9352051835853135</v>
      </c>
      <c r="Q139">
        <f t="shared" si="57"/>
        <v>67.2</v>
      </c>
      <c r="R139">
        <f t="shared" si="58"/>
        <v>288</v>
      </c>
      <c r="S139">
        <f t="shared" si="59"/>
        <v>380.16</v>
      </c>
      <c r="T139">
        <f t="shared" si="60"/>
        <v>51.839999999999996</v>
      </c>
      <c r="U139">
        <f>I139*E139/'[1]Inverter Analysis'!$L$2</f>
        <v>173.91413354461619</v>
      </c>
      <c r="V139">
        <f t="shared" si="61"/>
        <v>185.18518518518519</v>
      </c>
      <c r="W139">
        <f t="shared" si="62"/>
        <v>210.43771043771042</v>
      </c>
      <c r="X139">
        <f t="shared" si="63"/>
        <v>132.27513227513225</v>
      </c>
      <c r="Y139">
        <f t="shared" si="64"/>
        <v>0.26570417984559397</v>
      </c>
      <c r="Z139">
        <f t="shared" si="65"/>
        <v>3.7394970624000008</v>
      </c>
    </row>
    <row r="140" spans="1:26" hidden="1">
      <c r="A140">
        <v>15</v>
      </c>
      <c r="B140">
        <v>2</v>
      </c>
      <c r="C140" s="1">
        <v>9</v>
      </c>
      <c r="D140">
        <f t="shared" si="44"/>
        <v>280</v>
      </c>
      <c r="E140">
        <f t="shared" si="45"/>
        <v>120</v>
      </c>
      <c r="F140">
        <f t="shared" si="46"/>
        <v>18.63</v>
      </c>
      <c r="G140">
        <f t="shared" si="47"/>
        <v>0.40499999999999997</v>
      </c>
      <c r="H140">
        <f t="shared" si="48"/>
        <v>68.040000000000006</v>
      </c>
      <c r="I140">
        <f t="shared" si="49"/>
        <v>567</v>
      </c>
      <c r="J140">
        <f t="shared" si="50"/>
        <v>405</v>
      </c>
      <c r="K140">
        <f t="shared" si="51"/>
        <v>48.6</v>
      </c>
      <c r="L140">
        <f t="shared" si="52"/>
        <v>4.4793000000000003</v>
      </c>
      <c r="M140">
        <f t="shared" si="53"/>
        <v>4.3091999999999997</v>
      </c>
      <c r="N140">
        <f t="shared" si="54"/>
        <v>3.1185</v>
      </c>
      <c r="O140">
        <f t="shared" si="55"/>
        <v>3.1618588235294123</v>
      </c>
      <c r="P140">
        <f t="shared" si="56"/>
        <v>1.8142548596112311</v>
      </c>
      <c r="Q140">
        <f t="shared" si="57"/>
        <v>63</v>
      </c>
      <c r="R140">
        <f t="shared" si="58"/>
        <v>270</v>
      </c>
      <c r="S140">
        <f t="shared" si="59"/>
        <v>356.4</v>
      </c>
      <c r="T140">
        <f t="shared" si="60"/>
        <v>48.599999999999994</v>
      </c>
      <c r="U140">
        <f>I140*E140/'[1]Inverter Analysis'!$L$2</f>
        <v>163.04450019807766</v>
      </c>
      <c r="V140">
        <f t="shared" si="61"/>
        <v>197.53086419753086</v>
      </c>
      <c r="W140">
        <f t="shared" si="62"/>
        <v>224.46689113355782</v>
      </c>
      <c r="X140">
        <f t="shared" si="63"/>
        <v>141.09347442680777</v>
      </c>
      <c r="Y140">
        <f t="shared" si="64"/>
        <v>0.30231231129098701</v>
      </c>
      <c r="Z140">
        <f t="shared" si="65"/>
        <v>3.0812506312499992</v>
      </c>
    </row>
    <row r="141" spans="1:26" hidden="1">
      <c r="A141">
        <v>14</v>
      </c>
      <c r="B141">
        <v>2</v>
      </c>
      <c r="C141" s="1">
        <v>9</v>
      </c>
      <c r="D141">
        <f t="shared" si="44"/>
        <v>280</v>
      </c>
      <c r="E141">
        <f t="shared" si="45"/>
        <v>120</v>
      </c>
      <c r="F141">
        <f t="shared" si="46"/>
        <v>17.388000000000002</v>
      </c>
      <c r="G141">
        <f t="shared" si="47"/>
        <v>0.378</v>
      </c>
      <c r="H141">
        <f t="shared" si="48"/>
        <v>63.504000000000005</v>
      </c>
      <c r="I141">
        <f t="shared" si="49"/>
        <v>529.20000000000005</v>
      </c>
      <c r="J141">
        <f t="shared" si="50"/>
        <v>378</v>
      </c>
      <c r="K141">
        <f t="shared" si="51"/>
        <v>45.36</v>
      </c>
      <c r="L141">
        <f t="shared" si="52"/>
        <v>4.1806800000000006</v>
      </c>
      <c r="M141">
        <f t="shared" si="53"/>
        <v>4.0219199999999997</v>
      </c>
      <c r="N141">
        <f t="shared" si="54"/>
        <v>2.9106000000000005</v>
      </c>
      <c r="O141">
        <f t="shared" si="55"/>
        <v>2.9510682352941182</v>
      </c>
      <c r="P141">
        <f t="shared" si="56"/>
        <v>1.6933045356371492</v>
      </c>
      <c r="Q141">
        <f t="shared" si="57"/>
        <v>58.800000000000004</v>
      </c>
      <c r="R141">
        <f t="shared" si="58"/>
        <v>252</v>
      </c>
      <c r="S141">
        <f t="shared" si="59"/>
        <v>332.64</v>
      </c>
      <c r="T141">
        <f t="shared" si="60"/>
        <v>45.36</v>
      </c>
      <c r="U141">
        <f>I141*E141/'[1]Inverter Analysis'!$L$2</f>
        <v>152.17486685153915</v>
      </c>
      <c r="V141">
        <f t="shared" si="61"/>
        <v>211.64021164021165</v>
      </c>
      <c r="W141">
        <f t="shared" si="62"/>
        <v>240.50024050024052</v>
      </c>
      <c r="X141">
        <f t="shared" si="63"/>
        <v>151.17157974300829</v>
      </c>
      <c r="Y141">
        <f t="shared" si="64"/>
        <v>0.34704219408404119</v>
      </c>
      <c r="Z141">
        <f t="shared" si="65"/>
        <v>2.5051708836000004</v>
      </c>
    </row>
    <row r="142" spans="1:26" hidden="1">
      <c r="A142">
        <v>13</v>
      </c>
      <c r="B142">
        <v>2</v>
      </c>
      <c r="C142" s="1">
        <v>9</v>
      </c>
      <c r="D142">
        <f t="shared" si="44"/>
        <v>280</v>
      </c>
      <c r="E142">
        <f t="shared" si="45"/>
        <v>120</v>
      </c>
      <c r="F142">
        <f t="shared" si="46"/>
        <v>16.146000000000001</v>
      </c>
      <c r="G142">
        <f t="shared" si="47"/>
        <v>0.35099999999999998</v>
      </c>
      <c r="H142">
        <f t="shared" si="48"/>
        <v>58.968000000000011</v>
      </c>
      <c r="I142">
        <f t="shared" si="49"/>
        <v>491.40000000000003</v>
      </c>
      <c r="J142">
        <f t="shared" si="50"/>
        <v>351</v>
      </c>
      <c r="K142">
        <f t="shared" si="51"/>
        <v>42.12</v>
      </c>
      <c r="L142">
        <f t="shared" si="52"/>
        <v>3.8820600000000005</v>
      </c>
      <c r="M142">
        <f t="shared" si="53"/>
        <v>3.7346399999999997</v>
      </c>
      <c r="N142">
        <f t="shared" si="54"/>
        <v>2.7027000000000001</v>
      </c>
      <c r="O142">
        <f t="shared" si="55"/>
        <v>2.7402776470588242</v>
      </c>
      <c r="P142">
        <f t="shared" si="56"/>
        <v>1.5723542116630671</v>
      </c>
      <c r="Q142">
        <f t="shared" si="57"/>
        <v>54.6</v>
      </c>
      <c r="R142">
        <f t="shared" si="58"/>
        <v>234</v>
      </c>
      <c r="S142">
        <f t="shared" si="59"/>
        <v>308.88</v>
      </c>
      <c r="T142">
        <f t="shared" si="60"/>
        <v>42.12</v>
      </c>
      <c r="U142">
        <f>I142*E142/'[1]Inverter Analysis'!$L$2</f>
        <v>141.30523350500064</v>
      </c>
      <c r="V142">
        <f t="shared" si="61"/>
        <v>227.92022792022792</v>
      </c>
      <c r="W142">
        <f t="shared" si="62"/>
        <v>259.00025900025901</v>
      </c>
      <c r="X142">
        <f t="shared" si="63"/>
        <v>162.80016280016278</v>
      </c>
      <c r="Y142">
        <f t="shared" si="64"/>
        <v>0.40248680497320743</v>
      </c>
      <c r="Z142">
        <f t="shared" si="65"/>
        <v>2.0057800405500004</v>
      </c>
    </row>
    <row r="143" spans="1:26" hidden="1">
      <c r="A143">
        <v>12</v>
      </c>
      <c r="B143">
        <v>2</v>
      </c>
      <c r="C143" s="1">
        <v>9</v>
      </c>
      <c r="D143">
        <f t="shared" si="44"/>
        <v>280</v>
      </c>
      <c r="E143">
        <f t="shared" si="45"/>
        <v>120</v>
      </c>
      <c r="F143">
        <f t="shared" si="46"/>
        <v>14.904</v>
      </c>
      <c r="G143">
        <f t="shared" si="47"/>
        <v>0.32400000000000007</v>
      </c>
      <c r="H143">
        <f t="shared" si="48"/>
        <v>54.432000000000002</v>
      </c>
      <c r="I143">
        <f t="shared" si="49"/>
        <v>453.6</v>
      </c>
      <c r="J143">
        <f t="shared" si="50"/>
        <v>324</v>
      </c>
      <c r="K143">
        <f t="shared" si="51"/>
        <v>38.880000000000003</v>
      </c>
      <c r="L143">
        <f t="shared" si="52"/>
        <v>3.5834400000000004</v>
      </c>
      <c r="M143">
        <f t="shared" si="53"/>
        <v>3.4473600000000002</v>
      </c>
      <c r="N143">
        <f t="shared" si="54"/>
        <v>2.4948000000000001</v>
      </c>
      <c r="O143">
        <f t="shared" si="55"/>
        <v>2.5294870588235296</v>
      </c>
      <c r="P143">
        <f t="shared" si="56"/>
        <v>1.451403887688985</v>
      </c>
      <c r="Q143">
        <f t="shared" si="57"/>
        <v>50.400000000000006</v>
      </c>
      <c r="R143">
        <f t="shared" si="58"/>
        <v>216</v>
      </c>
      <c r="S143">
        <f t="shared" si="59"/>
        <v>285.12</v>
      </c>
      <c r="T143">
        <f t="shared" si="60"/>
        <v>38.88000000000001</v>
      </c>
      <c r="U143">
        <f>I143*E143/'[1]Inverter Analysis'!$L$2</f>
        <v>130.43560015846211</v>
      </c>
      <c r="V143">
        <f t="shared" si="61"/>
        <v>246.91358024691357</v>
      </c>
      <c r="W143">
        <f t="shared" si="62"/>
        <v>280.58361391694723</v>
      </c>
      <c r="X143">
        <f t="shared" si="63"/>
        <v>176.3668430335097</v>
      </c>
      <c r="Y143">
        <f t="shared" si="64"/>
        <v>0.47236298639216701</v>
      </c>
      <c r="Z143">
        <f t="shared" si="65"/>
        <v>1.5776003232000002</v>
      </c>
    </row>
    <row r="144" spans="1:26" hidden="1">
      <c r="A144">
        <v>11</v>
      </c>
      <c r="B144">
        <v>2</v>
      </c>
      <c r="C144" s="1">
        <v>9</v>
      </c>
      <c r="D144">
        <f t="shared" si="44"/>
        <v>280</v>
      </c>
      <c r="E144">
        <f t="shared" si="45"/>
        <v>120</v>
      </c>
      <c r="F144">
        <f t="shared" si="46"/>
        <v>13.662000000000001</v>
      </c>
      <c r="G144">
        <f t="shared" si="47"/>
        <v>0.29700000000000004</v>
      </c>
      <c r="H144">
        <f t="shared" si="48"/>
        <v>49.896000000000001</v>
      </c>
      <c r="I144">
        <f t="shared" si="49"/>
        <v>415.8</v>
      </c>
      <c r="J144">
        <f t="shared" si="50"/>
        <v>297</v>
      </c>
      <c r="K144">
        <f t="shared" si="51"/>
        <v>35.64</v>
      </c>
      <c r="L144">
        <f t="shared" si="52"/>
        <v>3.2848200000000003</v>
      </c>
      <c r="M144">
        <f t="shared" si="53"/>
        <v>3.1600799999999998</v>
      </c>
      <c r="N144">
        <f t="shared" si="54"/>
        <v>2.2869000000000002</v>
      </c>
      <c r="O144">
        <f t="shared" si="55"/>
        <v>2.3186964705882356</v>
      </c>
      <c r="P144">
        <f t="shared" si="56"/>
        <v>1.3304535637149029</v>
      </c>
      <c r="Q144">
        <f t="shared" si="57"/>
        <v>46.2</v>
      </c>
      <c r="R144">
        <f t="shared" si="58"/>
        <v>198</v>
      </c>
      <c r="S144">
        <f t="shared" si="59"/>
        <v>261.36</v>
      </c>
      <c r="T144">
        <f t="shared" si="60"/>
        <v>35.640000000000008</v>
      </c>
      <c r="U144">
        <f>I144*E144/'[1]Inverter Analysis'!$L$2</f>
        <v>119.56596681192362</v>
      </c>
      <c r="V144">
        <f t="shared" si="61"/>
        <v>269.36026936026934</v>
      </c>
      <c r="W144">
        <f t="shared" si="62"/>
        <v>306.09121518212424</v>
      </c>
      <c r="X144">
        <f t="shared" si="63"/>
        <v>192.4001924001924</v>
      </c>
      <c r="Y144">
        <f t="shared" si="64"/>
        <v>0.56215099207001684</v>
      </c>
      <c r="Z144">
        <f t="shared" si="65"/>
        <v>1.2151539526500006</v>
      </c>
    </row>
    <row r="145" spans="1:26" hidden="1">
      <c r="A145">
        <v>10</v>
      </c>
      <c r="B145">
        <v>2</v>
      </c>
      <c r="C145" s="1">
        <v>9</v>
      </c>
      <c r="D145">
        <f t="shared" si="44"/>
        <v>280</v>
      </c>
      <c r="E145">
        <f t="shared" si="45"/>
        <v>120</v>
      </c>
      <c r="F145">
        <f t="shared" si="46"/>
        <v>12.42</v>
      </c>
      <c r="G145">
        <f t="shared" si="47"/>
        <v>0.27</v>
      </c>
      <c r="H145">
        <f t="shared" si="48"/>
        <v>45.36</v>
      </c>
      <c r="I145">
        <f t="shared" si="49"/>
        <v>378</v>
      </c>
      <c r="J145">
        <f t="shared" si="50"/>
        <v>270</v>
      </c>
      <c r="K145">
        <f t="shared" si="51"/>
        <v>32.4</v>
      </c>
      <c r="L145">
        <f t="shared" si="52"/>
        <v>2.9862000000000002</v>
      </c>
      <c r="M145">
        <f t="shared" si="53"/>
        <v>2.8727999999999998</v>
      </c>
      <c r="N145">
        <f t="shared" si="54"/>
        <v>2.0790000000000002</v>
      </c>
      <c r="O145">
        <f t="shared" si="55"/>
        <v>2.1079058823529415</v>
      </c>
      <c r="P145">
        <f t="shared" si="56"/>
        <v>1.2095032397408207</v>
      </c>
      <c r="Q145">
        <f t="shared" si="57"/>
        <v>42</v>
      </c>
      <c r="R145">
        <f t="shared" si="58"/>
        <v>180</v>
      </c>
      <c r="S145">
        <f t="shared" si="59"/>
        <v>237.6</v>
      </c>
      <c r="T145">
        <f t="shared" si="60"/>
        <v>32.400000000000006</v>
      </c>
      <c r="U145">
        <f>I145*E145/'[1]Inverter Analysis'!$L$2</f>
        <v>108.69633346538509</v>
      </c>
      <c r="V145">
        <f t="shared" si="61"/>
        <v>296.2962962962963</v>
      </c>
      <c r="W145">
        <f t="shared" si="62"/>
        <v>336.70033670033672</v>
      </c>
      <c r="X145">
        <f t="shared" si="63"/>
        <v>211.64021164021165</v>
      </c>
      <c r="Y145">
        <f t="shared" si="64"/>
        <v>0.68020270040472075</v>
      </c>
      <c r="Z145">
        <f t="shared" si="65"/>
        <v>0.91296314999999972</v>
      </c>
    </row>
    <row r="146" spans="1:26" hidden="1">
      <c r="A146" s="8">
        <v>16</v>
      </c>
      <c r="B146" s="1">
        <v>6</v>
      </c>
      <c r="C146" s="1">
        <v>8</v>
      </c>
      <c r="D146">
        <f t="shared" si="44"/>
        <v>840</v>
      </c>
      <c r="E146">
        <f t="shared" si="45"/>
        <v>360</v>
      </c>
      <c r="F146">
        <f t="shared" si="46"/>
        <v>52.991999999999997</v>
      </c>
      <c r="G146">
        <f t="shared" si="47"/>
        <v>0.128</v>
      </c>
      <c r="H146">
        <f t="shared" si="48"/>
        <v>193.536</v>
      </c>
      <c r="I146">
        <f t="shared" si="49"/>
        <v>537.6</v>
      </c>
      <c r="J146">
        <f t="shared" si="50"/>
        <v>384</v>
      </c>
      <c r="K146">
        <f t="shared" si="51"/>
        <v>138.24</v>
      </c>
      <c r="L146">
        <f t="shared" si="52"/>
        <v>12.741119999999999</v>
      </c>
      <c r="M146">
        <f t="shared" si="53"/>
        <v>12.257279999999998</v>
      </c>
      <c r="N146">
        <f t="shared" si="54"/>
        <v>8.8704000000000018</v>
      </c>
      <c r="O146">
        <f t="shared" si="55"/>
        <v>8.9937317647058812</v>
      </c>
      <c r="P146">
        <f t="shared" si="56"/>
        <v>5.8056155507559399</v>
      </c>
      <c r="Q146">
        <f t="shared" si="57"/>
        <v>67.2</v>
      </c>
      <c r="R146">
        <f t="shared" si="58"/>
        <v>768</v>
      </c>
      <c r="S146">
        <f t="shared" si="59"/>
        <v>337.92</v>
      </c>
      <c r="T146">
        <f t="shared" si="60"/>
        <v>46.08</v>
      </c>
      <c r="U146">
        <f>I146*E146/'[1]Inverter Analysis'!$L$2</f>
        <v>463.77102278564308</v>
      </c>
      <c r="V146">
        <f t="shared" si="61"/>
        <v>208.33333333333334</v>
      </c>
      <c r="W146">
        <f t="shared" si="62"/>
        <v>236.74242424242422</v>
      </c>
      <c r="X146">
        <f t="shared" si="63"/>
        <v>148.8095238095238</v>
      </c>
      <c r="Y146">
        <f t="shared" si="64"/>
        <v>0.33628185261707982</v>
      </c>
      <c r="Z146">
        <f t="shared" si="65"/>
        <v>7.8791049216000006</v>
      </c>
    </row>
    <row r="147" spans="1:26" hidden="1">
      <c r="A147" s="8">
        <v>15</v>
      </c>
      <c r="B147" s="1">
        <v>6</v>
      </c>
      <c r="C147" s="1">
        <v>8</v>
      </c>
      <c r="D147">
        <f t="shared" si="44"/>
        <v>840</v>
      </c>
      <c r="E147">
        <f t="shared" si="45"/>
        <v>360</v>
      </c>
      <c r="F147">
        <f t="shared" si="46"/>
        <v>49.68</v>
      </c>
      <c r="G147">
        <f t="shared" si="47"/>
        <v>0.12</v>
      </c>
      <c r="H147">
        <f t="shared" si="48"/>
        <v>181.44</v>
      </c>
      <c r="I147">
        <f t="shared" si="49"/>
        <v>504</v>
      </c>
      <c r="J147">
        <f t="shared" si="50"/>
        <v>360</v>
      </c>
      <c r="K147">
        <f t="shared" si="51"/>
        <v>129.6</v>
      </c>
      <c r="L147">
        <f t="shared" si="52"/>
        <v>11.944800000000001</v>
      </c>
      <c r="M147">
        <f t="shared" si="53"/>
        <v>11.491199999999999</v>
      </c>
      <c r="N147">
        <f t="shared" si="54"/>
        <v>8.3160000000000007</v>
      </c>
      <c r="O147">
        <f t="shared" si="55"/>
        <v>8.4316235294117661</v>
      </c>
      <c r="P147">
        <f t="shared" si="56"/>
        <v>5.4427645788336934</v>
      </c>
      <c r="Q147">
        <f t="shared" si="57"/>
        <v>63</v>
      </c>
      <c r="R147">
        <f t="shared" si="58"/>
        <v>720</v>
      </c>
      <c r="S147">
        <f t="shared" si="59"/>
        <v>316.8</v>
      </c>
      <c r="T147">
        <f t="shared" si="60"/>
        <v>43.199999999999996</v>
      </c>
      <c r="U147">
        <f>I147*E147/'[1]Inverter Analysis'!$L$2</f>
        <v>434.78533386154038</v>
      </c>
      <c r="V147">
        <f t="shared" si="61"/>
        <v>222.22222222222223</v>
      </c>
      <c r="W147">
        <f t="shared" si="62"/>
        <v>252.52525252525251</v>
      </c>
      <c r="X147">
        <f t="shared" si="63"/>
        <v>158.73015873015873</v>
      </c>
      <c r="Y147">
        <f t="shared" si="64"/>
        <v>0.38261401897765529</v>
      </c>
      <c r="Z147">
        <f t="shared" si="65"/>
        <v>6.4921824000000008</v>
      </c>
    </row>
    <row r="148" spans="1:26" hidden="1">
      <c r="A148">
        <v>14</v>
      </c>
      <c r="B148" s="1">
        <v>6</v>
      </c>
      <c r="C148" s="1">
        <v>8</v>
      </c>
      <c r="D148">
        <f t="shared" si="44"/>
        <v>840</v>
      </c>
      <c r="E148">
        <f t="shared" si="45"/>
        <v>360</v>
      </c>
      <c r="F148">
        <f t="shared" si="46"/>
        <v>46.368000000000002</v>
      </c>
      <c r="G148">
        <f t="shared" si="47"/>
        <v>0.112</v>
      </c>
      <c r="H148">
        <f t="shared" si="48"/>
        <v>169.34399999999999</v>
      </c>
      <c r="I148">
        <f t="shared" si="49"/>
        <v>470.40000000000003</v>
      </c>
      <c r="J148">
        <f t="shared" si="50"/>
        <v>336</v>
      </c>
      <c r="K148">
        <f t="shared" si="51"/>
        <v>120.96</v>
      </c>
      <c r="L148">
        <f t="shared" si="52"/>
        <v>11.148480000000001</v>
      </c>
      <c r="M148">
        <f t="shared" si="53"/>
        <v>10.725119999999999</v>
      </c>
      <c r="N148">
        <f t="shared" si="54"/>
        <v>7.7616000000000005</v>
      </c>
      <c r="O148">
        <f t="shared" si="55"/>
        <v>7.8695152941176483</v>
      </c>
      <c r="P148">
        <f t="shared" si="56"/>
        <v>5.0799136069114468</v>
      </c>
      <c r="Q148">
        <f t="shared" si="57"/>
        <v>58.800000000000004</v>
      </c>
      <c r="R148">
        <f t="shared" si="58"/>
        <v>672</v>
      </c>
      <c r="S148">
        <f t="shared" si="59"/>
        <v>295.68</v>
      </c>
      <c r="T148">
        <f t="shared" si="60"/>
        <v>40.32</v>
      </c>
      <c r="U148">
        <f>I148*E148/'[1]Inverter Analysis'!$L$2</f>
        <v>405.79964493743773</v>
      </c>
      <c r="V148">
        <f t="shared" si="61"/>
        <v>238.0952380952381</v>
      </c>
      <c r="W148">
        <f t="shared" si="62"/>
        <v>270.56277056277054</v>
      </c>
      <c r="X148">
        <f t="shared" si="63"/>
        <v>170.06802721088434</v>
      </c>
      <c r="Y148">
        <f t="shared" si="64"/>
        <v>0.43922527688761454</v>
      </c>
      <c r="Z148">
        <f t="shared" si="65"/>
        <v>5.2783847424000001</v>
      </c>
    </row>
    <row r="149" spans="1:26" hidden="1">
      <c r="A149">
        <v>13</v>
      </c>
      <c r="B149" s="1">
        <v>6</v>
      </c>
      <c r="C149" s="1">
        <v>8</v>
      </c>
      <c r="D149">
        <f t="shared" si="44"/>
        <v>840</v>
      </c>
      <c r="E149">
        <f t="shared" si="45"/>
        <v>360</v>
      </c>
      <c r="F149">
        <f t="shared" si="46"/>
        <v>43.055999999999997</v>
      </c>
      <c r="G149">
        <f t="shared" si="47"/>
        <v>0.10400000000000001</v>
      </c>
      <c r="H149">
        <f t="shared" si="48"/>
        <v>157.24799999999999</v>
      </c>
      <c r="I149">
        <f t="shared" si="49"/>
        <v>436.8</v>
      </c>
      <c r="J149">
        <f t="shared" si="50"/>
        <v>312</v>
      </c>
      <c r="K149">
        <f t="shared" si="51"/>
        <v>112.32</v>
      </c>
      <c r="L149">
        <f t="shared" si="52"/>
        <v>10.35216</v>
      </c>
      <c r="M149">
        <f t="shared" si="53"/>
        <v>9.9590399999999999</v>
      </c>
      <c r="N149">
        <f t="shared" si="54"/>
        <v>7.2072000000000012</v>
      </c>
      <c r="O149">
        <f t="shared" si="55"/>
        <v>7.3074070588235296</v>
      </c>
      <c r="P149">
        <f t="shared" si="56"/>
        <v>4.7170626349892011</v>
      </c>
      <c r="Q149">
        <f t="shared" si="57"/>
        <v>54.6</v>
      </c>
      <c r="R149">
        <f t="shared" si="58"/>
        <v>624</v>
      </c>
      <c r="S149">
        <f t="shared" si="59"/>
        <v>274.56</v>
      </c>
      <c r="T149">
        <f t="shared" si="60"/>
        <v>37.440000000000005</v>
      </c>
      <c r="U149">
        <f>I149*E149/'[1]Inverter Analysis'!$L$2</f>
        <v>376.81395601333503</v>
      </c>
      <c r="V149">
        <f t="shared" si="61"/>
        <v>256.41025641025641</v>
      </c>
      <c r="W149">
        <f t="shared" si="62"/>
        <v>291.3752913752914</v>
      </c>
      <c r="X149">
        <f t="shared" si="63"/>
        <v>183.15018315018315</v>
      </c>
      <c r="Y149">
        <f t="shared" si="64"/>
        <v>0.50939736254421586</v>
      </c>
      <c r="Z149">
        <f t="shared" si="65"/>
        <v>4.2261702911999981</v>
      </c>
    </row>
    <row r="150" spans="1:26" hidden="1">
      <c r="A150">
        <v>12</v>
      </c>
      <c r="B150" s="1">
        <v>6</v>
      </c>
      <c r="C150" s="1">
        <v>8</v>
      </c>
      <c r="D150">
        <f t="shared" si="44"/>
        <v>840</v>
      </c>
      <c r="E150">
        <f t="shared" si="45"/>
        <v>360</v>
      </c>
      <c r="F150">
        <f t="shared" si="46"/>
        <v>39.744</v>
      </c>
      <c r="G150">
        <f t="shared" si="47"/>
        <v>9.6000000000000002E-2</v>
      </c>
      <c r="H150">
        <f t="shared" si="48"/>
        <v>145.15200000000002</v>
      </c>
      <c r="I150">
        <f t="shared" si="49"/>
        <v>403.20000000000005</v>
      </c>
      <c r="J150">
        <f t="shared" si="50"/>
        <v>288</v>
      </c>
      <c r="K150">
        <f t="shared" si="51"/>
        <v>103.68</v>
      </c>
      <c r="L150">
        <f t="shared" si="52"/>
        <v>9.5558400000000017</v>
      </c>
      <c r="M150">
        <f t="shared" si="53"/>
        <v>9.1929600000000011</v>
      </c>
      <c r="N150">
        <f t="shared" si="54"/>
        <v>6.6528000000000009</v>
      </c>
      <c r="O150">
        <f t="shared" si="55"/>
        <v>6.7452988235294136</v>
      </c>
      <c r="P150">
        <f t="shared" si="56"/>
        <v>4.3542116630669554</v>
      </c>
      <c r="Q150">
        <f t="shared" si="57"/>
        <v>50.400000000000006</v>
      </c>
      <c r="R150">
        <f t="shared" si="58"/>
        <v>576</v>
      </c>
      <c r="S150">
        <f t="shared" si="59"/>
        <v>253.44</v>
      </c>
      <c r="T150">
        <f t="shared" si="60"/>
        <v>34.56</v>
      </c>
      <c r="U150">
        <f>I150*E150/'[1]Inverter Analysis'!$L$2</f>
        <v>347.82826708923238</v>
      </c>
      <c r="V150">
        <f t="shared" si="61"/>
        <v>277.77777777777777</v>
      </c>
      <c r="W150">
        <f t="shared" si="62"/>
        <v>315.65656565656565</v>
      </c>
      <c r="X150">
        <f t="shared" si="63"/>
        <v>198.4126984126984</v>
      </c>
      <c r="Y150">
        <f t="shared" si="64"/>
        <v>0.59783440465258653</v>
      </c>
      <c r="Z150">
        <f t="shared" si="65"/>
        <v>3.3239973887999996</v>
      </c>
    </row>
    <row r="151" spans="1:26" hidden="1">
      <c r="A151">
        <v>11</v>
      </c>
      <c r="B151" s="1">
        <v>6</v>
      </c>
      <c r="C151" s="1">
        <v>8</v>
      </c>
      <c r="D151">
        <f t="shared" si="44"/>
        <v>840</v>
      </c>
      <c r="E151">
        <f t="shared" si="45"/>
        <v>360</v>
      </c>
      <c r="F151">
        <f t="shared" si="46"/>
        <v>36.432000000000002</v>
      </c>
      <c r="G151">
        <f t="shared" si="47"/>
        <v>8.7999999999999995E-2</v>
      </c>
      <c r="H151">
        <f t="shared" si="48"/>
        <v>133.05600000000001</v>
      </c>
      <c r="I151">
        <f t="shared" si="49"/>
        <v>369.6</v>
      </c>
      <c r="J151">
        <f t="shared" si="50"/>
        <v>264</v>
      </c>
      <c r="K151">
        <f t="shared" si="51"/>
        <v>95.04</v>
      </c>
      <c r="L151">
        <f t="shared" si="52"/>
        <v>8.7595200000000002</v>
      </c>
      <c r="M151">
        <f t="shared" si="53"/>
        <v>8.4268800000000006</v>
      </c>
      <c r="N151">
        <f t="shared" si="54"/>
        <v>6.0984000000000007</v>
      </c>
      <c r="O151">
        <f t="shared" si="55"/>
        <v>6.1831905882352949</v>
      </c>
      <c r="P151">
        <f t="shared" si="56"/>
        <v>3.9913606911447088</v>
      </c>
      <c r="Q151">
        <f t="shared" si="57"/>
        <v>46.2</v>
      </c>
      <c r="R151">
        <f t="shared" si="58"/>
        <v>528</v>
      </c>
      <c r="S151">
        <f t="shared" si="59"/>
        <v>232.32</v>
      </c>
      <c r="T151">
        <f t="shared" si="60"/>
        <v>31.68</v>
      </c>
      <c r="U151">
        <f>I151*E151/'[1]Inverter Analysis'!$L$2</f>
        <v>318.84257816512962</v>
      </c>
      <c r="V151">
        <f t="shared" si="61"/>
        <v>303.030303030303</v>
      </c>
      <c r="W151">
        <f t="shared" si="62"/>
        <v>344.3526170798898</v>
      </c>
      <c r="X151">
        <f t="shared" si="63"/>
        <v>216.45021645021643</v>
      </c>
      <c r="Y151">
        <f t="shared" si="64"/>
        <v>0.71147234933861525</v>
      </c>
      <c r="Z151">
        <f t="shared" si="65"/>
        <v>2.5603243776000006</v>
      </c>
    </row>
    <row r="152" spans="1:26" hidden="1">
      <c r="A152">
        <v>10</v>
      </c>
      <c r="B152" s="1">
        <v>6</v>
      </c>
      <c r="C152" s="1">
        <v>8</v>
      </c>
      <c r="D152">
        <f t="shared" si="44"/>
        <v>840</v>
      </c>
      <c r="E152">
        <f t="shared" si="45"/>
        <v>360</v>
      </c>
      <c r="F152">
        <f t="shared" si="46"/>
        <v>33.119999999999997</v>
      </c>
      <c r="G152">
        <f t="shared" si="47"/>
        <v>0.08</v>
      </c>
      <c r="H152">
        <f t="shared" si="48"/>
        <v>120.96</v>
      </c>
      <c r="I152">
        <f t="shared" si="49"/>
        <v>336</v>
      </c>
      <c r="J152">
        <f t="shared" si="50"/>
        <v>240</v>
      </c>
      <c r="K152">
        <f t="shared" si="51"/>
        <v>86.4</v>
      </c>
      <c r="L152">
        <f t="shared" si="52"/>
        <v>7.9632000000000005</v>
      </c>
      <c r="M152">
        <f t="shared" si="53"/>
        <v>7.6607999999999992</v>
      </c>
      <c r="N152">
        <f t="shared" si="54"/>
        <v>5.5439999999999996</v>
      </c>
      <c r="O152">
        <f t="shared" si="55"/>
        <v>5.6210823529411771</v>
      </c>
      <c r="P152">
        <f t="shared" si="56"/>
        <v>3.6285097192224622</v>
      </c>
      <c r="Q152">
        <f t="shared" si="57"/>
        <v>42</v>
      </c>
      <c r="R152">
        <f t="shared" si="58"/>
        <v>480</v>
      </c>
      <c r="S152">
        <f t="shared" si="59"/>
        <v>211.2</v>
      </c>
      <c r="T152">
        <f t="shared" si="60"/>
        <v>28.8</v>
      </c>
      <c r="U152">
        <f>I152*E152/'[1]Inverter Analysis'!$L$2</f>
        <v>289.85688924102692</v>
      </c>
      <c r="V152">
        <f t="shared" si="61"/>
        <v>333.33333333333331</v>
      </c>
      <c r="W152">
        <f t="shared" si="62"/>
        <v>378.78787878787881</v>
      </c>
      <c r="X152">
        <f t="shared" si="63"/>
        <v>238.0952380952381</v>
      </c>
      <c r="Y152">
        <f t="shared" si="64"/>
        <v>0.86088154269972472</v>
      </c>
      <c r="Z152">
        <f t="shared" si="65"/>
        <v>1.9236095999999994</v>
      </c>
    </row>
    <row r="153" spans="1:26" hidden="1">
      <c r="A153" s="8">
        <v>16</v>
      </c>
      <c r="B153" s="9">
        <v>5</v>
      </c>
      <c r="C153" s="1">
        <v>8</v>
      </c>
      <c r="D153">
        <f t="shared" si="44"/>
        <v>700</v>
      </c>
      <c r="E153">
        <f t="shared" si="45"/>
        <v>300</v>
      </c>
      <c r="F153">
        <f t="shared" si="46"/>
        <v>44.16</v>
      </c>
      <c r="G153">
        <f t="shared" si="47"/>
        <v>0.15360000000000001</v>
      </c>
      <c r="H153">
        <f t="shared" si="48"/>
        <v>161.28</v>
      </c>
      <c r="I153">
        <f t="shared" si="49"/>
        <v>537.6</v>
      </c>
      <c r="J153">
        <f t="shared" si="50"/>
        <v>384</v>
      </c>
      <c r="K153">
        <f t="shared" si="51"/>
        <v>115.2</v>
      </c>
      <c r="L153">
        <f t="shared" si="52"/>
        <v>10.617599999999999</v>
      </c>
      <c r="M153">
        <f t="shared" si="53"/>
        <v>10.214399999999999</v>
      </c>
      <c r="N153">
        <f t="shared" si="54"/>
        <v>7.3920000000000003</v>
      </c>
      <c r="O153">
        <f t="shared" si="55"/>
        <v>7.4947764705882358</v>
      </c>
      <c r="P153">
        <f t="shared" si="56"/>
        <v>4.838012958963283</v>
      </c>
      <c r="Q153">
        <f t="shared" si="57"/>
        <v>67.2</v>
      </c>
      <c r="R153">
        <f t="shared" si="58"/>
        <v>640</v>
      </c>
      <c r="S153">
        <f t="shared" si="59"/>
        <v>337.92</v>
      </c>
      <c r="T153">
        <f t="shared" si="60"/>
        <v>46.080000000000005</v>
      </c>
      <c r="U153">
        <f>I153*E153/'[1]Inverter Analysis'!$L$2</f>
        <v>386.47585232136925</v>
      </c>
      <c r="V153">
        <f t="shared" si="61"/>
        <v>208.33333333333334</v>
      </c>
      <c r="W153">
        <f t="shared" si="62"/>
        <v>236.74242424242422</v>
      </c>
      <c r="X153">
        <f t="shared" si="63"/>
        <v>148.8095238095238</v>
      </c>
      <c r="Y153">
        <f t="shared" si="64"/>
        <v>0.33628185261707982</v>
      </c>
      <c r="Z153">
        <f t="shared" si="65"/>
        <v>6.5659207680000007</v>
      </c>
    </row>
    <row r="154" spans="1:26" hidden="1">
      <c r="A154" s="8">
        <v>15</v>
      </c>
      <c r="B154" s="9">
        <v>5</v>
      </c>
      <c r="C154" s="1">
        <v>8</v>
      </c>
      <c r="D154">
        <f t="shared" si="44"/>
        <v>700</v>
      </c>
      <c r="E154">
        <f t="shared" si="45"/>
        <v>300</v>
      </c>
      <c r="F154">
        <f t="shared" si="46"/>
        <v>41.4</v>
      </c>
      <c r="G154">
        <f t="shared" si="47"/>
        <v>0.14400000000000002</v>
      </c>
      <c r="H154">
        <f t="shared" si="48"/>
        <v>151.19999999999999</v>
      </c>
      <c r="I154">
        <f t="shared" si="49"/>
        <v>504</v>
      </c>
      <c r="J154">
        <f t="shared" si="50"/>
        <v>360</v>
      </c>
      <c r="K154">
        <f t="shared" si="51"/>
        <v>108</v>
      </c>
      <c r="L154">
        <f t="shared" si="52"/>
        <v>9.9540000000000006</v>
      </c>
      <c r="M154">
        <f t="shared" si="53"/>
        <v>9.5760000000000005</v>
      </c>
      <c r="N154">
        <f t="shared" si="54"/>
        <v>6.93</v>
      </c>
      <c r="O154">
        <f t="shared" si="55"/>
        <v>7.0263529411764711</v>
      </c>
      <c r="P154">
        <f t="shared" si="56"/>
        <v>4.5356371490280774</v>
      </c>
      <c r="Q154">
        <f t="shared" si="57"/>
        <v>63</v>
      </c>
      <c r="R154">
        <f t="shared" si="58"/>
        <v>600</v>
      </c>
      <c r="S154">
        <f t="shared" si="59"/>
        <v>316.8</v>
      </c>
      <c r="T154">
        <f t="shared" si="60"/>
        <v>43.2</v>
      </c>
      <c r="U154">
        <f>I154*E154/'[1]Inverter Analysis'!$L$2</f>
        <v>362.32111155128365</v>
      </c>
      <c r="V154">
        <f t="shared" si="61"/>
        <v>222.22222222222223</v>
      </c>
      <c r="W154">
        <f t="shared" si="62"/>
        <v>252.52525252525251</v>
      </c>
      <c r="X154">
        <f t="shared" si="63"/>
        <v>158.73015873015873</v>
      </c>
      <c r="Y154">
        <f t="shared" si="64"/>
        <v>0.38261401897765529</v>
      </c>
      <c r="Z154">
        <f t="shared" si="65"/>
        <v>5.4101520000000001</v>
      </c>
    </row>
    <row r="155" spans="1:26" hidden="1">
      <c r="A155">
        <v>14</v>
      </c>
      <c r="B155" s="9">
        <v>5</v>
      </c>
      <c r="C155" s="1">
        <v>8</v>
      </c>
      <c r="D155">
        <f t="shared" si="44"/>
        <v>700</v>
      </c>
      <c r="E155">
        <f t="shared" si="45"/>
        <v>300</v>
      </c>
      <c r="F155">
        <f t="shared" si="46"/>
        <v>38.64</v>
      </c>
      <c r="G155">
        <f t="shared" si="47"/>
        <v>0.13440000000000002</v>
      </c>
      <c r="H155">
        <f t="shared" si="48"/>
        <v>141.12</v>
      </c>
      <c r="I155">
        <f t="shared" si="49"/>
        <v>470.40000000000003</v>
      </c>
      <c r="J155">
        <f t="shared" si="50"/>
        <v>336</v>
      </c>
      <c r="K155">
        <f t="shared" si="51"/>
        <v>100.8</v>
      </c>
      <c r="L155">
        <f t="shared" si="52"/>
        <v>9.2904000000000018</v>
      </c>
      <c r="M155">
        <f t="shared" si="53"/>
        <v>8.9375999999999998</v>
      </c>
      <c r="N155">
        <f t="shared" si="54"/>
        <v>6.4680000000000009</v>
      </c>
      <c r="O155">
        <f t="shared" si="55"/>
        <v>6.5579294117647073</v>
      </c>
      <c r="P155">
        <f t="shared" si="56"/>
        <v>4.2332613390928726</v>
      </c>
      <c r="Q155">
        <f t="shared" si="57"/>
        <v>58.800000000000004</v>
      </c>
      <c r="R155">
        <f t="shared" si="58"/>
        <v>560</v>
      </c>
      <c r="S155">
        <f t="shared" si="59"/>
        <v>295.68</v>
      </c>
      <c r="T155">
        <f t="shared" si="60"/>
        <v>40.320000000000007</v>
      </c>
      <c r="U155">
        <f>I155*E155/'[1]Inverter Analysis'!$L$2</f>
        <v>338.16637078119811</v>
      </c>
      <c r="V155">
        <f t="shared" si="61"/>
        <v>238.0952380952381</v>
      </c>
      <c r="W155">
        <f t="shared" si="62"/>
        <v>270.56277056277054</v>
      </c>
      <c r="X155">
        <f t="shared" si="63"/>
        <v>170.06802721088434</v>
      </c>
      <c r="Y155">
        <f t="shared" si="64"/>
        <v>0.43922527688761454</v>
      </c>
      <c r="Z155">
        <f t="shared" si="65"/>
        <v>4.3986539520000001</v>
      </c>
    </row>
    <row r="156" spans="1:26" hidden="1">
      <c r="A156">
        <v>13</v>
      </c>
      <c r="B156" s="9">
        <v>5</v>
      </c>
      <c r="C156" s="1">
        <v>8</v>
      </c>
      <c r="D156">
        <f t="shared" si="44"/>
        <v>700</v>
      </c>
      <c r="E156">
        <f t="shared" si="45"/>
        <v>300</v>
      </c>
      <c r="F156">
        <f t="shared" si="46"/>
        <v>35.880000000000003</v>
      </c>
      <c r="G156">
        <f t="shared" si="47"/>
        <v>0.12480000000000001</v>
      </c>
      <c r="H156">
        <f t="shared" si="48"/>
        <v>131.04</v>
      </c>
      <c r="I156">
        <f t="shared" si="49"/>
        <v>436.8</v>
      </c>
      <c r="J156">
        <f t="shared" si="50"/>
        <v>312</v>
      </c>
      <c r="K156">
        <f t="shared" si="51"/>
        <v>93.6</v>
      </c>
      <c r="L156">
        <f t="shared" si="52"/>
        <v>8.6268000000000011</v>
      </c>
      <c r="M156">
        <f t="shared" si="53"/>
        <v>8.299199999999999</v>
      </c>
      <c r="N156">
        <f t="shared" si="54"/>
        <v>6.0060000000000002</v>
      </c>
      <c r="O156">
        <f t="shared" si="55"/>
        <v>6.0895058823529427</v>
      </c>
      <c r="P156">
        <f t="shared" si="56"/>
        <v>3.9308855291576674</v>
      </c>
      <c r="Q156">
        <f t="shared" si="57"/>
        <v>54.6</v>
      </c>
      <c r="R156">
        <f t="shared" si="58"/>
        <v>520</v>
      </c>
      <c r="S156">
        <f t="shared" si="59"/>
        <v>274.56</v>
      </c>
      <c r="T156">
        <f t="shared" si="60"/>
        <v>37.440000000000005</v>
      </c>
      <c r="U156">
        <f>I156*E156/'[1]Inverter Analysis'!$L$2</f>
        <v>314.01163001111252</v>
      </c>
      <c r="V156">
        <f t="shared" si="61"/>
        <v>256.41025641025641</v>
      </c>
      <c r="W156">
        <f t="shared" si="62"/>
        <v>291.3752913752914</v>
      </c>
      <c r="X156">
        <f t="shared" si="63"/>
        <v>183.15018315018315</v>
      </c>
      <c r="Y156">
        <f t="shared" si="64"/>
        <v>0.50939736254421586</v>
      </c>
      <c r="Z156">
        <f t="shared" si="65"/>
        <v>3.5218085759999989</v>
      </c>
    </row>
    <row r="157" spans="1:26" hidden="1">
      <c r="A157">
        <v>12</v>
      </c>
      <c r="B157" s="9">
        <v>5</v>
      </c>
      <c r="C157" s="1">
        <v>8</v>
      </c>
      <c r="D157">
        <f t="shared" si="44"/>
        <v>700</v>
      </c>
      <c r="E157">
        <f t="shared" si="45"/>
        <v>300</v>
      </c>
      <c r="F157">
        <f t="shared" si="46"/>
        <v>33.119999999999997</v>
      </c>
      <c r="G157">
        <f t="shared" si="47"/>
        <v>0.11520000000000001</v>
      </c>
      <c r="H157">
        <f t="shared" si="48"/>
        <v>120.96000000000001</v>
      </c>
      <c r="I157">
        <f t="shared" si="49"/>
        <v>403.20000000000005</v>
      </c>
      <c r="J157">
        <f t="shared" si="50"/>
        <v>288</v>
      </c>
      <c r="K157">
        <f t="shared" si="51"/>
        <v>86.4</v>
      </c>
      <c r="L157">
        <f t="shared" si="52"/>
        <v>7.9632000000000014</v>
      </c>
      <c r="M157">
        <f t="shared" si="53"/>
        <v>7.6608000000000001</v>
      </c>
      <c r="N157">
        <f t="shared" si="54"/>
        <v>5.5440000000000005</v>
      </c>
      <c r="O157">
        <f t="shared" si="55"/>
        <v>5.621082352941178</v>
      </c>
      <c r="P157">
        <f t="shared" si="56"/>
        <v>3.6285097192224627</v>
      </c>
      <c r="Q157">
        <f t="shared" si="57"/>
        <v>50.400000000000006</v>
      </c>
      <c r="R157">
        <f t="shared" si="58"/>
        <v>480</v>
      </c>
      <c r="S157">
        <f t="shared" si="59"/>
        <v>253.44</v>
      </c>
      <c r="T157">
        <f t="shared" si="60"/>
        <v>34.56</v>
      </c>
      <c r="U157">
        <f>I157*E157/'[1]Inverter Analysis'!$L$2</f>
        <v>289.85688924102698</v>
      </c>
      <c r="V157">
        <f t="shared" si="61"/>
        <v>277.77777777777777</v>
      </c>
      <c r="W157">
        <f t="shared" si="62"/>
        <v>315.65656565656565</v>
      </c>
      <c r="X157">
        <f t="shared" si="63"/>
        <v>198.4126984126984</v>
      </c>
      <c r="Y157">
        <f t="shared" si="64"/>
        <v>0.59783440465258653</v>
      </c>
      <c r="Z157">
        <f t="shared" si="65"/>
        <v>2.7699978239999994</v>
      </c>
    </row>
    <row r="158" spans="1:26" hidden="1">
      <c r="A158">
        <v>11</v>
      </c>
      <c r="B158" s="9">
        <v>5</v>
      </c>
      <c r="C158" s="1">
        <v>8</v>
      </c>
      <c r="D158">
        <f t="shared" si="44"/>
        <v>700</v>
      </c>
      <c r="E158">
        <f t="shared" si="45"/>
        <v>300</v>
      </c>
      <c r="F158">
        <f t="shared" si="46"/>
        <v>30.36</v>
      </c>
      <c r="G158">
        <f t="shared" si="47"/>
        <v>0.10560000000000001</v>
      </c>
      <c r="H158">
        <f t="shared" si="48"/>
        <v>110.88</v>
      </c>
      <c r="I158">
        <f t="shared" si="49"/>
        <v>369.6</v>
      </c>
      <c r="J158">
        <f t="shared" si="50"/>
        <v>264</v>
      </c>
      <c r="K158">
        <f t="shared" si="51"/>
        <v>79.2</v>
      </c>
      <c r="L158">
        <f t="shared" si="52"/>
        <v>7.2996000000000008</v>
      </c>
      <c r="M158">
        <f t="shared" si="53"/>
        <v>7.0223999999999993</v>
      </c>
      <c r="N158">
        <f t="shared" si="54"/>
        <v>5.0819999999999999</v>
      </c>
      <c r="O158">
        <f t="shared" si="55"/>
        <v>5.1526588235294124</v>
      </c>
      <c r="P158">
        <f t="shared" si="56"/>
        <v>3.3261339092872571</v>
      </c>
      <c r="Q158">
        <f t="shared" si="57"/>
        <v>46.2</v>
      </c>
      <c r="R158">
        <f t="shared" si="58"/>
        <v>440</v>
      </c>
      <c r="S158">
        <f t="shared" si="59"/>
        <v>232.32</v>
      </c>
      <c r="T158">
        <f t="shared" si="60"/>
        <v>31.680000000000003</v>
      </c>
      <c r="U158">
        <f>I158*E158/'[1]Inverter Analysis'!$L$2</f>
        <v>265.70214847094138</v>
      </c>
      <c r="V158">
        <f t="shared" si="61"/>
        <v>303.030303030303</v>
      </c>
      <c r="W158">
        <f t="shared" si="62"/>
        <v>344.3526170798898</v>
      </c>
      <c r="X158">
        <f t="shared" si="63"/>
        <v>216.45021645021643</v>
      </c>
      <c r="Y158">
        <f t="shared" si="64"/>
        <v>0.71147234933861525</v>
      </c>
      <c r="Z158">
        <f t="shared" si="65"/>
        <v>2.1336036480000002</v>
      </c>
    </row>
    <row r="159" spans="1:26" hidden="1">
      <c r="A159">
        <v>10</v>
      </c>
      <c r="B159" s="9">
        <v>5</v>
      </c>
      <c r="C159" s="1">
        <v>8</v>
      </c>
      <c r="D159">
        <f t="shared" si="44"/>
        <v>700</v>
      </c>
      <c r="E159">
        <f t="shared" si="45"/>
        <v>300</v>
      </c>
      <c r="F159">
        <f t="shared" si="46"/>
        <v>27.6</v>
      </c>
      <c r="G159">
        <f t="shared" si="47"/>
        <v>9.6000000000000002E-2</v>
      </c>
      <c r="H159">
        <f t="shared" si="48"/>
        <v>100.8</v>
      </c>
      <c r="I159">
        <f t="shared" si="49"/>
        <v>336</v>
      </c>
      <c r="J159">
        <f t="shared" si="50"/>
        <v>240</v>
      </c>
      <c r="K159">
        <f t="shared" si="51"/>
        <v>72</v>
      </c>
      <c r="L159">
        <f t="shared" si="52"/>
        <v>6.6360000000000001</v>
      </c>
      <c r="M159">
        <f t="shared" si="53"/>
        <v>6.3840000000000003</v>
      </c>
      <c r="N159">
        <f t="shared" si="54"/>
        <v>4.62</v>
      </c>
      <c r="O159">
        <f t="shared" si="55"/>
        <v>4.6842352941176477</v>
      </c>
      <c r="P159">
        <f t="shared" si="56"/>
        <v>3.0237580993520519</v>
      </c>
      <c r="Q159">
        <f t="shared" si="57"/>
        <v>42</v>
      </c>
      <c r="R159">
        <f t="shared" si="58"/>
        <v>400</v>
      </c>
      <c r="S159">
        <f t="shared" si="59"/>
        <v>211.2</v>
      </c>
      <c r="T159">
        <f t="shared" si="60"/>
        <v>28.8</v>
      </c>
      <c r="U159">
        <f>I159*E159/'[1]Inverter Analysis'!$L$2</f>
        <v>241.54740770085579</v>
      </c>
      <c r="V159">
        <f t="shared" si="61"/>
        <v>333.33333333333331</v>
      </c>
      <c r="W159">
        <f t="shared" si="62"/>
        <v>378.78787878787881</v>
      </c>
      <c r="X159">
        <f t="shared" si="63"/>
        <v>238.0952380952381</v>
      </c>
      <c r="Y159">
        <f t="shared" si="64"/>
        <v>0.86088154269972472</v>
      </c>
      <c r="Z159">
        <f t="shared" si="65"/>
        <v>1.6030079999999995</v>
      </c>
    </row>
    <row r="160" spans="1:26" hidden="1">
      <c r="A160">
        <v>16</v>
      </c>
      <c r="B160">
        <v>4</v>
      </c>
      <c r="C160" s="1">
        <v>8</v>
      </c>
      <c r="D160">
        <f t="shared" si="44"/>
        <v>560</v>
      </c>
      <c r="E160">
        <f t="shared" si="45"/>
        <v>240</v>
      </c>
      <c r="F160">
        <f t="shared" si="46"/>
        <v>35.328000000000003</v>
      </c>
      <c r="G160">
        <f t="shared" si="47"/>
        <v>0.192</v>
      </c>
      <c r="H160">
        <f t="shared" si="48"/>
        <v>129.024</v>
      </c>
      <c r="I160">
        <f t="shared" si="49"/>
        <v>537.6</v>
      </c>
      <c r="J160">
        <f t="shared" si="50"/>
        <v>384</v>
      </c>
      <c r="K160">
        <f t="shared" si="51"/>
        <v>92.16</v>
      </c>
      <c r="L160">
        <f t="shared" si="52"/>
        <v>8.4940800000000003</v>
      </c>
      <c r="M160">
        <f t="shared" si="53"/>
        <v>8.1715199999999992</v>
      </c>
      <c r="N160">
        <f t="shared" si="54"/>
        <v>5.9136000000000006</v>
      </c>
      <c r="O160">
        <f t="shared" si="55"/>
        <v>5.9958211764705887</v>
      </c>
      <c r="P160">
        <f t="shared" si="56"/>
        <v>3.8704103671706265</v>
      </c>
      <c r="Q160">
        <f t="shared" si="57"/>
        <v>67.2</v>
      </c>
      <c r="R160">
        <f t="shared" si="58"/>
        <v>512</v>
      </c>
      <c r="S160">
        <f t="shared" si="59"/>
        <v>337.92</v>
      </c>
      <c r="T160">
        <f t="shared" si="60"/>
        <v>46.08</v>
      </c>
      <c r="U160">
        <f>I160*E160/'[1]Inverter Analysis'!$L$2</f>
        <v>309.18068185709541</v>
      </c>
      <c r="V160">
        <f t="shared" si="61"/>
        <v>208.33333333333334</v>
      </c>
      <c r="W160">
        <f t="shared" si="62"/>
        <v>236.74242424242422</v>
      </c>
      <c r="X160">
        <f t="shared" si="63"/>
        <v>148.8095238095238</v>
      </c>
      <c r="Y160">
        <f t="shared" si="64"/>
        <v>0.33628185261707982</v>
      </c>
      <c r="Z160">
        <f t="shared" si="65"/>
        <v>5.2527366144000007</v>
      </c>
    </row>
    <row r="161" spans="1:26" hidden="1">
      <c r="A161">
        <v>15</v>
      </c>
      <c r="B161">
        <v>4</v>
      </c>
      <c r="C161" s="1">
        <v>8</v>
      </c>
      <c r="D161">
        <f t="shared" si="44"/>
        <v>560</v>
      </c>
      <c r="E161">
        <f t="shared" si="45"/>
        <v>240</v>
      </c>
      <c r="F161">
        <f t="shared" si="46"/>
        <v>33.119999999999997</v>
      </c>
      <c r="G161">
        <f t="shared" si="47"/>
        <v>0.18</v>
      </c>
      <c r="H161">
        <f t="shared" si="48"/>
        <v>120.96</v>
      </c>
      <c r="I161">
        <f t="shared" si="49"/>
        <v>504</v>
      </c>
      <c r="J161">
        <f t="shared" si="50"/>
        <v>360</v>
      </c>
      <c r="K161">
        <f t="shared" si="51"/>
        <v>86.4</v>
      </c>
      <c r="L161">
        <f t="shared" si="52"/>
        <v>7.9632000000000005</v>
      </c>
      <c r="M161">
        <f t="shared" si="53"/>
        <v>7.6607999999999992</v>
      </c>
      <c r="N161">
        <f t="shared" si="54"/>
        <v>5.5439999999999996</v>
      </c>
      <c r="O161">
        <f t="shared" si="55"/>
        <v>5.6210823529411771</v>
      </c>
      <c r="P161">
        <f t="shared" si="56"/>
        <v>3.6285097192224622</v>
      </c>
      <c r="Q161">
        <f t="shared" si="57"/>
        <v>63</v>
      </c>
      <c r="R161">
        <f t="shared" si="58"/>
        <v>480</v>
      </c>
      <c r="S161">
        <f t="shared" si="59"/>
        <v>316.8</v>
      </c>
      <c r="T161">
        <f t="shared" si="60"/>
        <v>43.199999999999996</v>
      </c>
      <c r="U161">
        <f>I161*E161/'[1]Inverter Analysis'!$L$2</f>
        <v>289.85688924102692</v>
      </c>
      <c r="V161">
        <f t="shared" si="61"/>
        <v>222.22222222222223</v>
      </c>
      <c r="W161">
        <f t="shared" si="62"/>
        <v>252.52525252525251</v>
      </c>
      <c r="X161">
        <f t="shared" si="63"/>
        <v>158.73015873015873</v>
      </c>
      <c r="Y161">
        <f t="shared" si="64"/>
        <v>0.38261401897765529</v>
      </c>
      <c r="Z161">
        <f t="shared" si="65"/>
        <v>4.3281216000000002</v>
      </c>
    </row>
    <row r="162" spans="1:26" hidden="1">
      <c r="A162">
        <v>14</v>
      </c>
      <c r="B162">
        <v>4</v>
      </c>
      <c r="C162" s="1">
        <v>8</v>
      </c>
      <c r="D162">
        <f t="shared" si="44"/>
        <v>560</v>
      </c>
      <c r="E162">
        <f t="shared" si="45"/>
        <v>240</v>
      </c>
      <c r="F162">
        <f t="shared" si="46"/>
        <v>30.911999999999999</v>
      </c>
      <c r="G162">
        <f t="shared" si="47"/>
        <v>0.16800000000000001</v>
      </c>
      <c r="H162">
        <f t="shared" si="48"/>
        <v>112.89600000000002</v>
      </c>
      <c r="I162">
        <f t="shared" si="49"/>
        <v>470.40000000000003</v>
      </c>
      <c r="J162">
        <f t="shared" si="50"/>
        <v>336</v>
      </c>
      <c r="K162">
        <f t="shared" si="51"/>
        <v>80.64</v>
      </c>
      <c r="L162">
        <f t="shared" si="52"/>
        <v>7.4323200000000007</v>
      </c>
      <c r="M162">
        <f t="shared" si="53"/>
        <v>7.15008</v>
      </c>
      <c r="N162">
        <f t="shared" si="54"/>
        <v>5.1744000000000003</v>
      </c>
      <c r="O162">
        <f t="shared" si="55"/>
        <v>5.2463435294117655</v>
      </c>
      <c r="P162">
        <f t="shared" si="56"/>
        <v>3.386609071274298</v>
      </c>
      <c r="Q162">
        <f t="shared" si="57"/>
        <v>58.800000000000004</v>
      </c>
      <c r="R162">
        <f t="shared" si="58"/>
        <v>448</v>
      </c>
      <c r="S162">
        <f t="shared" si="59"/>
        <v>295.68</v>
      </c>
      <c r="T162">
        <f t="shared" si="60"/>
        <v>40.32</v>
      </c>
      <c r="U162">
        <f>I162*E162/'[1]Inverter Analysis'!$L$2</f>
        <v>270.53309662495849</v>
      </c>
      <c r="V162">
        <f t="shared" si="61"/>
        <v>238.0952380952381</v>
      </c>
      <c r="W162">
        <f t="shared" si="62"/>
        <v>270.56277056277054</v>
      </c>
      <c r="X162">
        <f t="shared" si="63"/>
        <v>170.06802721088434</v>
      </c>
      <c r="Y162">
        <f t="shared" si="64"/>
        <v>0.43922527688761454</v>
      </c>
      <c r="Z162">
        <f t="shared" si="65"/>
        <v>3.5189231616000001</v>
      </c>
    </row>
    <row r="163" spans="1:26" hidden="1">
      <c r="A163">
        <v>13</v>
      </c>
      <c r="B163">
        <v>4</v>
      </c>
      <c r="C163" s="1">
        <v>8</v>
      </c>
      <c r="D163">
        <f t="shared" si="44"/>
        <v>560</v>
      </c>
      <c r="E163">
        <f t="shared" si="45"/>
        <v>240</v>
      </c>
      <c r="F163">
        <f t="shared" si="46"/>
        <v>28.704000000000001</v>
      </c>
      <c r="G163">
        <f t="shared" si="47"/>
        <v>0.156</v>
      </c>
      <c r="H163">
        <f t="shared" si="48"/>
        <v>104.83199999999999</v>
      </c>
      <c r="I163">
        <f t="shared" si="49"/>
        <v>436.8</v>
      </c>
      <c r="J163">
        <f t="shared" si="50"/>
        <v>312</v>
      </c>
      <c r="K163">
        <f t="shared" si="51"/>
        <v>74.88</v>
      </c>
      <c r="L163">
        <f t="shared" si="52"/>
        <v>6.9014400000000009</v>
      </c>
      <c r="M163">
        <f t="shared" si="53"/>
        <v>6.6393599999999999</v>
      </c>
      <c r="N163">
        <f t="shared" si="54"/>
        <v>4.8048000000000002</v>
      </c>
      <c r="O163">
        <f t="shared" si="55"/>
        <v>4.8716047058823539</v>
      </c>
      <c r="P163">
        <f t="shared" si="56"/>
        <v>3.1447084233261338</v>
      </c>
      <c r="Q163">
        <f t="shared" si="57"/>
        <v>54.6</v>
      </c>
      <c r="R163">
        <f t="shared" si="58"/>
        <v>416</v>
      </c>
      <c r="S163">
        <f t="shared" si="59"/>
        <v>274.56</v>
      </c>
      <c r="T163">
        <f t="shared" si="60"/>
        <v>37.44</v>
      </c>
      <c r="U163">
        <f>I163*E163/'[1]Inverter Analysis'!$L$2</f>
        <v>251.20930400889</v>
      </c>
      <c r="V163">
        <f t="shared" si="61"/>
        <v>256.41025641025641</v>
      </c>
      <c r="W163">
        <f t="shared" si="62"/>
        <v>291.3752913752914</v>
      </c>
      <c r="X163">
        <f t="shared" si="63"/>
        <v>183.15018315018315</v>
      </c>
      <c r="Y163">
        <f t="shared" si="64"/>
        <v>0.50939736254421586</v>
      </c>
      <c r="Z163">
        <f t="shared" si="65"/>
        <v>2.8174468607999992</v>
      </c>
    </row>
    <row r="164" spans="1:26" hidden="1">
      <c r="A164">
        <v>12</v>
      </c>
      <c r="B164">
        <v>4</v>
      </c>
      <c r="C164" s="1">
        <v>8</v>
      </c>
      <c r="D164">
        <f t="shared" si="44"/>
        <v>560</v>
      </c>
      <c r="E164">
        <f t="shared" si="45"/>
        <v>240</v>
      </c>
      <c r="F164">
        <f t="shared" si="46"/>
        <v>26.495999999999999</v>
      </c>
      <c r="G164">
        <f t="shared" si="47"/>
        <v>0.14400000000000002</v>
      </c>
      <c r="H164">
        <f t="shared" si="48"/>
        <v>96.768000000000015</v>
      </c>
      <c r="I164">
        <f t="shared" si="49"/>
        <v>403.20000000000005</v>
      </c>
      <c r="J164">
        <f t="shared" si="50"/>
        <v>288</v>
      </c>
      <c r="K164">
        <f t="shared" si="51"/>
        <v>69.12</v>
      </c>
      <c r="L164">
        <f t="shared" si="52"/>
        <v>6.3705600000000011</v>
      </c>
      <c r="M164">
        <f t="shared" si="53"/>
        <v>6.1286400000000008</v>
      </c>
      <c r="N164">
        <f t="shared" si="54"/>
        <v>4.4352000000000009</v>
      </c>
      <c r="O164">
        <f t="shared" si="55"/>
        <v>4.4968658823529424</v>
      </c>
      <c r="P164">
        <f t="shared" si="56"/>
        <v>2.90280777537797</v>
      </c>
      <c r="Q164">
        <f t="shared" si="57"/>
        <v>50.400000000000006</v>
      </c>
      <c r="R164">
        <f t="shared" si="58"/>
        <v>384</v>
      </c>
      <c r="S164">
        <f t="shared" si="59"/>
        <v>253.44</v>
      </c>
      <c r="T164">
        <f t="shared" si="60"/>
        <v>34.56</v>
      </c>
      <c r="U164">
        <f>I164*E164/'[1]Inverter Analysis'!$L$2</f>
        <v>231.8855113928216</v>
      </c>
      <c r="V164">
        <f t="shared" si="61"/>
        <v>277.77777777777777</v>
      </c>
      <c r="W164">
        <f t="shared" si="62"/>
        <v>315.65656565656565</v>
      </c>
      <c r="X164">
        <f t="shared" si="63"/>
        <v>198.4126984126984</v>
      </c>
      <c r="Y164">
        <f t="shared" si="64"/>
        <v>0.59783440465258653</v>
      </c>
      <c r="Z164">
        <f t="shared" si="65"/>
        <v>2.2159982591999996</v>
      </c>
    </row>
    <row r="165" spans="1:26" hidden="1">
      <c r="A165">
        <v>11</v>
      </c>
      <c r="B165">
        <v>4</v>
      </c>
      <c r="C165" s="1">
        <v>8</v>
      </c>
      <c r="D165">
        <f t="shared" si="44"/>
        <v>560</v>
      </c>
      <c r="E165">
        <f t="shared" si="45"/>
        <v>240</v>
      </c>
      <c r="F165">
        <f t="shared" si="46"/>
        <v>24.288</v>
      </c>
      <c r="G165">
        <f t="shared" si="47"/>
        <v>0.13200000000000001</v>
      </c>
      <c r="H165">
        <f t="shared" si="48"/>
        <v>88.703999999999994</v>
      </c>
      <c r="I165">
        <f t="shared" si="49"/>
        <v>369.6</v>
      </c>
      <c r="J165">
        <f t="shared" si="50"/>
        <v>264</v>
      </c>
      <c r="K165">
        <f t="shared" si="51"/>
        <v>63.36</v>
      </c>
      <c r="L165">
        <f t="shared" si="52"/>
        <v>5.8396800000000004</v>
      </c>
      <c r="M165">
        <f t="shared" si="53"/>
        <v>5.6179199999999998</v>
      </c>
      <c r="N165">
        <f t="shared" si="54"/>
        <v>4.0656000000000008</v>
      </c>
      <c r="O165">
        <f t="shared" si="55"/>
        <v>4.1221270588235299</v>
      </c>
      <c r="P165">
        <f t="shared" si="56"/>
        <v>2.6609071274298057</v>
      </c>
      <c r="Q165">
        <f t="shared" si="57"/>
        <v>46.2</v>
      </c>
      <c r="R165">
        <f t="shared" si="58"/>
        <v>352</v>
      </c>
      <c r="S165">
        <f t="shared" si="59"/>
        <v>232.32</v>
      </c>
      <c r="T165">
        <f t="shared" si="60"/>
        <v>31.68</v>
      </c>
      <c r="U165">
        <f>I165*E165/'[1]Inverter Analysis'!$L$2</f>
        <v>212.56171877675308</v>
      </c>
      <c r="V165">
        <f t="shared" si="61"/>
        <v>303.030303030303</v>
      </c>
      <c r="W165">
        <f t="shared" si="62"/>
        <v>344.3526170798898</v>
      </c>
      <c r="X165">
        <f t="shared" si="63"/>
        <v>216.45021645021643</v>
      </c>
      <c r="Y165">
        <f t="shared" si="64"/>
        <v>0.71147234933861525</v>
      </c>
      <c r="Z165">
        <f t="shared" si="65"/>
        <v>1.7068829184000001</v>
      </c>
    </row>
    <row r="166" spans="1:26" hidden="1">
      <c r="A166">
        <v>10</v>
      </c>
      <c r="B166">
        <v>4</v>
      </c>
      <c r="C166" s="1">
        <v>8</v>
      </c>
      <c r="D166">
        <f t="shared" si="44"/>
        <v>560</v>
      </c>
      <c r="E166">
        <f t="shared" si="45"/>
        <v>240</v>
      </c>
      <c r="F166">
        <f t="shared" si="46"/>
        <v>22.08</v>
      </c>
      <c r="G166">
        <f t="shared" si="47"/>
        <v>0.12</v>
      </c>
      <c r="H166">
        <f t="shared" si="48"/>
        <v>80.64</v>
      </c>
      <c r="I166">
        <f t="shared" si="49"/>
        <v>336</v>
      </c>
      <c r="J166">
        <f t="shared" si="50"/>
        <v>240</v>
      </c>
      <c r="K166">
        <f t="shared" si="51"/>
        <v>57.6</v>
      </c>
      <c r="L166">
        <f t="shared" si="52"/>
        <v>5.3087999999999997</v>
      </c>
      <c r="M166">
        <f t="shared" si="53"/>
        <v>5.1071999999999997</v>
      </c>
      <c r="N166">
        <f t="shared" si="54"/>
        <v>3.6960000000000002</v>
      </c>
      <c r="O166">
        <f t="shared" si="55"/>
        <v>3.7473882352941179</v>
      </c>
      <c r="P166">
        <f t="shared" si="56"/>
        <v>2.4190064794816415</v>
      </c>
      <c r="Q166">
        <f t="shared" si="57"/>
        <v>42</v>
      </c>
      <c r="R166">
        <f t="shared" si="58"/>
        <v>320</v>
      </c>
      <c r="S166">
        <f t="shared" si="59"/>
        <v>211.2</v>
      </c>
      <c r="T166">
        <f t="shared" si="60"/>
        <v>28.799999999999997</v>
      </c>
      <c r="U166">
        <f>I166*E166/'[1]Inverter Analysis'!$L$2</f>
        <v>193.23792616068462</v>
      </c>
      <c r="V166">
        <f t="shared" si="61"/>
        <v>333.33333333333331</v>
      </c>
      <c r="W166">
        <f t="shared" si="62"/>
        <v>378.78787878787881</v>
      </c>
      <c r="X166">
        <f t="shared" si="63"/>
        <v>238.0952380952381</v>
      </c>
      <c r="Y166">
        <f t="shared" si="64"/>
        <v>0.86088154269972472</v>
      </c>
      <c r="Z166">
        <f t="shared" si="65"/>
        <v>1.2824063999999997</v>
      </c>
    </row>
    <row r="167" spans="1:26" hidden="1">
      <c r="A167">
        <v>16</v>
      </c>
      <c r="B167">
        <v>3</v>
      </c>
      <c r="C167" s="1">
        <v>8</v>
      </c>
      <c r="D167">
        <f t="shared" si="44"/>
        <v>420</v>
      </c>
      <c r="E167">
        <f t="shared" si="45"/>
        <v>180</v>
      </c>
      <c r="F167">
        <f t="shared" si="46"/>
        <v>26.495999999999999</v>
      </c>
      <c r="G167">
        <f t="shared" si="47"/>
        <v>0.25600000000000001</v>
      </c>
      <c r="H167">
        <f t="shared" si="48"/>
        <v>96.768000000000001</v>
      </c>
      <c r="I167">
        <f t="shared" si="49"/>
        <v>537.6</v>
      </c>
      <c r="J167">
        <f t="shared" si="50"/>
        <v>384</v>
      </c>
      <c r="K167">
        <f t="shared" si="51"/>
        <v>69.12</v>
      </c>
      <c r="L167">
        <f t="shared" si="52"/>
        <v>6.3705599999999993</v>
      </c>
      <c r="M167">
        <f t="shared" si="53"/>
        <v>6.128639999999999</v>
      </c>
      <c r="N167">
        <f t="shared" si="54"/>
        <v>4.4352000000000009</v>
      </c>
      <c r="O167">
        <f t="shared" si="55"/>
        <v>4.4968658823529406</v>
      </c>
      <c r="P167">
        <f t="shared" si="56"/>
        <v>2.90280777537797</v>
      </c>
      <c r="Q167">
        <f t="shared" si="57"/>
        <v>67.2</v>
      </c>
      <c r="R167">
        <f t="shared" si="58"/>
        <v>384</v>
      </c>
      <c r="S167">
        <f t="shared" si="59"/>
        <v>337.92</v>
      </c>
      <c r="T167">
        <f t="shared" si="60"/>
        <v>46.08</v>
      </c>
      <c r="U167">
        <f>I167*E167/'[1]Inverter Analysis'!$L$2</f>
        <v>231.88551139282154</v>
      </c>
      <c r="V167">
        <f t="shared" si="61"/>
        <v>208.33333333333334</v>
      </c>
      <c r="W167">
        <f t="shared" si="62"/>
        <v>236.74242424242422</v>
      </c>
      <c r="X167">
        <f t="shared" si="63"/>
        <v>148.8095238095238</v>
      </c>
      <c r="Y167">
        <f t="shared" si="64"/>
        <v>0.33628185261707982</v>
      </c>
      <c r="Z167">
        <f t="shared" si="65"/>
        <v>3.9395524608000003</v>
      </c>
    </row>
    <row r="168" spans="1:26" hidden="1">
      <c r="A168">
        <v>15</v>
      </c>
      <c r="B168">
        <v>3</v>
      </c>
      <c r="C168" s="1">
        <v>8</v>
      </c>
      <c r="D168">
        <f t="shared" si="44"/>
        <v>420</v>
      </c>
      <c r="E168">
        <f t="shared" si="45"/>
        <v>180</v>
      </c>
      <c r="F168">
        <f t="shared" si="46"/>
        <v>24.84</v>
      </c>
      <c r="G168">
        <f t="shared" si="47"/>
        <v>0.24</v>
      </c>
      <c r="H168">
        <f t="shared" si="48"/>
        <v>90.72</v>
      </c>
      <c r="I168">
        <f t="shared" si="49"/>
        <v>504</v>
      </c>
      <c r="J168">
        <f t="shared" si="50"/>
        <v>360</v>
      </c>
      <c r="K168">
        <f t="shared" si="51"/>
        <v>64.8</v>
      </c>
      <c r="L168">
        <f t="shared" si="52"/>
        <v>5.9724000000000004</v>
      </c>
      <c r="M168">
        <f t="shared" si="53"/>
        <v>5.7455999999999996</v>
      </c>
      <c r="N168">
        <f t="shared" si="54"/>
        <v>4.1580000000000004</v>
      </c>
      <c r="O168">
        <f t="shared" si="55"/>
        <v>4.215811764705883</v>
      </c>
      <c r="P168">
        <f t="shared" si="56"/>
        <v>2.7213822894168467</v>
      </c>
      <c r="Q168">
        <f t="shared" si="57"/>
        <v>63</v>
      </c>
      <c r="R168">
        <f t="shared" si="58"/>
        <v>360</v>
      </c>
      <c r="S168">
        <f t="shared" si="59"/>
        <v>316.8</v>
      </c>
      <c r="T168">
        <f t="shared" si="60"/>
        <v>43.199999999999996</v>
      </c>
      <c r="U168">
        <f>I168*E168/'[1]Inverter Analysis'!$L$2</f>
        <v>217.39266693077019</v>
      </c>
      <c r="V168">
        <f t="shared" si="61"/>
        <v>222.22222222222223</v>
      </c>
      <c r="W168">
        <f t="shared" si="62"/>
        <v>252.52525252525251</v>
      </c>
      <c r="X168">
        <f t="shared" si="63"/>
        <v>158.73015873015873</v>
      </c>
      <c r="Y168">
        <f t="shared" si="64"/>
        <v>0.38261401897765529</v>
      </c>
      <c r="Z168">
        <f t="shared" si="65"/>
        <v>3.2460912000000004</v>
      </c>
    </row>
    <row r="169" spans="1:26">
      <c r="A169">
        <v>14</v>
      </c>
      <c r="B169">
        <v>3</v>
      </c>
      <c r="C169" s="1">
        <v>8</v>
      </c>
      <c r="D169">
        <f t="shared" si="44"/>
        <v>420</v>
      </c>
      <c r="E169">
        <f t="shared" si="45"/>
        <v>180</v>
      </c>
      <c r="F169">
        <f t="shared" si="46"/>
        <v>23.184000000000001</v>
      </c>
      <c r="G169">
        <f t="shared" si="47"/>
        <v>0.224</v>
      </c>
      <c r="H169">
        <f t="shared" si="48"/>
        <v>84.671999999999997</v>
      </c>
      <c r="I169">
        <f t="shared" si="49"/>
        <v>470.40000000000003</v>
      </c>
      <c r="J169">
        <f t="shared" si="50"/>
        <v>336</v>
      </c>
      <c r="K169">
        <f t="shared" si="51"/>
        <v>60.48</v>
      </c>
      <c r="L169">
        <f t="shared" si="52"/>
        <v>5.5742400000000005</v>
      </c>
      <c r="M169">
        <f t="shared" si="53"/>
        <v>5.3625599999999993</v>
      </c>
      <c r="N169">
        <f t="shared" si="54"/>
        <v>3.8808000000000002</v>
      </c>
      <c r="O169">
        <f t="shared" si="55"/>
        <v>3.9347576470588241</v>
      </c>
      <c r="P169">
        <f t="shared" si="56"/>
        <v>2.5399568034557234</v>
      </c>
      <c r="Q169">
        <f t="shared" si="57"/>
        <v>58.800000000000004</v>
      </c>
      <c r="R169">
        <f t="shared" si="58"/>
        <v>336</v>
      </c>
      <c r="S169">
        <f t="shared" si="59"/>
        <v>295.68</v>
      </c>
      <c r="T169">
        <f t="shared" si="60"/>
        <v>40.32</v>
      </c>
      <c r="U169">
        <f>I169*E169/'[1]Inverter Analysis'!$L$2</f>
        <v>202.89982246871887</v>
      </c>
      <c r="V169">
        <f t="shared" si="61"/>
        <v>238.0952380952381</v>
      </c>
      <c r="W169">
        <f t="shared" si="62"/>
        <v>270.56277056277054</v>
      </c>
      <c r="X169">
        <f t="shared" si="63"/>
        <v>170.06802721088434</v>
      </c>
      <c r="Y169">
        <f t="shared" si="64"/>
        <v>0.43922527688761454</v>
      </c>
      <c r="Z169">
        <f t="shared" si="65"/>
        <v>2.6391923712000001</v>
      </c>
    </row>
    <row r="170" spans="1:26" hidden="1">
      <c r="A170">
        <v>13</v>
      </c>
      <c r="B170">
        <v>3</v>
      </c>
      <c r="C170" s="1">
        <v>8</v>
      </c>
      <c r="D170">
        <f t="shared" si="44"/>
        <v>420</v>
      </c>
      <c r="E170">
        <f t="shared" si="45"/>
        <v>180</v>
      </c>
      <c r="F170">
        <f t="shared" si="46"/>
        <v>21.527999999999999</v>
      </c>
      <c r="G170">
        <f t="shared" si="47"/>
        <v>0.20800000000000002</v>
      </c>
      <c r="H170">
        <f t="shared" si="48"/>
        <v>78.623999999999995</v>
      </c>
      <c r="I170">
        <f t="shared" si="49"/>
        <v>436.8</v>
      </c>
      <c r="J170">
        <f t="shared" si="50"/>
        <v>312</v>
      </c>
      <c r="K170">
        <f t="shared" si="51"/>
        <v>56.16</v>
      </c>
      <c r="L170">
        <f t="shared" si="52"/>
        <v>5.1760799999999998</v>
      </c>
      <c r="M170">
        <f t="shared" si="53"/>
        <v>4.9795199999999999</v>
      </c>
      <c r="N170">
        <f t="shared" si="54"/>
        <v>3.6036000000000006</v>
      </c>
      <c r="O170">
        <f t="shared" si="55"/>
        <v>3.6537035294117648</v>
      </c>
      <c r="P170">
        <f t="shared" si="56"/>
        <v>2.3585313174946005</v>
      </c>
      <c r="Q170">
        <f t="shared" si="57"/>
        <v>54.6</v>
      </c>
      <c r="R170">
        <f t="shared" si="58"/>
        <v>312</v>
      </c>
      <c r="S170">
        <f t="shared" si="59"/>
        <v>274.56</v>
      </c>
      <c r="T170">
        <f t="shared" si="60"/>
        <v>37.440000000000005</v>
      </c>
      <c r="U170">
        <f>I170*E170/'[1]Inverter Analysis'!$L$2</f>
        <v>188.40697800666752</v>
      </c>
      <c r="V170">
        <f t="shared" si="61"/>
        <v>256.41025641025641</v>
      </c>
      <c r="W170">
        <f t="shared" si="62"/>
        <v>291.3752913752914</v>
      </c>
      <c r="X170">
        <f t="shared" si="63"/>
        <v>183.15018315018315</v>
      </c>
      <c r="Y170">
        <f t="shared" si="64"/>
        <v>0.50939736254421586</v>
      </c>
      <c r="Z170">
        <f t="shared" si="65"/>
        <v>2.113085145599999</v>
      </c>
    </row>
    <row r="171" spans="1:26" hidden="1">
      <c r="A171">
        <v>12</v>
      </c>
      <c r="B171">
        <v>3</v>
      </c>
      <c r="C171" s="1">
        <v>8</v>
      </c>
      <c r="D171">
        <f t="shared" si="44"/>
        <v>420</v>
      </c>
      <c r="E171">
        <f t="shared" si="45"/>
        <v>180</v>
      </c>
      <c r="F171">
        <f t="shared" si="46"/>
        <v>19.872</v>
      </c>
      <c r="G171">
        <f t="shared" si="47"/>
        <v>0.192</v>
      </c>
      <c r="H171">
        <f t="shared" si="48"/>
        <v>72.576000000000008</v>
      </c>
      <c r="I171">
        <f t="shared" si="49"/>
        <v>403.20000000000005</v>
      </c>
      <c r="J171">
        <f t="shared" si="50"/>
        <v>288</v>
      </c>
      <c r="K171">
        <f t="shared" si="51"/>
        <v>51.84</v>
      </c>
      <c r="L171">
        <f t="shared" si="52"/>
        <v>4.7779200000000008</v>
      </c>
      <c r="M171">
        <f t="shared" si="53"/>
        <v>4.5964800000000006</v>
      </c>
      <c r="N171">
        <f t="shared" si="54"/>
        <v>3.3264000000000005</v>
      </c>
      <c r="O171">
        <f t="shared" si="55"/>
        <v>3.3726494117647068</v>
      </c>
      <c r="P171">
        <f t="shared" si="56"/>
        <v>2.1771058315334777</v>
      </c>
      <c r="Q171">
        <f t="shared" si="57"/>
        <v>50.400000000000006</v>
      </c>
      <c r="R171">
        <f t="shared" si="58"/>
        <v>288</v>
      </c>
      <c r="S171">
        <f t="shared" si="59"/>
        <v>253.44</v>
      </c>
      <c r="T171">
        <f t="shared" si="60"/>
        <v>34.56</v>
      </c>
      <c r="U171">
        <f>I171*E171/'[1]Inverter Analysis'!$L$2</f>
        <v>173.91413354461619</v>
      </c>
      <c r="V171">
        <f t="shared" si="61"/>
        <v>277.77777777777777</v>
      </c>
      <c r="W171">
        <f t="shared" si="62"/>
        <v>315.65656565656565</v>
      </c>
      <c r="X171">
        <f t="shared" si="63"/>
        <v>198.4126984126984</v>
      </c>
      <c r="Y171">
        <f t="shared" si="64"/>
        <v>0.59783440465258653</v>
      </c>
      <c r="Z171">
        <f t="shared" si="65"/>
        <v>1.6619986943999998</v>
      </c>
    </row>
    <row r="172" spans="1:26" hidden="1">
      <c r="A172">
        <v>11</v>
      </c>
      <c r="B172">
        <v>3</v>
      </c>
      <c r="C172" s="1">
        <v>8</v>
      </c>
      <c r="D172">
        <f t="shared" si="44"/>
        <v>420</v>
      </c>
      <c r="E172">
        <f t="shared" si="45"/>
        <v>180</v>
      </c>
      <c r="F172">
        <f t="shared" si="46"/>
        <v>18.216000000000001</v>
      </c>
      <c r="G172">
        <f t="shared" si="47"/>
        <v>0.17599999999999999</v>
      </c>
      <c r="H172">
        <f t="shared" si="48"/>
        <v>66.528000000000006</v>
      </c>
      <c r="I172">
        <f t="shared" si="49"/>
        <v>369.6</v>
      </c>
      <c r="J172">
        <f t="shared" si="50"/>
        <v>264</v>
      </c>
      <c r="K172">
        <f t="shared" si="51"/>
        <v>47.52</v>
      </c>
      <c r="L172">
        <f t="shared" si="52"/>
        <v>4.3797600000000001</v>
      </c>
      <c r="M172">
        <f t="shared" si="53"/>
        <v>4.2134400000000003</v>
      </c>
      <c r="N172">
        <f t="shared" si="54"/>
        <v>3.0492000000000004</v>
      </c>
      <c r="O172">
        <f t="shared" si="55"/>
        <v>3.0915952941176474</v>
      </c>
      <c r="P172">
        <f t="shared" si="56"/>
        <v>1.9956803455723544</v>
      </c>
      <c r="Q172">
        <f t="shared" si="57"/>
        <v>46.2</v>
      </c>
      <c r="R172">
        <f t="shared" si="58"/>
        <v>264</v>
      </c>
      <c r="S172">
        <f t="shared" si="59"/>
        <v>232.32</v>
      </c>
      <c r="T172">
        <f t="shared" si="60"/>
        <v>31.68</v>
      </c>
      <c r="U172">
        <f>I172*E172/'[1]Inverter Analysis'!$L$2</f>
        <v>159.42128908256481</v>
      </c>
      <c r="V172">
        <f t="shared" si="61"/>
        <v>303.030303030303</v>
      </c>
      <c r="W172">
        <f t="shared" si="62"/>
        <v>344.3526170798898</v>
      </c>
      <c r="X172">
        <f t="shared" si="63"/>
        <v>216.45021645021643</v>
      </c>
      <c r="Y172">
        <f t="shared" si="64"/>
        <v>0.71147234933861525</v>
      </c>
      <c r="Z172">
        <f t="shared" si="65"/>
        <v>1.2801621888000003</v>
      </c>
    </row>
    <row r="173" spans="1:26" hidden="1">
      <c r="A173">
        <v>10</v>
      </c>
      <c r="B173">
        <v>3</v>
      </c>
      <c r="C173" s="1">
        <v>8</v>
      </c>
      <c r="D173">
        <f t="shared" si="44"/>
        <v>420</v>
      </c>
      <c r="E173">
        <f t="shared" si="45"/>
        <v>180</v>
      </c>
      <c r="F173">
        <f t="shared" si="46"/>
        <v>16.559999999999999</v>
      </c>
      <c r="G173">
        <f t="shared" si="47"/>
        <v>0.16</v>
      </c>
      <c r="H173">
        <f t="shared" si="48"/>
        <v>60.48</v>
      </c>
      <c r="I173">
        <f t="shared" si="49"/>
        <v>336</v>
      </c>
      <c r="J173">
        <f t="shared" si="50"/>
        <v>240</v>
      </c>
      <c r="K173">
        <f t="shared" si="51"/>
        <v>43.2</v>
      </c>
      <c r="L173">
        <f t="shared" si="52"/>
        <v>3.9816000000000003</v>
      </c>
      <c r="M173">
        <f t="shared" si="53"/>
        <v>3.8303999999999996</v>
      </c>
      <c r="N173">
        <f t="shared" si="54"/>
        <v>2.7719999999999998</v>
      </c>
      <c r="O173">
        <f t="shared" si="55"/>
        <v>2.8105411764705885</v>
      </c>
      <c r="P173">
        <f t="shared" si="56"/>
        <v>1.8142548596112311</v>
      </c>
      <c r="Q173">
        <f t="shared" si="57"/>
        <v>42</v>
      </c>
      <c r="R173">
        <f t="shared" si="58"/>
        <v>240</v>
      </c>
      <c r="S173">
        <f t="shared" si="59"/>
        <v>211.2</v>
      </c>
      <c r="T173">
        <f t="shared" si="60"/>
        <v>28.8</v>
      </c>
      <c r="U173">
        <f>I173*E173/'[1]Inverter Analysis'!$L$2</f>
        <v>144.92844462051346</v>
      </c>
      <c r="V173">
        <f t="shared" si="61"/>
        <v>333.33333333333331</v>
      </c>
      <c r="W173">
        <f t="shared" si="62"/>
        <v>378.78787878787881</v>
      </c>
      <c r="X173">
        <f t="shared" si="63"/>
        <v>238.0952380952381</v>
      </c>
      <c r="Y173">
        <f t="shared" si="64"/>
        <v>0.86088154269972472</v>
      </c>
      <c r="Z173">
        <f t="shared" si="65"/>
        <v>0.96180479999999968</v>
      </c>
    </row>
    <row r="174" spans="1:26" hidden="1">
      <c r="A174">
        <v>16</v>
      </c>
      <c r="B174">
        <v>2</v>
      </c>
      <c r="C174" s="1">
        <v>8</v>
      </c>
      <c r="D174">
        <f t="shared" si="44"/>
        <v>280</v>
      </c>
      <c r="E174">
        <f t="shared" si="45"/>
        <v>120</v>
      </c>
      <c r="F174">
        <f t="shared" si="46"/>
        <v>17.664000000000001</v>
      </c>
      <c r="G174">
        <f t="shared" si="47"/>
        <v>0.38400000000000001</v>
      </c>
      <c r="H174">
        <f t="shared" si="48"/>
        <v>64.512</v>
      </c>
      <c r="I174">
        <f t="shared" si="49"/>
        <v>537.6</v>
      </c>
      <c r="J174">
        <f t="shared" si="50"/>
        <v>384</v>
      </c>
      <c r="K174">
        <f t="shared" si="51"/>
        <v>46.08</v>
      </c>
      <c r="L174">
        <f t="shared" si="52"/>
        <v>4.2470400000000001</v>
      </c>
      <c r="M174">
        <f t="shared" si="53"/>
        <v>4.0857599999999996</v>
      </c>
      <c r="N174">
        <f t="shared" si="54"/>
        <v>2.9568000000000003</v>
      </c>
      <c r="O174">
        <f t="shared" si="55"/>
        <v>2.9979105882352943</v>
      </c>
      <c r="P174">
        <f t="shared" si="56"/>
        <v>1.9352051835853132</v>
      </c>
      <c r="Q174">
        <f t="shared" si="57"/>
        <v>67.2</v>
      </c>
      <c r="R174">
        <f t="shared" si="58"/>
        <v>256</v>
      </c>
      <c r="S174">
        <f t="shared" si="59"/>
        <v>337.92</v>
      </c>
      <c r="T174">
        <f t="shared" si="60"/>
        <v>46.08</v>
      </c>
      <c r="U174">
        <f>I174*E174/'[1]Inverter Analysis'!$L$2</f>
        <v>154.5903409285477</v>
      </c>
      <c r="V174">
        <f t="shared" si="61"/>
        <v>208.33333333333334</v>
      </c>
      <c r="W174">
        <f t="shared" si="62"/>
        <v>236.74242424242422</v>
      </c>
      <c r="X174">
        <f t="shared" si="63"/>
        <v>148.8095238095238</v>
      </c>
      <c r="Y174">
        <f t="shared" si="64"/>
        <v>0.33628185261707982</v>
      </c>
      <c r="Z174">
        <f t="shared" si="65"/>
        <v>2.6263683072000004</v>
      </c>
    </row>
    <row r="175" spans="1:26" hidden="1">
      <c r="A175">
        <v>15</v>
      </c>
      <c r="B175">
        <v>2</v>
      </c>
      <c r="C175" s="1">
        <v>8</v>
      </c>
      <c r="D175">
        <f t="shared" si="44"/>
        <v>280</v>
      </c>
      <c r="E175">
        <f t="shared" si="45"/>
        <v>120</v>
      </c>
      <c r="F175">
        <f t="shared" si="46"/>
        <v>16.559999999999999</v>
      </c>
      <c r="G175">
        <f t="shared" si="47"/>
        <v>0.36</v>
      </c>
      <c r="H175">
        <f t="shared" si="48"/>
        <v>60.48</v>
      </c>
      <c r="I175">
        <f t="shared" si="49"/>
        <v>504</v>
      </c>
      <c r="J175">
        <f t="shared" si="50"/>
        <v>360</v>
      </c>
      <c r="K175">
        <f t="shared" si="51"/>
        <v>43.2</v>
      </c>
      <c r="L175">
        <f t="shared" si="52"/>
        <v>3.9816000000000003</v>
      </c>
      <c r="M175">
        <f t="shared" si="53"/>
        <v>3.8303999999999996</v>
      </c>
      <c r="N175">
        <f t="shared" si="54"/>
        <v>2.7719999999999998</v>
      </c>
      <c r="O175">
        <f t="shared" si="55"/>
        <v>2.8105411764705885</v>
      </c>
      <c r="P175">
        <f t="shared" si="56"/>
        <v>1.8142548596112311</v>
      </c>
      <c r="Q175">
        <f t="shared" si="57"/>
        <v>63</v>
      </c>
      <c r="R175">
        <f t="shared" si="58"/>
        <v>240</v>
      </c>
      <c r="S175">
        <f t="shared" si="59"/>
        <v>316.8</v>
      </c>
      <c r="T175">
        <f t="shared" si="60"/>
        <v>43.199999999999996</v>
      </c>
      <c r="U175">
        <f>I175*E175/'[1]Inverter Analysis'!$L$2</f>
        <v>144.92844462051346</v>
      </c>
      <c r="V175">
        <f t="shared" si="61"/>
        <v>222.22222222222223</v>
      </c>
      <c r="W175">
        <f t="shared" si="62"/>
        <v>252.52525252525251</v>
      </c>
      <c r="X175">
        <f t="shared" si="63"/>
        <v>158.73015873015873</v>
      </c>
      <c r="Y175">
        <f t="shared" si="64"/>
        <v>0.38261401897765529</v>
      </c>
      <c r="Z175">
        <f t="shared" si="65"/>
        <v>2.1640608000000001</v>
      </c>
    </row>
    <row r="176" spans="1:26" hidden="1">
      <c r="A176">
        <v>14</v>
      </c>
      <c r="B176">
        <v>2</v>
      </c>
      <c r="C176" s="1">
        <v>8</v>
      </c>
      <c r="D176">
        <f t="shared" si="44"/>
        <v>280</v>
      </c>
      <c r="E176">
        <f t="shared" si="45"/>
        <v>120</v>
      </c>
      <c r="F176">
        <f t="shared" si="46"/>
        <v>15.456</v>
      </c>
      <c r="G176">
        <f t="shared" si="47"/>
        <v>0.33600000000000002</v>
      </c>
      <c r="H176">
        <f t="shared" si="48"/>
        <v>56.448000000000008</v>
      </c>
      <c r="I176">
        <f t="shared" si="49"/>
        <v>470.40000000000003</v>
      </c>
      <c r="J176">
        <f t="shared" si="50"/>
        <v>336</v>
      </c>
      <c r="K176">
        <f t="shared" si="51"/>
        <v>40.32</v>
      </c>
      <c r="L176">
        <f t="shared" si="52"/>
        <v>3.7161600000000004</v>
      </c>
      <c r="M176">
        <f t="shared" si="53"/>
        <v>3.57504</v>
      </c>
      <c r="N176">
        <f t="shared" si="54"/>
        <v>2.5872000000000002</v>
      </c>
      <c r="O176">
        <f t="shared" si="55"/>
        <v>2.6231717647058828</v>
      </c>
      <c r="P176">
        <f t="shared" si="56"/>
        <v>1.693304535637149</v>
      </c>
      <c r="Q176">
        <f t="shared" si="57"/>
        <v>58.800000000000004</v>
      </c>
      <c r="R176">
        <f t="shared" si="58"/>
        <v>224</v>
      </c>
      <c r="S176">
        <f t="shared" si="59"/>
        <v>295.68</v>
      </c>
      <c r="T176">
        <f t="shared" si="60"/>
        <v>40.32</v>
      </c>
      <c r="U176">
        <f>I176*E176/'[1]Inverter Analysis'!$L$2</f>
        <v>135.26654831247924</v>
      </c>
      <c r="V176">
        <f t="shared" si="61"/>
        <v>238.0952380952381</v>
      </c>
      <c r="W176">
        <f t="shared" si="62"/>
        <v>270.56277056277054</v>
      </c>
      <c r="X176">
        <f t="shared" si="63"/>
        <v>170.06802721088434</v>
      </c>
      <c r="Y176">
        <f t="shared" si="64"/>
        <v>0.43922527688761454</v>
      </c>
      <c r="Z176">
        <f t="shared" si="65"/>
        <v>1.7594615808</v>
      </c>
    </row>
    <row r="177" spans="1:26" hidden="1">
      <c r="A177">
        <v>13</v>
      </c>
      <c r="B177">
        <v>2</v>
      </c>
      <c r="C177" s="1">
        <v>8</v>
      </c>
      <c r="D177">
        <f t="shared" si="44"/>
        <v>280</v>
      </c>
      <c r="E177">
        <f t="shared" si="45"/>
        <v>120</v>
      </c>
      <c r="F177">
        <f t="shared" si="46"/>
        <v>14.352</v>
      </c>
      <c r="G177">
        <f t="shared" si="47"/>
        <v>0.312</v>
      </c>
      <c r="H177">
        <f t="shared" si="48"/>
        <v>52.415999999999997</v>
      </c>
      <c r="I177">
        <f t="shared" si="49"/>
        <v>436.8</v>
      </c>
      <c r="J177">
        <f t="shared" si="50"/>
        <v>312</v>
      </c>
      <c r="K177">
        <f t="shared" si="51"/>
        <v>37.44</v>
      </c>
      <c r="L177">
        <f t="shared" si="52"/>
        <v>3.4507200000000005</v>
      </c>
      <c r="M177">
        <f t="shared" si="53"/>
        <v>3.31968</v>
      </c>
      <c r="N177">
        <f t="shared" si="54"/>
        <v>2.4024000000000001</v>
      </c>
      <c r="O177">
        <f t="shared" si="55"/>
        <v>2.435802352941177</v>
      </c>
      <c r="P177">
        <f t="shared" si="56"/>
        <v>1.5723542116630669</v>
      </c>
      <c r="Q177">
        <f t="shared" si="57"/>
        <v>54.6</v>
      </c>
      <c r="R177">
        <f t="shared" si="58"/>
        <v>208</v>
      </c>
      <c r="S177">
        <f t="shared" si="59"/>
        <v>274.56</v>
      </c>
      <c r="T177">
        <f t="shared" si="60"/>
        <v>37.44</v>
      </c>
      <c r="U177">
        <f>I177*E177/'[1]Inverter Analysis'!$L$2</f>
        <v>125.604652004445</v>
      </c>
      <c r="V177">
        <f t="shared" si="61"/>
        <v>256.41025641025641</v>
      </c>
      <c r="W177">
        <f t="shared" si="62"/>
        <v>291.3752913752914</v>
      </c>
      <c r="X177">
        <f t="shared" si="63"/>
        <v>183.15018315018315</v>
      </c>
      <c r="Y177">
        <f t="shared" si="64"/>
        <v>0.50939736254421586</v>
      </c>
      <c r="Z177">
        <f t="shared" si="65"/>
        <v>1.4087234303999996</v>
      </c>
    </row>
    <row r="178" spans="1:26" hidden="1">
      <c r="A178">
        <v>12</v>
      </c>
      <c r="B178">
        <v>2</v>
      </c>
      <c r="C178" s="1">
        <v>8</v>
      </c>
      <c r="D178">
        <f t="shared" si="44"/>
        <v>280</v>
      </c>
      <c r="E178">
        <f t="shared" si="45"/>
        <v>120</v>
      </c>
      <c r="F178">
        <f t="shared" si="46"/>
        <v>13.247999999999999</v>
      </c>
      <c r="G178">
        <f t="shared" si="47"/>
        <v>0.28800000000000003</v>
      </c>
      <c r="H178">
        <f t="shared" si="48"/>
        <v>48.384000000000007</v>
      </c>
      <c r="I178">
        <f t="shared" si="49"/>
        <v>403.20000000000005</v>
      </c>
      <c r="J178">
        <f t="shared" si="50"/>
        <v>288</v>
      </c>
      <c r="K178">
        <f t="shared" si="51"/>
        <v>34.56</v>
      </c>
      <c r="L178">
        <f t="shared" si="52"/>
        <v>3.1852800000000006</v>
      </c>
      <c r="M178">
        <f t="shared" si="53"/>
        <v>3.0643200000000004</v>
      </c>
      <c r="N178">
        <f t="shared" si="54"/>
        <v>2.2176000000000005</v>
      </c>
      <c r="O178">
        <f t="shared" si="55"/>
        <v>2.2484329411764712</v>
      </c>
      <c r="P178">
        <f t="shared" si="56"/>
        <v>1.451403887688985</v>
      </c>
      <c r="Q178">
        <f t="shared" si="57"/>
        <v>50.400000000000006</v>
      </c>
      <c r="R178">
        <f t="shared" si="58"/>
        <v>192</v>
      </c>
      <c r="S178">
        <f t="shared" si="59"/>
        <v>253.44</v>
      </c>
      <c r="T178">
        <f t="shared" si="60"/>
        <v>34.56</v>
      </c>
      <c r="U178">
        <f>I178*E178/'[1]Inverter Analysis'!$L$2</f>
        <v>115.9427556964108</v>
      </c>
      <c r="V178">
        <f t="shared" si="61"/>
        <v>277.77777777777777</v>
      </c>
      <c r="W178">
        <f t="shared" si="62"/>
        <v>315.65656565656565</v>
      </c>
      <c r="X178">
        <f t="shared" si="63"/>
        <v>198.4126984126984</v>
      </c>
      <c r="Y178">
        <f t="shared" si="64"/>
        <v>0.59783440465258653</v>
      </c>
      <c r="Z178">
        <f t="shared" si="65"/>
        <v>1.1079991295999998</v>
      </c>
    </row>
    <row r="179" spans="1:26" hidden="1">
      <c r="A179">
        <v>11</v>
      </c>
      <c r="B179">
        <v>2</v>
      </c>
      <c r="C179" s="1">
        <v>8</v>
      </c>
      <c r="D179">
        <f t="shared" si="44"/>
        <v>280</v>
      </c>
      <c r="E179">
        <f t="shared" si="45"/>
        <v>120</v>
      </c>
      <c r="F179">
        <f t="shared" si="46"/>
        <v>12.144</v>
      </c>
      <c r="G179">
        <f t="shared" si="47"/>
        <v>0.26400000000000001</v>
      </c>
      <c r="H179">
        <f t="shared" si="48"/>
        <v>44.351999999999997</v>
      </c>
      <c r="I179">
        <f t="shared" si="49"/>
        <v>369.6</v>
      </c>
      <c r="J179">
        <f t="shared" si="50"/>
        <v>264</v>
      </c>
      <c r="K179">
        <f t="shared" si="51"/>
        <v>31.68</v>
      </c>
      <c r="L179">
        <f t="shared" si="52"/>
        <v>2.9198400000000002</v>
      </c>
      <c r="M179">
        <f t="shared" si="53"/>
        <v>2.8089599999999999</v>
      </c>
      <c r="N179">
        <f t="shared" si="54"/>
        <v>2.0328000000000004</v>
      </c>
      <c r="O179">
        <f t="shared" si="55"/>
        <v>2.061063529411765</v>
      </c>
      <c r="P179">
        <f t="shared" si="56"/>
        <v>1.3304535637149029</v>
      </c>
      <c r="Q179">
        <f t="shared" si="57"/>
        <v>46.2</v>
      </c>
      <c r="R179">
        <f t="shared" si="58"/>
        <v>176</v>
      </c>
      <c r="S179">
        <f t="shared" si="59"/>
        <v>232.32</v>
      </c>
      <c r="T179">
        <f t="shared" si="60"/>
        <v>31.68</v>
      </c>
      <c r="U179">
        <f>I179*E179/'[1]Inverter Analysis'!$L$2</f>
        <v>106.28085938837654</v>
      </c>
      <c r="V179">
        <f t="shared" si="61"/>
        <v>303.030303030303</v>
      </c>
      <c r="W179">
        <f t="shared" si="62"/>
        <v>344.3526170798898</v>
      </c>
      <c r="X179">
        <f t="shared" si="63"/>
        <v>216.45021645021643</v>
      </c>
      <c r="Y179">
        <f t="shared" si="64"/>
        <v>0.71147234933861525</v>
      </c>
      <c r="Z179">
        <f t="shared" si="65"/>
        <v>0.85344145920000003</v>
      </c>
    </row>
    <row r="180" spans="1:26" hidden="1">
      <c r="A180">
        <v>10</v>
      </c>
      <c r="B180">
        <v>2</v>
      </c>
      <c r="C180" s="1">
        <v>8</v>
      </c>
      <c r="D180">
        <f t="shared" si="44"/>
        <v>280</v>
      </c>
      <c r="E180">
        <f t="shared" si="45"/>
        <v>120</v>
      </c>
      <c r="F180">
        <f t="shared" si="46"/>
        <v>11.04</v>
      </c>
      <c r="G180">
        <f t="shared" si="47"/>
        <v>0.24</v>
      </c>
      <c r="H180">
        <f t="shared" si="48"/>
        <v>40.32</v>
      </c>
      <c r="I180">
        <f t="shared" si="49"/>
        <v>336</v>
      </c>
      <c r="J180">
        <f t="shared" si="50"/>
        <v>240</v>
      </c>
      <c r="K180">
        <f t="shared" si="51"/>
        <v>28.8</v>
      </c>
      <c r="L180">
        <f t="shared" si="52"/>
        <v>2.6543999999999999</v>
      </c>
      <c r="M180">
        <f t="shared" si="53"/>
        <v>2.5535999999999999</v>
      </c>
      <c r="N180">
        <f t="shared" si="54"/>
        <v>1.8480000000000001</v>
      </c>
      <c r="O180">
        <f t="shared" si="55"/>
        <v>1.873694117647059</v>
      </c>
      <c r="P180">
        <f t="shared" si="56"/>
        <v>1.2095032397408207</v>
      </c>
      <c r="Q180">
        <f t="shared" si="57"/>
        <v>42</v>
      </c>
      <c r="R180">
        <f t="shared" si="58"/>
        <v>160</v>
      </c>
      <c r="S180">
        <f t="shared" si="59"/>
        <v>211.2</v>
      </c>
      <c r="T180">
        <f t="shared" si="60"/>
        <v>28.799999999999997</v>
      </c>
      <c r="U180">
        <f>I180*E180/'[1]Inverter Analysis'!$L$2</f>
        <v>96.618963080342311</v>
      </c>
      <c r="V180">
        <f t="shared" si="61"/>
        <v>333.33333333333331</v>
      </c>
      <c r="W180">
        <f t="shared" si="62"/>
        <v>378.78787878787881</v>
      </c>
      <c r="X180">
        <f t="shared" si="63"/>
        <v>238.0952380952381</v>
      </c>
      <c r="Y180">
        <f t="shared" si="64"/>
        <v>0.86088154269972472</v>
      </c>
      <c r="Z180">
        <f t="shared" si="65"/>
        <v>0.64120319999999986</v>
      </c>
    </row>
    <row r="181" spans="1:26" hidden="1">
      <c r="A181" s="8">
        <v>16</v>
      </c>
      <c r="B181" s="1">
        <v>6</v>
      </c>
      <c r="C181" s="1">
        <v>7</v>
      </c>
      <c r="D181">
        <f t="shared" si="44"/>
        <v>840</v>
      </c>
      <c r="E181">
        <f t="shared" si="45"/>
        <v>360</v>
      </c>
      <c r="F181">
        <f t="shared" si="46"/>
        <v>46.368000000000002</v>
      </c>
      <c r="G181">
        <f t="shared" si="47"/>
        <v>0.112</v>
      </c>
      <c r="H181">
        <f t="shared" si="48"/>
        <v>169.34399999999999</v>
      </c>
      <c r="I181">
        <f t="shared" si="49"/>
        <v>470.40000000000003</v>
      </c>
      <c r="J181">
        <f t="shared" si="50"/>
        <v>336</v>
      </c>
      <c r="K181">
        <f t="shared" si="51"/>
        <v>120.96</v>
      </c>
      <c r="L181">
        <f t="shared" si="52"/>
        <v>11.148480000000001</v>
      </c>
      <c r="M181">
        <f t="shared" si="53"/>
        <v>10.725119999999999</v>
      </c>
      <c r="N181">
        <f t="shared" si="54"/>
        <v>7.7616000000000005</v>
      </c>
      <c r="O181">
        <f t="shared" si="55"/>
        <v>7.8695152941176483</v>
      </c>
      <c r="P181">
        <f t="shared" si="56"/>
        <v>5.805615550755939</v>
      </c>
      <c r="Q181">
        <f t="shared" si="57"/>
        <v>67.2</v>
      </c>
      <c r="R181">
        <f t="shared" si="58"/>
        <v>672</v>
      </c>
      <c r="S181">
        <f t="shared" si="59"/>
        <v>295.68</v>
      </c>
      <c r="T181">
        <f t="shared" si="60"/>
        <v>40.32</v>
      </c>
      <c r="U181">
        <f>I181*E181/'[1]Inverter Analysis'!$L$2</f>
        <v>405.79964493743773</v>
      </c>
      <c r="V181">
        <f t="shared" si="61"/>
        <v>238.0952380952381</v>
      </c>
      <c r="W181">
        <f t="shared" si="62"/>
        <v>270.56277056277054</v>
      </c>
      <c r="X181">
        <f t="shared" si="63"/>
        <v>170.06802721088434</v>
      </c>
      <c r="Y181">
        <f t="shared" si="64"/>
        <v>0.43922527688761454</v>
      </c>
      <c r="Z181">
        <f t="shared" si="65"/>
        <v>5.2783847424000001</v>
      </c>
    </row>
    <row r="182" spans="1:26" hidden="1">
      <c r="A182" s="8">
        <v>15</v>
      </c>
      <c r="B182" s="1">
        <v>6</v>
      </c>
      <c r="C182" s="1">
        <v>7</v>
      </c>
      <c r="D182">
        <f t="shared" si="44"/>
        <v>840</v>
      </c>
      <c r="E182">
        <f t="shared" si="45"/>
        <v>360</v>
      </c>
      <c r="F182">
        <f t="shared" si="46"/>
        <v>43.47</v>
      </c>
      <c r="G182">
        <f t="shared" si="47"/>
        <v>0.105</v>
      </c>
      <c r="H182">
        <f t="shared" si="48"/>
        <v>158.76</v>
      </c>
      <c r="I182">
        <f t="shared" si="49"/>
        <v>441</v>
      </c>
      <c r="J182">
        <f t="shared" si="50"/>
        <v>315</v>
      </c>
      <c r="K182">
        <f t="shared" si="51"/>
        <v>113.4</v>
      </c>
      <c r="L182">
        <f t="shared" si="52"/>
        <v>10.451700000000001</v>
      </c>
      <c r="M182">
        <f t="shared" si="53"/>
        <v>10.054799999999998</v>
      </c>
      <c r="N182">
        <f t="shared" si="54"/>
        <v>7.2765000000000004</v>
      </c>
      <c r="O182">
        <f t="shared" si="55"/>
        <v>7.3776705882352953</v>
      </c>
      <c r="P182">
        <f t="shared" si="56"/>
        <v>5.4427645788336934</v>
      </c>
      <c r="Q182">
        <f t="shared" si="57"/>
        <v>63</v>
      </c>
      <c r="R182">
        <f t="shared" si="58"/>
        <v>630</v>
      </c>
      <c r="S182">
        <f t="shared" si="59"/>
        <v>277.2</v>
      </c>
      <c r="T182">
        <f t="shared" si="60"/>
        <v>37.799999999999997</v>
      </c>
      <c r="U182">
        <f>I182*E182/'[1]Inverter Analysis'!$L$2</f>
        <v>380.43716712884788</v>
      </c>
      <c r="V182">
        <f t="shared" si="61"/>
        <v>253.96825396825398</v>
      </c>
      <c r="W182">
        <f t="shared" si="62"/>
        <v>288.60028860028859</v>
      </c>
      <c r="X182">
        <f t="shared" si="63"/>
        <v>181.40589569160997</v>
      </c>
      <c r="Y182">
        <f t="shared" si="64"/>
        <v>0.49974075948101915</v>
      </c>
      <c r="Z182">
        <f t="shared" si="65"/>
        <v>4.3492550062500008</v>
      </c>
    </row>
    <row r="183" spans="1:26" hidden="1">
      <c r="A183">
        <v>14</v>
      </c>
      <c r="B183" s="1">
        <v>6</v>
      </c>
      <c r="C183" s="1">
        <v>7</v>
      </c>
      <c r="D183">
        <f t="shared" si="44"/>
        <v>840</v>
      </c>
      <c r="E183">
        <f t="shared" si="45"/>
        <v>360</v>
      </c>
      <c r="F183">
        <f t="shared" si="46"/>
        <v>40.572000000000003</v>
      </c>
      <c r="G183">
        <f t="shared" si="47"/>
        <v>9.8000000000000004E-2</v>
      </c>
      <c r="H183">
        <f t="shared" si="48"/>
        <v>148.17599999999999</v>
      </c>
      <c r="I183">
        <f t="shared" si="49"/>
        <v>411.6</v>
      </c>
      <c r="J183">
        <f t="shared" si="50"/>
        <v>294</v>
      </c>
      <c r="K183">
        <f t="shared" si="51"/>
        <v>105.84</v>
      </c>
      <c r="L183">
        <f t="shared" si="52"/>
        <v>9.754920000000002</v>
      </c>
      <c r="M183">
        <f t="shared" si="53"/>
        <v>9.3844799999999999</v>
      </c>
      <c r="N183">
        <f t="shared" si="54"/>
        <v>6.7914000000000003</v>
      </c>
      <c r="O183">
        <f t="shared" si="55"/>
        <v>6.8858258823529432</v>
      </c>
      <c r="P183">
        <f t="shared" si="56"/>
        <v>5.0799136069114477</v>
      </c>
      <c r="Q183">
        <f t="shared" si="57"/>
        <v>58.800000000000004</v>
      </c>
      <c r="R183">
        <f t="shared" si="58"/>
        <v>588</v>
      </c>
      <c r="S183">
        <f t="shared" si="59"/>
        <v>258.72000000000003</v>
      </c>
      <c r="T183">
        <f t="shared" si="60"/>
        <v>35.28</v>
      </c>
      <c r="U183">
        <f>I183*E183/'[1]Inverter Analysis'!$L$2</f>
        <v>355.07468932025802</v>
      </c>
      <c r="V183">
        <f t="shared" si="61"/>
        <v>272.10884353741494</v>
      </c>
      <c r="W183">
        <f t="shared" si="62"/>
        <v>309.21459492888062</v>
      </c>
      <c r="X183">
        <f t="shared" si="63"/>
        <v>194.36345966958211</v>
      </c>
      <c r="Y183">
        <f t="shared" si="64"/>
        <v>0.57368199430219036</v>
      </c>
      <c r="Z183">
        <f t="shared" si="65"/>
        <v>3.5361054036000006</v>
      </c>
    </row>
    <row r="184" spans="1:26" hidden="1">
      <c r="A184">
        <v>13</v>
      </c>
      <c r="B184" s="1">
        <v>6</v>
      </c>
      <c r="C184" s="1">
        <v>7</v>
      </c>
      <c r="D184">
        <f t="shared" si="44"/>
        <v>840</v>
      </c>
      <c r="E184">
        <f t="shared" si="45"/>
        <v>360</v>
      </c>
      <c r="F184">
        <f t="shared" si="46"/>
        <v>37.673999999999999</v>
      </c>
      <c r="G184">
        <f t="shared" si="47"/>
        <v>9.1000000000000011E-2</v>
      </c>
      <c r="H184">
        <f t="shared" si="48"/>
        <v>137.59200000000001</v>
      </c>
      <c r="I184">
        <f t="shared" si="49"/>
        <v>382.2</v>
      </c>
      <c r="J184">
        <f t="shared" si="50"/>
        <v>273</v>
      </c>
      <c r="K184">
        <f t="shared" si="51"/>
        <v>98.28</v>
      </c>
      <c r="L184">
        <f t="shared" si="52"/>
        <v>9.0581399999999999</v>
      </c>
      <c r="M184">
        <f t="shared" si="53"/>
        <v>8.7141599999999997</v>
      </c>
      <c r="N184">
        <f t="shared" si="54"/>
        <v>6.3062999999999994</v>
      </c>
      <c r="O184">
        <f t="shared" si="55"/>
        <v>6.3939811764705885</v>
      </c>
      <c r="P184">
        <f t="shared" si="56"/>
        <v>4.7170626349892002</v>
      </c>
      <c r="Q184">
        <f t="shared" si="57"/>
        <v>54.6</v>
      </c>
      <c r="R184">
        <f t="shared" si="58"/>
        <v>546</v>
      </c>
      <c r="S184">
        <f t="shared" si="59"/>
        <v>240.24</v>
      </c>
      <c r="T184">
        <f t="shared" si="60"/>
        <v>32.760000000000005</v>
      </c>
      <c r="U184">
        <f>I184*E184/'[1]Inverter Analysis'!$L$2</f>
        <v>329.71221151166816</v>
      </c>
      <c r="V184">
        <f t="shared" si="61"/>
        <v>293.04029304029302</v>
      </c>
      <c r="W184">
        <f t="shared" si="62"/>
        <v>333.000333000333</v>
      </c>
      <c r="X184">
        <f t="shared" si="63"/>
        <v>209.31449502878075</v>
      </c>
      <c r="Y184">
        <f t="shared" si="64"/>
        <v>0.66533533066999595</v>
      </c>
      <c r="Z184">
        <f t="shared" si="65"/>
        <v>2.8312039255499997</v>
      </c>
    </row>
    <row r="185" spans="1:26" hidden="1">
      <c r="A185">
        <v>12</v>
      </c>
      <c r="B185" s="1">
        <v>6</v>
      </c>
      <c r="C185" s="1">
        <v>7</v>
      </c>
      <c r="D185">
        <f t="shared" si="44"/>
        <v>840</v>
      </c>
      <c r="E185">
        <f t="shared" si="45"/>
        <v>360</v>
      </c>
      <c r="F185">
        <f t="shared" si="46"/>
        <v>34.776000000000003</v>
      </c>
      <c r="G185">
        <f t="shared" si="47"/>
        <v>8.4000000000000005E-2</v>
      </c>
      <c r="H185">
        <f t="shared" si="48"/>
        <v>127.008</v>
      </c>
      <c r="I185">
        <f t="shared" si="49"/>
        <v>352.8</v>
      </c>
      <c r="J185">
        <f t="shared" si="50"/>
        <v>252</v>
      </c>
      <c r="K185">
        <f t="shared" si="51"/>
        <v>90.72</v>
      </c>
      <c r="L185">
        <f t="shared" si="52"/>
        <v>8.3613600000000012</v>
      </c>
      <c r="M185">
        <f t="shared" si="53"/>
        <v>8.0438399999999994</v>
      </c>
      <c r="N185">
        <f t="shared" si="54"/>
        <v>5.821200000000001</v>
      </c>
      <c r="O185">
        <f t="shared" si="55"/>
        <v>5.9021364705882364</v>
      </c>
      <c r="P185">
        <f t="shared" si="56"/>
        <v>4.3542116630669545</v>
      </c>
      <c r="Q185">
        <f t="shared" si="57"/>
        <v>50.4</v>
      </c>
      <c r="R185">
        <f t="shared" si="58"/>
        <v>504</v>
      </c>
      <c r="S185">
        <f t="shared" si="59"/>
        <v>221.76</v>
      </c>
      <c r="T185">
        <f t="shared" si="60"/>
        <v>30.240000000000002</v>
      </c>
      <c r="U185">
        <f>I185*E185/'[1]Inverter Analysis'!$L$2</f>
        <v>304.3497337030783</v>
      </c>
      <c r="V185">
        <f t="shared" si="61"/>
        <v>317.46031746031747</v>
      </c>
      <c r="W185">
        <f t="shared" si="62"/>
        <v>360.75036075036076</v>
      </c>
      <c r="X185">
        <f t="shared" si="63"/>
        <v>226.75736961451247</v>
      </c>
      <c r="Y185">
        <f t="shared" si="64"/>
        <v>0.78084493668909261</v>
      </c>
      <c r="Z185">
        <f t="shared" si="65"/>
        <v>2.2268185632000002</v>
      </c>
    </row>
    <row r="186" spans="1:26" hidden="1">
      <c r="A186">
        <v>11</v>
      </c>
      <c r="B186" s="1">
        <v>6</v>
      </c>
      <c r="C186" s="1">
        <v>7</v>
      </c>
      <c r="D186">
        <f t="shared" si="44"/>
        <v>840</v>
      </c>
      <c r="E186">
        <f t="shared" si="45"/>
        <v>360</v>
      </c>
      <c r="F186">
        <f t="shared" si="46"/>
        <v>31.878</v>
      </c>
      <c r="G186">
        <f t="shared" si="47"/>
        <v>7.6999999999999999E-2</v>
      </c>
      <c r="H186">
        <f t="shared" si="48"/>
        <v>116.42400000000002</v>
      </c>
      <c r="I186">
        <f t="shared" si="49"/>
        <v>323.40000000000003</v>
      </c>
      <c r="J186">
        <f t="shared" si="50"/>
        <v>231</v>
      </c>
      <c r="K186">
        <f t="shared" si="51"/>
        <v>83.16</v>
      </c>
      <c r="L186">
        <f t="shared" si="52"/>
        <v>7.6645800000000017</v>
      </c>
      <c r="M186">
        <f t="shared" si="53"/>
        <v>7.3735200000000001</v>
      </c>
      <c r="N186">
        <f t="shared" si="54"/>
        <v>5.3361000000000001</v>
      </c>
      <c r="O186">
        <f t="shared" si="55"/>
        <v>5.4102917647058844</v>
      </c>
      <c r="P186">
        <f t="shared" si="56"/>
        <v>3.9913606911447088</v>
      </c>
      <c r="Q186">
        <f t="shared" si="57"/>
        <v>46.2</v>
      </c>
      <c r="R186">
        <f t="shared" si="58"/>
        <v>462</v>
      </c>
      <c r="S186">
        <f t="shared" si="59"/>
        <v>203.28</v>
      </c>
      <c r="T186">
        <f t="shared" si="60"/>
        <v>27.72</v>
      </c>
      <c r="U186">
        <f>I186*E186/'[1]Inverter Analysis'!$L$2</f>
        <v>278.98725589448844</v>
      </c>
      <c r="V186">
        <f t="shared" si="61"/>
        <v>346.32034632034635</v>
      </c>
      <c r="W186">
        <f t="shared" si="62"/>
        <v>393.54584809130262</v>
      </c>
      <c r="X186">
        <f t="shared" si="63"/>
        <v>247.37167594310449</v>
      </c>
      <c r="Y186">
        <f t="shared" si="64"/>
        <v>0.92927000729941589</v>
      </c>
      <c r="Z186">
        <f t="shared" si="65"/>
        <v>1.7152173076499999</v>
      </c>
    </row>
    <row r="187" spans="1:26" hidden="1">
      <c r="A187">
        <v>10</v>
      </c>
      <c r="B187" s="1">
        <v>6</v>
      </c>
      <c r="C187" s="1">
        <v>7</v>
      </c>
      <c r="D187">
        <f t="shared" si="44"/>
        <v>840</v>
      </c>
      <c r="E187">
        <f t="shared" si="45"/>
        <v>360</v>
      </c>
      <c r="F187">
        <f t="shared" si="46"/>
        <v>28.98</v>
      </c>
      <c r="G187">
        <f t="shared" si="47"/>
        <v>7.0000000000000007E-2</v>
      </c>
      <c r="H187">
        <f t="shared" si="48"/>
        <v>105.84</v>
      </c>
      <c r="I187">
        <f t="shared" si="49"/>
        <v>294</v>
      </c>
      <c r="J187">
        <f t="shared" si="50"/>
        <v>210</v>
      </c>
      <c r="K187">
        <f t="shared" si="51"/>
        <v>75.599999999999994</v>
      </c>
      <c r="L187">
        <f t="shared" si="52"/>
        <v>6.9677999999999995</v>
      </c>
      <c r="M187">
        <f t="shared" si="53"/>
        <v>6.7032000000000007</v>
      </c>
      <c r="N187">
        <f t="shared" si="54"/>
        <v>4.851</v>
      </c>
      <c r="O187">
        <f t="shared" si="55"/>
        <v>4.9184470588235296</v>
      </c>
      <c r="P187">
        <f t="shared" si="56"/>
        <v>3.6285097192224618</v>
      </c>
      <c r="Q187">
        <f t="shared" si="57"/>
        <v>42</v>
      </c>
      <c r="R187">
        <f t="shared" si="58"/>
        <v>420</v>
      </c>
      <c r="S187">
        <f t="shared" si="59"/>
        <v>184.8</v>
      </c>
      <c r="T187">
        <f t="shared" si="60"/>
        <v>25.200000000000003</v>
      </c>
      <c r="U187">
        <f>I187*E187/'[1]Inverter Analysis'!$L$2</f>
        <v>253.62477808589858</v>
      </c>
      <c r="V187">
        <f t="shared" si="61"/>
        <v>380.95238095238096</v>
      </c>
      <c r="W187">
        <f t="shared" si="62"/>
        <v>432.90043290043286</v>
      </c>
      <c r="X187">
        <f t="shared" si="63"/>
        <v>272.10884353741494</v>
      </c>
      <c r="Y187">
        <f t="shared" si="64"/>
        <v>1.1244167088322932</v>
      </c>
      <c r="Z187">
        <f t="shared" si="65"/>
        <v>1.2886681500000003</v>
      </c>
    </row>
    <row r="188" spans="1:26" hidden="1">
      <c r="A188" s="8">
        <v>16</v>
      </c>
      <c r="B188" s="9">
        <v>5</v>
      </c>
      <c r="C188" s="1">
        <v>7</v>
      </c>
      <c r="D188">
        <f t="shared" si="44"/>
        <v>700</v>
      </c>
      <c r="E188">
        <f t="shared" si="45"/>
        <v>300</v>
      </c>
      <c r="F188">
        <f t="shared" si="46"/>
        <v>38.64</v>
      </c>
      <c r="G188">
        <f t="shared" si="47"/>
        <v>0.13440000000000002</v>
      </c>
      <c r="H188">
        <f t="shared" si="48"/>
        <v>141.12</v>
      </c>
      <c r="I188">
        <f t="shared" si="49"/>
        <v>470.40000000000003</v>
      </c>
      <c r="J188">
        <f t="shared" si="50"/>
        <v>336</v>
      </c>
      <c r="K188">
        <f t="shared" si="51"/>
        <v>100.8</v>
      </c>
      <c r="L188">
        <f t="shared" si="52"/>
        <v>9.2904000000000018</v>
      </c>
      <c r="M188">
        <f t="shared" si="53"/>
        <v>8.9375999999999998</v>
      </c>
      <c r="N188">
        <f t="shared" si="54"/>
        <v>6.4680000000000009</v>
      </c>
      <c r="O188">
        <f t="shared" si="55"/>
        <v>6.5579294117647073</v>
      </c>
      <c r="P188">
        <f t="shared" si="56"/>
        <v>4.838012958963283</v>
      </c>
      <c r="Q188">
        <f t="shared" si="57"/>
        <v>67.2</v>
      </c>
      <c r="R188">
        <f t="shared" si="58"/>
        <v>560</v>
      </c>
      <c r="S188">
        <f t="shared" si="59"/>
        <v>295.68</v>
      </c>
      <c r="T188">
        <f t="shared" si="60"/>
        <v>40.320000000000007</v>
      </c>
      <c r="U188">
        <f>I188*E188/'[1]Inverter Analysis'!$L$2</f>
        <v>338.16637078119811</v>
      </c>
      <c r="V188">
        <f t="shared" si="61"/>
        <v>238.0952380952381</v>
      </c>
      <c r="W188">
        <f t="shared" si="62"/>
        <v>270.56277056277054</v>
      </c>
      <c r="X188">
        <f t="shared" si="63"/>
        <v>170.06802721088434</v>
      </c>
      <c r="Y188">
        <f t="shared" si="64"/>
        <v>0.43922527688761454</v>
      </c>
      <c r="Z188">
        <f t="shared" si="65"/>
        <v>4.3986539520000001</v>
      </c>
    </row>
    <row r="189" spans="1:26" hidden="1">
      <c r="A189" s="8">
        <v>15</v>
      </c>
      <c r="B189" s="9">
        <v>5</v>
      </c>
      <c r="C189" s="1">
        <v>7</v>
      </c>
      <c r="D189">
        <f t="shared" si="44"/>
        <v>700</v>
      </c>
      <c r="E189">
        <f t="shared" si="45"/>
        <v>300</v>
      </c>
      <c r="F189">
        <f t="shared" si="46"/>
        <v>36.225000000000001</v>
      </c>
      <c r="G189">
        <f t="shared" si="47"/>
        <v>0.126</v>
      </c>
      <c r="H189">
        <f t="shared" si="48"/>
        <v>132.30000000000001</v>
      </c>
      <c r="I189">
        <f t="shared" si="49"/>
        <v>441</v>
      </c>
      <c r="J189">
        <f t="shared" si="50"/>
        <v>315</v>
      </c>
      <c r="K189">
        <f t="shared" si="51"/>
        <v>94.5</v>
      </c>
      <c r="L189">
        <f t="shared" si="52"/>
        <v>8.7097499999999997</v>
      </c>
      <c r="M189">
        <f t="shared" si="53"/>
        <v>8.3789999999999996</v>
      </c>
      <c r="N189">
        <f t="shared" si="54"/>
        <v>6.0637499999999998</v>
      </c>
      <c r="O189">
        <f t="shared" si="55"/>
        <v>6.1480588235294116</v>
      </c>
      <c r="P189">
        <f t="shared" si="56"/>
        <v>4.5356371490280774</v>
      </c>
      <c r="Q189">
        <f t="shared" si="57"/>
        <v>63</v>
      </c>
      <c r="R189">
        <f t="shared" si="58"/>
        <v>525</v>
      </c>
      <c r="S189">
        <f t="shared" si="59"/>
        <v>277.2</v>
      </c>
      <c r="T189">
        <f t="shared" si="60"/>
        <v>37.799999999999997</v>
      </c>
      <c r="U189">
        <f>I189*E189/'[1]Inverter Analysis'!$L$2</f>
        <v>317.0309726073732</v>
      </c>
      <c r="V189">
        <f t="shared" si="61"/>
        <v>253.96825396825398</v>
      </c>
      <c r="W189">
        <f t="shared" si="62"/>
        <v>288.60028860028859</v>
      </c>
      <c r="X189">
        <f t="shared" si="63"/>
        <v>181.40589569160997</v>
      </c>
      <c r="Y189">
        <f t="shared" si="64"/>
        <v>0.49974075948101915</v>
      </c>
      <c r="Z189">
        <f t="shared" si="65"/>
        <v>3.6243791718750007</v>
      </c>
    </row>
    <row r="190" spans="1:26" hidden="1">
      <c r="A190">
        <v>14</v>
      </c>
      <c r="B190" s="9">
        <v>5</v>
      </c>
      <c r="C190" s="1">
        <v>7</v>
      </c>
      <c r="D190">
        <f t="shared" si="44"/>
        <v>700</v>
      </c>
      <c r="E190">
        <f t="shared" si="45"/>
        <v>300</v>
      </c>
      <c r="F190">
        <f t="shared" si="46"/>
        <v>33.81</v>
      </c>
      <c r="G190">
        <f t="shared" si="47"/>
        <v>0.11760000000000001</v>
      </c>
      <c r="H190">
        <f t="shared" si="48"/>
        <v>123.48</v>
      </c>
      <c r="I190">
        <f t="shared" si="49"/>
        <v>411.6</v>
      </c>
      <c r="J190">
        <f t="shared" si="50"/>
        <v>294</v>
      </c>
      <c r="K190">
        <f t="shared" si="51"/>
        <v>88.2</v>
      </c>
      <c r="L190">
        <f t="shared" si="52"/>
        <v>8.1291000000000011</v>
      </c>
      <c r="M190">
        <f t="shared" si="53"/>
        <v>7.8203999999999994</v>
      </c>
      <c r="N190">
        <f t="shared" si="54"/>
        <v>5.6595000000000004</v>
      </c>
      <c r="O190">
        <f t="shared" si="55"/>
        <v>5.7381882352941185</v>
      </c>
      <c r="P190">
        <f t="shared" si="56"/>
        <v>4.2332613390928726</v>
      </c>
      <c r="Q190">
        <f t="shared" si="57"/>
        <v>58.800000000000004</v>
      </c>
      <c r="R190">
        <f t="shared" si="58"/>
        <v>490</v>
      </c>
      <c r="S190">
        <f t="shared" si="59"/>
        <v>258.72000000000003</v>
      </c>
      <c r="T190">
        <f t="shared" si="60"/>
        <v>35.28</v>
      </c>
      <c r="U190">
        <f>I190*E190/'[1]Inverter Analysis'!$L$2</f>
        <v>295.89557443354835</v>
      </c>
      <c r="V190">
        <f t="shared" si="61"/>
        <v>272.10884353741494</v>
      </c>
      <c r="W190">
        <f t="shared" si="62"/>
        <v>309.21459492888062</v>
      </c>
      <c r="X190">
        <f t="shared" si="63"/>
        <v>194.36345966958211</v>
      </c>
      <c r="Y190">
        <f t="shared" si="64"/>
        <v>0.57368199430219036</v>
      </c>
      <c r="Z190">
        <f t="shared" si="65"/>
        <v>2.9467545030000011</v>
      </c>
    </row>
    <row r="191" spans="1:26" hidden="1">
      <c r="A191">
        <v>13</v>
      </c>
      <c r="B191" s="9">
        <v>5</v>
      </c>
      <c r="C191" s="1">
        <v>7</v>
      </c>
      <c r="D191">
        <f t="shared" si="44"/>
        <v>700</v>
      </c>
      <c r="E191">
        <f t="shared" si="45"/>
        <v>300</v>
      </c>
      <c r="F191">
        <f t="shared" si="46"/>
        <v>31.395</v>
      </c>
      <c r="G191">
        <f t="shared" si="47"/>
        <v>0.10920000000000001</v>
      </c>
      <c r="H191">
        <f t="shared" si="48"/>
        <v>114.66</v>
      </c>
      <c r="I191">
        <f t="shared" si="49"/>
        <v>382.2</v>
      </c>
      <c r="J191">
        <f t="shared" si="50"/>
        <v>273</v>
      </c>
      <c r="K191">
        <f t="shared" si="51"/>
        <v>81.900000000000006</v>
      </c>
      <c r="L191">
        <f t="shared" si="52"/>
        <v>7.5484500000000008</v>
      </c>
      <c r="M191">
        <f t="shared" si="53"/>
        <v>7.2617999999999991</v>
      </c>
      <c r="N191">
        <f t="shared" si="54"/>
        <v>5.2552500000000002</v>
      </c>
      <c r="O191">
        <f t="shared" si="55"/>
        <v>5.3283176470588245</v>
      </c>
      <c r="P191">
        <f t="shared" si="56"/>
        <v>3.930885529157667</v>
      </c>
      <c r="Q191">
        <f t="shared" si="57"/>
        <v>54.6</v>
      </c>
      <c r="R191">
        <f t="shared" si="58"/>
        <v>455</v>
      </c>
      <c r="S191">
        <f t="shared" si="59"/>
        <v>240.24</v>
      </c>
      <c r="T191">
        <f t="shared" si="60"/>
        <v>32.760000000000005</v>
      </c>
      <c r="U191">
        <f>I191*E191/'[1]Inverter Analysis'!$L$2</f>
        <v>274.76017625972344</v>
      </c>
      <c r="V191">
        <f t="shared" si="61"/>
        <v>293.04029304029302</v>
      </c>
      <c r="W191">
        <f t="shared" si="62"/>
        <v>333.000333000333</v>
      </c>
      <c r="X191">
        <f t="shared" si="63"/>
        <v>209.31449502878075</v>
      </c>
      <c r="Y191">
        <f t="shared" si="64"/>
        <v>0.66533533066999595</v>
      </c>
      <c r="Z191">
        <f t="shared" si="65"/>
        <v>2.3593366046250002</v>
      </c>
    </row>
    <row r="192" spans="1:26" hidden="1">
      <c r="A192">
        <v>12</v>
      </c>
      <c r="B192" s="9">
        <v>5</v>
      </c>
      <c r="C192" s="1">
        <v>7</v>
      </c>
      <c r="D192">
        <f t="shared" si="44"/>
        <v>700</v>
      </c>
      <c r="E192">
        <f t="shared" si="45"/>
        <v>300</v>
      </c>
      <c r="F192">
        <f t="shared" si="46"/>
        <v>28.98</v>
      </c>
      <c r="G192">
        <f t="shared" si="47"/>
        <v>0.10080000000000001</v>
      </c>
      <c r="H192">
        <f t="shared" si="48"/>
        <v>105.84</v>
      </c>
      <c r="I192">
        <f t="shared" si="49"/>
        <v>352.8</v>
      </c>
      <c r="J192">
        <f t="shared" si="50"/>
        <v>252</v>
      </c>
      <c r="K192">
        <f t="shared" si="51"/>
        <v>75.599999999999994</v>
      </c>
      <c r="L192">
        <f t="shared" si="52"/>
        <v>6.9678000000000013</v>
      </c>
      <c r="M192">
        <f t="shared" si="53"/>
        <v>6.7031999999999989</v>
      </c>
      <c r="N192">
        <f t="shared" si="54"/>
        <v>4.851</v>
      </c>
      <c r="O192">
        <f t="shared" si="55"/>
        <v>4.9184470588235305</v>
      </c>
      <c r="P192">
        <f t="shared" si="56"/>
        <v>3.6285097192224618</v>
      </c>
      <c r="Q192">
        <f t="shared" si="57"/>
        <v>50.4</v>
      </c>
      <c r="R192">
        <f t="shared" si="58"/>
        <v>420</v>
      </c>
      <c r="S192">
        <f t="shared" si="59"/>
        <v>221.76</v>
      </c>
      <c r="T192">
        <f t="shared" si="60"/>
        <v>30.240000000000006</v>
      </c>
      <c r="U192">
        <f>I192*E192/'[1]Inverter Analysis'!$L$2</f>
        <v>253.62477808589858</v>
      </c>
      <c r="V192">
        <f t="shared" si="61"/>
        <v>317.46031746031747</v>
      </c>
      <c r="W192">
        <f t="shared" si="62"/>
        <v>360.75036075036076</v>
      </c>
      <c r="X192">
        <f t="shared" si="63"/>
        <v>226.75736961451247</v>
      </c>
      <c r="Y192">
        <f t="shared" si="64"/>
        <v>0.78084493668909261</v>
      </c>
      <c r="Z192">
        <f t="shared" si="65"/>
        <v>1.855682136</v>
      </c>
    </row>
    <row r="193" spans="1:26" hidden="1">
      <c r="A193">
        <v>11</v>
      </c>
      <c r="B193" s="9">
        <v>5</v>
      </c>
      <c r="C193" s="1">
        <v>7</v>
      </c>
      <c r="D193">
        <f t="shared" si="44"/>
        <v>700</v>
      </c>
      <c r="E193">
        <f t="shared" si="45"/>
        <v>300</v>
      </c>
      <c r="F193">
        <f t="shared" si="46"/>
        <v>26.565000000000001</v>
      </c>
      <c r="G193">
        <f t="shared" si="47"/>
        <v>9.240000000000001E-2</v>
      </c>
      <c r="H193">
        <f t="shared" si="48"/>
        <v>97.02000000000001</v>
      </c>
      <c r="I193">
        <f t="shared" si="49"/>
        <v>323.40000000000003</v>
      </c>
      <c r="J193">
        <f t="shared" si="50"/>
        <v>231</v>
      </c>
      <c r="K193">
        <f t="shared" si="51"/>
        <v>69.3</v>
      </c>
      <c r="L193">
        <f t="shared" si="52"/>
        <v>6.3871500000000019</v>
      </c>
      <c r="M193">
        <f t="shared" si="53"/>
        <v>6.1446000000000005</v>
      </c>
      <c r="N193">
        <f t="shared" si="54"/>
        <v>4.4467500000000006</v>
      </c>
      <c r="O193">
        <f t="shared" si="55"/>
        <v>4.5085764705882365</v>
      </c>
      <c r="P193">
        <f t="shared" si="56"/>
        <v>3.3261339092872575</v>
      </c>
      <c r="Q193">
        <f t="shared" si="57"/>
        <v>46.2</v>
      </c>
      <c r="R193">
        <f t="shared" si="58"/>
        <v>385</v>
      </c>
      <c r="S193">
        <f t="shared" si="59"/>
        <v>203.28</v>
      </c>
      <c r="T193">
        <f t="shared" si="60"/>
        <v>27.720000000000002</v>
      </c>
      <c r="U193">
        <f>I193*E193/'[1]Inverter Analysis'!$L$2</f>
        <v>232.48937991207373</v>
      </c>
      <c r="V193">
        <f t="shared" si="61"/>
        <v>346.32034632034635</v>
      </c>
      <c r="W193">
        <f t="shared" si="62"/>
        <v>393.54584809130262</v>
      </c>
      <c r="X193">
        <f t="shared" si="63"/>
        <v>247.37167594310449</v>
      </c>
      <c r="Y193">
        <f t="shared" si="64"/>
        <v>0.92927000729941589</v>
      </c>
      <c r="Z193">
        <f t="shared" si="65"/>
        <v>1.4293477563750003</v>
      </c>
    </row>
    <row r="194" spans="1:26" hidden="1">
      <c r="A194">
        <v>10</v>
      </c>
      <c r="B194" s="9">
        <v>5</v>
      </c>
      <c r="C194" s="1">
        <v>7</v>
      </c>
      <c r="D194">
        <f t="shared" si="44"/>
        <v>700</v>
      </c>
      <c r="E194">
        <f t="shared" si="45"/>
        <v>300</v>
      </c>
      <c r="F194">
        <f t="shared" si="46"/>
        <v>24.15</v>
      </c>
      <c r="G194">
        <f t="shared" si="47"/>
        <v>8.4000000000000005E-2</v>
      </c>
      <c r="H194">
        <f t="shared" si="48"/>
        <v>88.2</v>
      </c>
      <c r="I194">
        <f t="shared" si="49"/>
        <v>294</v>
      </c>
      <c r="J194">
        <f t="shared" si="50"/>
        <v>210</v>
      </c>
      <c r="K194">
        <f t="shared" si="51"/>
        <v>63</v>
      </c>
      <c r="L194">
        <f t="shared" si="52"/>
        <v>5.8064999999999998</v>
      </c>
      <c r="M194">
        <f t="shared" si="53"/>
        <v>5.5860000000000003</v>
      </c>
      <c r="N194">
        <f t="shared" si="54"/>
        <v>4.0425000000000004</v>
      </c>
      <c r="O194">
        <f t="shared" si="55"/>
        <v>4.0987058823529416</v>
      </c>
      <c r="P194">
        <f t="shared" si="56"/>
        <v>3.0237580993520514</v>
      </c>
      <c r="Q194">
        <f t="shared" si="57"/>
        <v>42</v>
      </c>
      <c r="R194">
        <f t="shared" si="58"/>
        <v>350</v>
      </c>
      <c r="S194">
        <f t="shared" si="59"/>
        <v>184.8</v>
      </c>
      <c r="T194">
        <f t="shared" si="60"/>
        <v>25.200000000000003</v>
      </c>
      <c r="U194">
        <f>I194*E194/'[1]Inverter Analysis'!$L$2</f>
        <v>211.35398173824882</v>
      </c>
      <c r="V194">
        <f t="shared" si="61"/>
        <v>380.95238095238096</v>
      </c>
      <c r="W194">
        <f t="shared" si="62"/>
        <v>432.90043290043286</v>
      </c>
      <c r="X194">
        <f t="shared" si="63"/>
        <v>272.10884353741494</v>
      </c>
      <c r="Y194">
        <f t="shared" si="64"/>
        <v>1.1244167088322932</v>
      </c>
      <c r="Z194">
        <f t="shared" si="65"/>
        <v>1.0738901250000001</v>
      </c>
    </row>
    <row r="195" spans="1:26" hidden="1">
      <c r="A195">
        <v>16</v>
      </c>
      <c r="B195">
        <v>4</v>
      </c>
      <c r="C195" s="1">
        <v>7</v>
      </c>
      <c r="D195">
        <f t="shared" si="44"/>
        <v>560</v>
      </c>
      <c r="E195">
        <f t="shared" si="45"/>
        <v>240</v>
      </c>
      <c r="F195">
        <f t="shared" si="46"/>
        <v>30.911999999999999</v>
      </c>
      <c r="G195">
        <f t="shared" si="47"/>
        <v>0.16800000000000001</v>
      </c>
      <c r="H195">
        <f t="shared" si="48"/>
        <v>112.89600000000002</v>
      </c>
      <c r="I195">
        <f t="shared" si="49"/>
        <v>470.40000000000003</v>
      </c>
      <c r="J195">
        <f t="shared" si="50"/>
        <v>336</v>
      </c>
      <c r="K195">
        <f t="shared" si="51"/>
        <v>80.64</v>
      </c>
      <c r="L195">
        <f t="shared" si="52"/>
        <v>7.4323200000000007</v>
      </c>
      <c r="M195">
        <f t="shared" si="53"/>
        <v>7.15008</v>
      </c>
      <c r="N195">
        <f t="shared" si="54"/>
        <v>5.1744000000000003</v>
      </c>
      <c r="O195">
        <f t="shared" si="55"/>
        <v>5.2463435294117655</v>
      </c>
      <c r="P195">
        <f t="shared" si="56"/>
        <v>3.8704103671706265</v>
      </c>
      <c r="Q195">
        <f t="shared" si="57"/>
        <v>67.2</v>
      </c>
      <c r="R195">
        <f t="shared" si="58"/>
        <v>448</v>
      </c>
      <c r="S195">
        <f t="shared" si="59"/>
        <v>295.68</v>
      </c>
      <c r="T195">
        <f t="shared" si="60"/>
        <v>40.32</v>
      </c>
      <c r="U195">
        <f>I195*E195/'[1]Inverter Analysis'!$L$2</f>
        <v>270.53309662495849</v>
      </c>
      <c r="V195">
        <f t="shared" si="61"/>
        <v>238.0952380952381</v>
      </c>
      <c r="W195">
        <f t="shared" si="62"/>
        <v>270.56277056277054</v>
      </c>
      <c r="X195">
        <f t="shared" si="63"/>
        <v>170.06802721088434</v>
      </c>
      <c r="Y195">
        <f t="shared" si="64"/>
        <v>0.43922527688761454</v>
      </c>
      <c r="Z195">
        <f t="shared" si="65"/>
        <v>3.5189231616000001</v>
      </c>
    </row>
    <row r="196" spans="1:26" hidden="1">
      <c r="A196">
        <v>15</v>
      </c>
      <c r="B196">
        <v>4</v>
      </c>
      <c r="C196" s="1">
        <v>7</v>
      </c>
      <c r="D196">
        <f t="shared" si="44"/>
        <v>560</v>
      </c>
      <c r="E196">
        <f t="shared" si="45"/>
        <v>240</v>
      </c>
      <c r="F196">
        <f t="shared" si="46"/>
        <v>28.98</v>
      </c>
      <c r="G196">
        <f t="shared" si="47"/>
        <v>0.1575</v>
      </c>
      <c r="H196">
        <f t="shared" si="48"/>
        <v>105.84</v>
      </c>
      <c r="I196">
        <f t="shared" si="49"/>
        <v>441</v>
      </c>
      <c r="J196">
        <f t="shared" si="50"/>
        <v>315</v>
      </c>
      <c r="K196">
        <f t="shared" si="51"/>
        <v>75.599999999999994</v>
      </c>
      <c r="L196">
        <f t="shared" si="52"/>
        <v>6.9678000000000004</v>
      </c>
      <c r="M196">
        <f t="shared" si="53"/>
        <v>6.7031999999999998</v>
      </c>
      <c r="N196">
        <f t="shared" si="54"/>
        <v>4.851</v>
      </c>
      <c r="O196">
        <f t="shared" si="55"/>
        <v>4.9184470588235296</v>
      </c>
      <c r="P196">
        <f t="shared" si="56"/>
        <v>3.6285097192224618</v>
      </c>
      <c r="Q196">
        <f t="shared" si="57"/>
        <v>63</v>
      </c>
      <c r="R196">
        <f t="shared" si="58"/>
        <v>420</v>
      </c>
      <c r="S196">
        <f t="shared" si="59"/>
        <v>277.2</v>
      </c>
      <c r="T196">
        <f t="shared" si="60"/>
        <v>37.799999999999997</v>
      </c>
      <c r="U196">
        <f>I196*E196/'[1]Inverter Analysis'!$L$2</f>
        <v>253.62477808589858</v>
      </c>
      <c r="V196">
        <f t="shared" si="61"/>
        <v>253.96825396825398</v>
      </c>
      <c r="W196">
        <f t="shared" si="62"/>
        <v>288.60028860028859</v>
      </c>
      <c r="X196">
        <f t="shared" si="63"/>
        <v>181.40589569160997</v>
      </c>
      <c r="Y196">
        <f t="shared" si="64"/>
        <v>0.49974075948101915</v>
      </c>
      <c r="Z196">
        <f t="shared" si="65"/>
        <v>2.8995033375000006</v>
      </c>
    </row>
    <row r="197" spans="1:26" hidden="1">
      <c r="A197">
        <v>14</v>
      </c>
      <c r="B197">
        <v>4</v>
      </c>
      <c r="C197" s="1">
        <v>7</v>
      </c>
      <c r="D197">
        <f t="shared" si="44"/>
        <v>560</v>
      </c>
      <c r="E197">
        <f t="shared" si="45"/>
        <v>240</v>
      </c>
      <c r="F197">
        <f t="shared" si="46"/>
        <v>27.047999999999998</v>
      </c>
      <c r="G197">
        <f t="shared" si="47"/>
        <v>0.14700000000000002</v>
      </c>
      <c r="H197">
        <f t="shared" si="48"/>
        <v>98.784000000000006</v>
      </c>
      <c r="I197">
        <f t="shared" si="49"/>
        <v>411.6</v>
      </c>
      <c r="J197">
        <f t="shared" si="50"/>
        <v>294</v>
      </c>
      <c r="K197">
        <f t="shared" si="51"/>
        <v>70.56</v>
      </c>
      <c r="L197">
        <f t="shared" si="52"/>
        <v>6.5032800000000011</v>
      </c>
      <c r="M197">
        <f t="shared" si="53"/>
        <v>6.2563199999999997</v>
      </c>
      <c r="N197">
        <f t="shared" si="54"/>
        <v>4.5276000000000005</v>
      </c>
      <c r="O197">
        <f t="shared" si="55"/>
        <v>4.5905505882352955</v>
      </c>
      <c r="P197">
        <f t="shared" si="56"/>
        <v>3.386609071274298</v>
      </c>
      <c r="Q197">
        <f t="shared" si="57"/>
        <v>58.800000000000004</v>
      </c>
      <c r="R197">
        <f t="shared" si="58"/>
        <v>392</v>
      </c>
      <c r="S197">
        <f t="shared" si="59"/>
        <v>258.72000000000003</v>
      </c>
      <c r="T197">
        <f t="shared" si="60"/>
        <v>35.28</v>
      </c>
      <c r="U197">
        <f>I197*E197/'[1]Inverter Analysis'!$L$2</f>
        <v>236.71645954683868</v>
      </c>
      <c r="V197">
        <f t="shared" si="61"/>
        <v>272.10884353741494</v>
      </c>
      <c r="W197">
        <f t="shared" si="62"/>
        <v>309.21459492888062</v>
      </c>
      <c r="X197">
        <f t="shared" si="63"/>
        <v>194.36345966958211</v>
      </c>
      <c r="Y197">
        <f t="shared" si="64"/>
        <v>0.57368199430219036</v>
      </c>
      <c r="Z197">
        <f t="shared" si="65"/>
        <v>2.3574036023999998</v>
      </c>
    </row>
    <row r="198" spans="1:26" hidden="1">
      <c r="A198">
        <v>13</v>
      </c>
      <c r="B198">
        <v>4</v>
      </c>
      <c r="C198" s="1">
        <v>7</v>
      </c>
      <c r="D198">
        <f t="shared" si="44"/>
        <v>560</v>
      </c>
      <c r="E198">
        <f t="shared" si="45"/>
        <v>240</v>
      </c>
      <c r="F198">
        <f t="shared" si="46"/>
        <v>25.116</v>
      </c>
      <c r="G198">
        <f t="shared" si="47"/>
        <v>0.13650000000000001</v>
      </c>
      <c r="H198">
        <f t="shared" si="48"/>
        <v>91.727999999999994</v>
      </c>
      <c r="I198">
        <f t="shared" si="49"/>
        <v>382.2</v>
      </c>
      <c r="J198">
        <f t="shared" si="50"/>
        <v>273</v>
      </c>
      <c r="K198">
        <f t="shared" si="51"/>
        <v>65.52</v>
      </c>
      <c r="L198">
        <f t="shared" si="52"/>
        <v>6.0387599999999999</v>
      </c>
      <c r="M198">
        <f t="shared" si="53"/>
        <v>5.8094399999999995</v>
      </c>
      <c r="N198">
        <f t="shared" si="54"/>
        <v>4.2042000000000002</v>
      </c>
      <c r="O198">
        <f t="shared" si="55"/>
        <v>4.2626541176470587</v>
      </c>
      <c r="P198">
        <f t="shared" si="56"/>
        <v>3.1447084233261338</v>
      </c>
      <c r="Q198">
        <f t="shared" si="57"/>
        <v>54.6</v>
      </c>
      <c r="R198">
        <f t="shared" si="58"/>
        <v>364</v>
      </c>
      <c r="S198">
        <f t="shared" si="59"/>
        <v>240.24</v>
      </c>
      <c r="T198">
        <f t="shared" si="60"/>
        <v>32.760000000000005</v>
      </c>
      <c r="U198">
        <f>I198*E198/'[1]Inverter Analysis'!$L$2</f>
        <v>219.80814100777877</v>
      </c>
      <c r="V198">
        <f t="shared" si="61"/>
        <v>293.04029304029302</v>
      </c>
      <c r="W198">
        <f t="shared" si="62"/>
        <v>333.000333000333</v>
      </c>
      <c r="X198">
        <f t="shared" si="63"/>
        <v>209.31449502878075</v>
      </c>
      <c r="Y198">
        <f t="shared" si="64"/>
        <v>0.66533533066999595</v>
      </c>
      <c r="Z198">
        <f t="shared" si="65"/>
        <v>1.8874692837000002</v>
      </c>
    </row>
    <row r="199" spans="1:26" hidden="1">
      <c r="A199">
        <v>12</v>
      </c>
      <c r="B199">
        <v>4</v>
      </c>
      <c r="C199" s="1">
        <v>7</v>
      </c>
      <c r="D199">
        <f t="shared" ref="D199:D227" si="66">B199*$J$3</f>
        <v>560</v>
      </c>
      <c r="E199">
        <f t="shared" ref="E199:E227" si="67">B199*$I$3</f>
        <v>240</v>
      </c>
      <c r="F199">
        <f t="shared" ref="F199:F227" si="68">A199*B199*C199*$Q$3/1000</f>
        <v>23.184000000000001</v>
      </c>
      <c r="G199">
        <f t="shared" ref="G199:G227" si="69">((B199*$R$3^(-1))^(-1))*A199*C199</f>
        <v>0.126</v>
      </c>
      <c r="H199">
        <f t="shared" ref="H199:H227" si="70">E199*I199/1000</f>
        <v>84.671999999999997</v>
      </c>
      <c r="I199">
        <f t="shared" ref="I199:I227" si="71">A199*C199*4.2</f>
        <v>352.8</v>
      </c>
      <c r="J199">
        <f t="shared" ref="J199:J227" si="72">C199*A199*$K$3</f>
        <v>252</v>
      </c>
      <c r="K199">
        <f t="shared" ref="K199:K227" si="73">E199*J199/1000</f>
        <v>60.48</v>
      </c>
      <c r="L199">
        <f t="shared" ref="L199:L227" si="74">$N$3/1000*I199*B199/1000</f>
        <v>5.5742400000000005</v>
      </c>
      <c r="M199">
        <f t="shared" ref="M199:M227" si="75">$O$3/1000*I199*B199/1000</f>
        <v>5.3625599999999993</v>
      </c>
      <c r="N199">
        <f t="shared" ref="N199:N227" si="76">$P$3/1000*I199*B199/1000</f>
        <v>3.8808000000000002</v>
      </c>
      <c r="O199">
        <f t="shared" ref="O199:O227" si="77">L199*(($L$3-$K$3)/($L$3-$M$3))</f>
        <v>3.9347576470588241</v>
      </c>
      <c r="P199">
        <f t="shared" ref="P199:P227" si="78">$H$3/1000*B199*I199/277.8/C199</f>
        <v>2.9028077753779695</v>
      </c>
      <c r="Q199">
        <f t="shared" ref="Q199:Q227" si="79">I199/C199</f>
        <v>50.4</v>
      </c>
      <c r="R199">
        <f t="shared" ref="R199:R227" si="80">(A199*B199*C199)</f>
        <v>336</v>
      </c>
      <c r="S199">
        <f t="shared" ref="S199:S227" si="81">J199-(G199*E199)</f>
        <v>221.76</v>
      </c>
      <c r="T199">
        <f t="shared" ref="T199:T227" si="82">G199*E199</f>
        <v>30.240000000000002</v>
      </c>
      <c r="U199">
        <f>I199*E199/'[1]Inverter Analysis'!$L$2</f>
        <v>202.89982246871887</v>
      </c>
      <c r="V199">
        <f t="shared" ref="V199:V227" si="83">80000/J199</f>
        <v>317.46031746031747</v>
      </c>
      <c r="W199">
        <f t="shared" ref="W199:W227" si="84">80000/S199</f>
        <v>360.75036075036076</v>
      </c>
      <c r="X199">
        <f t="shared" ref="X199:X227" si="85">80000/I199</f>
        <v>226.75736961451247</v>
      </c>
      <c r="Y199">
        <f t="shared" ref="Y199:Y227" si="86">(MAX(V199:X199)^2)*$R$3/1000</f>
        <v>0.78084493668909261</v>
      </c>
      <c r="Z199">
        <f t="shared" ref="Z199:Z227" si="87">($S$3*F199/(Y199*1000))*10</f>
        <v>1.4845457088</v>
      </c>
    </row>
    <row r="200" spans="1:26" hidden="1">
      <c r="A200">
        <v>11</v>
      </c>
      <c r="B200">
        <v>4</v>
      </c>
      <c r="C200" s="1">
        <v>7</v>
      </c>
      <c r="D200">
        <f t="shared" si="66"/>
        <v>560</v>
      </c>
      <c r="E200">
        <f t="shared" si="67"/>
        <v>240</v>
      </c>
      <c r="F200">
        <f t="shared" si="68"/>
        <v>21.251999999999999</v>
      </c>
      <c r="G200">
        <f t="shared" si="69"/>
        <v>0.11550000000000001</v>
      </c>
      <c r="H200">
        <f t="shared" si="70"/>
        <v>77.616000000000014</v>
      </c>
      <c r="I200">
        <f t="shared" si="71"/>
        <v>323.40000000000003</v>
      </c>
      <c r="J200">
        <f t="shared" si="72"/>
        <v>231</v>
      </c>
      <c r="K200">
        <f t="shared" si="73"/>
        <v>55.44</v>
      </c>
      <c r="L200">
        <f t="shared" si="74"/>
        <v>5.1097200000000011</v>
      </c>
      <c r="M200">
        <f t="shared" si="75"/>
        <v>4.91568</v>
      </c>
      <c r="N200">
        <f t="shared" si="76"/>
        <v>3.5574000000000003</v>
      </c>
      <c r="O200">
        <f t="shared" si="77"/>
        <v>3.6068611764705891</v>
      </c>
      <c r="P200">
        <f t="shared" si="78"/>
        <v>2.6609071274298057</v>
      </c>
      <c r="Q200">
        <f t="shared" si="79"/>
        <v>46.2</v>
      </c>
      <c r="R200">
        <f t="shared" si="80"/>
        <v>308</v>
      </c>
      <c r="S200">
        <f t="shared" si="81"/>
        <v>203.28</v>
      </c>
      <c r="T200">
        <f t="shared" si="82"/>
        <v>27.720000000000002</v>
      </c>
      <c r="U200">
        <f>I200*E200/'[1]Inverter Analysis'!$L$2</f>
        <v>185.99150392965899</v>
      </c>
      <c r="V200">
        <f t="shared" si="83"/>
        <v>346.32034632034635</v>
      </c>
      <c r="W200">
        <f t="shared" si="84"/>
        <v>393.54584809130262</v>
      </c>
      <c r="X200">
        <f t="shared" si="85"/>
        <v>247.37167594310449</v>
      </c>
      <c r="Y200">
        <f t="shared" si="86"/>
        <v>0.92927000729941589</v>
      </c>
      <c r="Z200">
        <f t="shared" si="87"/>
        <v>1.1434782051000001</v>
      </c>
    </row>
    <row r="201" spans="1:26" hidden="1">
      <c r="A201">
        <v>10</v>
      </c>
      <c r="B201">
        <v>4</v>
      </c>
      <c r="C201" s="1">
        <v>7</v>
      </c>
      <c r="D201">
        <f t="shared" si="66"/>
        <v>560</v>
      </c>
      <c r="E201">
        <f t="shared" si="67"/>
        <v>240</v>
      </c>
      <c r="F201">
        <f t="shared" si="68"/>
        <v>19.32</v>
      </c>
      <c r="G201">
        <f t="shared" si="69"/>
        <v>0.105</v>
      </c>
      <c r="H201">
        <f t="shared" si="70"/>
        <v>70.56</v>
      </c>
      <c r="I201">
        <f t="shared" si="71"/>
        <v>294</v>
      </c>
      <c r="J201">
        <f t="shared" si="72"/>
        <v>210</v>
      </c>
      <c r="K201">
        <f t="shared" si="73"/>
        <v>50.4</v>
      </c>
      <c r="L201">
        <f t="shared" si="74"/>
        <v>4.6452</v>
      </c>
      <c r="M201">
        <f t="shared" si="75"/>
        <v>4.4687999999999999</v>
      </c>
      <c r="N201">
        <f t="shared" si="76"/>
        <v>3.234</v>
      </c>
      <c r="O201">
        <f t="shared" si="77"/>
        <v>3.2789647058823532</v>
      </c>
      <c r="P201">
        <f t="shared" si="78"/>
        <v>2.4190064794816415</v>
      </c>
      <c r="Q201">
        <f t="shared" si="79"/>
        <v>42</v>
      </c>
      <c r="R201">
        <f t="shared" si="80"/>
        <v>280</v>
      </c>
      <c r="S201">
        <f t="shared" si="81"/>
        <v>184.8</v>
      </c>
      <c r="T201">
        <f t="shared" si="82"/>
        <v>25.2</v>
      </c>
      <c r="U201">
        <f>I201*E201/'[1]Inverter Analysis'!$L$2</f>
        <v>169.08318539059906</v>
      </c>
      <c r="V201">
        <f t="shared" si="83"/>
        <v>380.95238095238096</v>
      </c>
      <c r="W201">
        <f t="shared" si="84"/>
        <v>432.90043290043286</v>
      </c>
      <c r="X201">
        <f t="shared" si="85"/>
        <v>272.10884353741494</v>
      </c>
      <c r="Y201">
        <f t="shared" si="86"/>
        <v>1.1244167088322932</v>
      </c>
      <c r="Z201">
        <f t="shared" si="87"/>
        <v>0.85911210000000005</v>
      </c>
    </row>
    <row r="202" spans="1:26" hidden="1">
      <c r="A202">
        <v>16</v>
      </c>
      <c r="B202">
        <v>3</v>
      </c>
      <c r="C202" s="1">
        <v>7</v>
      </c>
      <c r="D202">
        <f t="shared" si="66"/>
        <v>420</v>
      </c>
      <c r="E202">
        <f t="shared" si="67"/>
        <v>180</v>
      </c>
      <c r="F202">
        <f t="shared" si="68"/>
        <v>23.184000000000001</v>
      </c>
      <c r="G202">
        <f t="shared" si="69"/>
        <v>0.224</v>
      </c>
      <c r="H202">
        <f t="shared" si="70"/>
        <v>84.671999999999997</v>
      </c>
      <c r="I202">
        <f t="shared" si="71"/>
        <v>470.40000000000003</v>
      </c>
      <c r="J202">
        <f t="shared" si="72"/>
        <v>336</v>
      </c>
      <c r="K202">
        <f t="shared" si="73"/>
        <v>60.48</v>
      </c>
      <c r="L202">
        <f t="shared" si="74"/>
        <v>5.5742400000000005</v>
      </c>
      <c r="M202">
        <f t="shared" si="75"/>
        <v>5.3625599999999993</v>
      </c>
      <c r="N202">
        <f t="shared" si="76"/>
        <v>3.8808000000000002</v>
      </c>
      <c r="O202">
        <f t="shared" si="77"/>
        <v>3.9347576470588241</v>
      </c>
      <c r="P202">
        <f t="shared" si="78"/>
        <v>2.9028077753779695</v>
      </c>
      <c r="Q202">
        <f t="shared" si="79"/>
        <v>67.2</v>
      </c>
      <c r="R202">
        <f t="shared" si="80"/>
        <v>336</v>
      </c>
      <c r="S202">
        <f t="shared" si="81"/>
        <v>295.68</v>
      </c>
      <c r="T202">
        <f t="shared" si="82"/>
        <v>40.32</v>
      </c>
      <c r="U202">
        <f>I202*E202/'[1]Inverter Analysis'!$L$2</f>
        <v>202.89982246871887</v>
      </c>
      <c r="V202">
        <f t="shared" si="83"/>
        <v>238.0952380952381</v>
      </c>
      <c r="W202">
        <f t="shared" si="84"/>
        <v>270.56277056277054</v>
      </c>
      <c r="X202">
        <f t="shared" si="85"/>
        <v>170.06802721088434</v>
      </c>
      <c r="Y202">
        <f t="shared" si="86"/>
        <v>0.43922527688761454</v>
      </c>
      <c r="Z202">
        <f t="shared" si="87"/>
        <v>2.6391923712000001</v>
      </c>
    </row>
    <row r="203" spans="1:26" hidden="1">
      <c r="A203">
        <v>15</v>
      </c>
      <c r="B203">
        <v>3</v>
      </c>
      <c r="C203" s="1">
        <v>7</v>
      </c>
      <c r="D203">
        <f t="shared" si="66"/>
        <v>420</v>
      </c>
      <c r="E203">
        <f t="shared" si="67"/>
        <v>180</v>
      </c>
      <c r="F203">
        <f t="shared" si="68"/>
        <v>21.734999999999999</v>
      </c>
      <c r="G203">
        <f t="shared" si="69"/>
        <v>0.21</v>
      </c>
      <c r="H203">
        <f t="shared" si="70"/>
        <v>79.38</v>
      </c>
      <c r="I203">
        <f t="shared" si="71"/>
        <v>441</v>
      </c>
      <c r="J203">
        <f t="shared" si="72"/>
        <v>315</v>
      </c>
      <c r="K203">
        <f t="shared" si="73"/>
        <v>56.7</v>
      </c>
      <c r="L203">
        <f t="shared" si="74"/>
        <v>5.2258500000000003</v>
      </c>
      <c r="M203">
        <f t="shared" si="75"/>
        <v>5.0273999999999992</v>
      </c>
      <c r="N203">
        <f t="shared" si="76"/>
        <v>3.6382500000000002</v>
      </c>
      <c r="O203">
        <f t="shared" si="77"/>
        <v>3.6888352941176477</v>
      </c>
      <c r="P203">
        <f t="shared" si="78"/>
        <v>2.7213822894168467</v>
      </c>
      <c r="Q203">
        <f t="shared" si="79"/>
        <v>63</v>
      </c>
      <c r="R203">
        <f t="shared" si="80"/>
        <v>315</v>
      </c>
      <c r="S203">
        <f t="shared" si="81"/>
        <v>277.2</v>
      </c>
      <c r="T203">
        <f t="shared" si="82"/>
        <v>37.799999999999997</v>
      </c>
      <c r="U203">
        <f>I203*E203/'[1]Inverter Analysis'!$L$2</f>
        <v>190.21858356442394</v>
      </c>
      <c r="V203">
        <f t="shared" si="83"/>
        <v>253.96825396825398</v>
      </c>
      <c r="W203">
        <f t="shared" si="84"/>
        <v>288.60028860028859</v>
      </c>
      <c r="X203">
        <f t="shared" si="85"/>
        <v>181.40589569160997</v>
      </c>
      <c r="Y203">
        <f t="shared" si="86"/>
        <v>0.49974075948101915</v>
      </c>
      <c r="Z203">
        <f t="shared" si="87"/>
        <v>2.1746275031250004</v>
      </c>
    </row>
    <row r="204" spans="1:26">
      <c r="A204">
        <v>14</v>
      </c>
      <c r="B204">
        <v>3</v>
      </c>
      <c r="C204" s="1">
        <v>7</v>
      </c>
      <c r="D204">
        <f t="shared" si="66"/>
        <v>420</v>
      </c>
      <c r="E204">
        <f t="shared" si="67"/>
        <v>180</v>
      </c>
      <c r="F204">
        <f t="shared" si="68"/>
        <v>20.286000000000001</v>
      </c>
      <c r="G204">
        <f t="shared" si="69"/>
        <v>0.19600000000000001</v>
      </c>
      <c r="H204">
        <f t="shared" si="70"/>
        <v>74.087999999999994</v>
      </c>
      <c r="I204">
        <f t="shared" si="71"/>
        <v>411.6</v>
      </c>
      <c r="J204">
        <f t="shared" si="72"/>
        <v>294</v>
      </c>
      <c r="K204">
        <f t="shared" si="73"/>
        <v>52.92</v>
      </c>
      <c r="L204">
        <f t="shared" si="74"/>
        <v>4.877460000000001</v>
      </c>
      <c r="M204">
        <f t="shared" si="75"/>
        <v>4.69224</v>
      </c>
      <c r="N204">
        <f t="shared" si="76"/>
        <v>3.3957000000000002</v>
      </c>
      <c r="O204">
        <f t="shared" si="77"/>
        <v>3.4429129411764716</v>
      </c>
      <c r="P204">
        <f t="shared" si="78"/>
        <v>2.5399568034557238</v>
      </c>
      <c r="Q204">
        <f t="shared" si="79"/>
        <v>58.800000000000004</v>
      </c>
      <c r="R204">
        <f t="shared" si="80"/>
        <v>294</v>
      </c>
      <c r="S204">
        <f t="shared" si="81"/>
        <v>258.72000000000003</v>
      </c>
      <c r="T204">
        <f t="shared" si="82"/>
        <v>35.28</v>
      </c>
      <c r="U204">
        <f>I204*E204/'[1]Inverter Analysis'!$L$2</f>
        <v>177.53734466012901</v>
      </c>
      <c r="V204">
        <f t="shared" si="83"/>
        <v>272.10884353741494</v>
      </c>
      <c r="W204">
        <f t="shared" si="84"/>
        <v>309.21459492888062</v>
      </c>
      <c r="X204">
        <f t="shared" si="85"/>
        <v>194.36345966958211</v>
      </c>
      <c r="Y204">
        <f t="shared" si="86"/>
        <v>0.57368199430219036</v>
      </c>
      <c r="Z204">
        <f t="shared" si="87"/>
        <v>1.7680527018000003</v>
      </c>
    </row>
    <row r="205" spans="1:26" hidden="1">
      <c r="A205">
        <v>13</v>
      </c>
      <c r="B205">
        <v>3</v>
      </c>
      <c r="C205" s="1">
        <v>7</v>
      </c>
      <c r="D205">
        <f t="shared" si="66"/>
        <v>420</v>
      </c>
      <c r="E205">
        <f t="shared" si="67"/>
        <v>180</v>
      </c>
      <c r="F205">
        <f t="shared" si="68"/>
        <v>18.837</v>
      </c>
      <c r="G205">
        <f t="shared" si="69"/>
        <v>0.18200000000000002</v>
      </c>
      <c r="H205">
        <f t="shared" si="70"/>
        <v>68.796000000000006</v>
      </c>
      <c r="I205">
        <f t="shared" si="71"/>
        <v>382.2</v>
      </c>
      <c r="J205">
        <f t="shared" si="72"/>
        <v>273</v>
      </c>
      <c r="K205">
        <f t="shared" si="73"/>
        <v>49.14</v>
      </c>
      <c r="L205">
        <f t="shared" si="74"/>
        <v>4.5290699999999999</v>
      </c>
      <c r="M205">
        <f t="shared" si="75"/>
        <v>4.3570799999999998</v>
      </c>
      <c r="N205">
        <f t="shared" si="76"/>
        <v>3.1531499999999997</v>
      </c>
      <c r="O205">
        <f t="shared" si="77"/>
        <v>3.1969905882352943</v>
      </c>
      <c r="P205">
        <f t="shared" si="78"/>
        <v>2.3585313174946001</v>
      </c>
      <c r="Q205">
        <f t="shared" si="79"/>
        <v>54.6</v>
      </c>
      <c r="R205">
        <f t="shared" si="80"/>
        <v>273</v>
      </c>
      <c r="S205">
        <f t="shared" si="81"/>
        <v>240.24</v>
      </c>
      <c r="T205">
        <f t="shared" si="82"/>
        <v>32.760000000000005</v>
      </c>
      <c r="U205">
        <f>I205*E205/'[1]Inverter Analysis'!$L$2</f>
        <v>164.85610575583408</v>
      </c>
      <c r="V205">
        <f t="shared" si="83"/>
        <v>293.04029304029302</v>
      </c>
      <c r="W205">
        <f t="shared" si="84"/>
        <v>333.000333000333</v>
      </c>
      <c r="X205">
        <f t="shared" si="85"/>
        <v>209.31449502878075</v>
      </c>
      <c r="Y205">
        <f t="shared" si="86"/>
        <v>0.66533533066999595</v>
      </c>
      <c r="Z205">
        <f t="shared" si="87"/>
        <v>1.4156019627749998</v>
      </c>
    </row>
    <row r="206" spans="1:26" hidden="1">
      <c r="A206">
        <v>12</v>
      </c>
      <c r="B206">
        <v>3</v>
      </c>
      <c r="C206" s="1">
        <v>7</v>
      </c>
      <c r="D206">
        <f t="shared" si="66"/>
        <v>420</v>
      </c>
      <c r="E206">
        <f t="shared" si="67"/>
        <v>180</v>
      </c>
      <c r="F206">
        <f t="shared" si="68"/>
        <v>17.388000000000002</v>
      </c>
      <c r="G206">
        <f t="shared" si="69"/>
        <v>0.16800000000000001</v>
      </c>
      <c r="H206">
        <f t="shared" si="70"/>
        <v>63.503999999999998</v>
      </c>
      <c r="I206">
        <f t="shared" si="71"/>
        <v>352.8</v>
      </c>
      <c r="J206">
        <f t="shared" si="72"/>
        <v>252</v>
      </c>
      <c r="K206">
        <f t="shared" si="73"/>
        <v>45.36</v>
      </c>
      <c r="L206">
        <f t="shared" si="74"/>
        <v>4.1806800000000006</v>
      </c>
      <c r="M206">
        <f t="shared" si="75"/>
        <v>4.0219199999999997</v>
      </c>
      <c r="N206">
        <f t="shared" si="76"/>
        <v>2.9106000000000005</v>
      </c>
      <c r="O206">
        <f t="shared" si="77"/>
        <v>2.9510682352941182</v>
      </c>
      <c r="P206">
        <f t="shared" si="78"/>
        <v>2.1771058315334773</v>
      </c>
      <c r="Q206">
        <f t="shared" si="79"/>
        <v>50.4</v>
      </c>
      <c r="R206">
        <f t="shared" si="80"/>
        <v>252</v>
      </c>
      <c r="S206">
        <f t="shared" si="81"/>
        <v>221.76</v>
      </c>
      <c r="T206">
        <f t="shared" si="82"/>
        <v>30.240000000000002</v>
      </c>
      <c r="U206">
        <f>I206*E206/'[1]Inverter Analysis'!$L$2</f>
        <v>152.17486685153915</v>
      </c>
      <c r="V206">
        <f t="shared" si="83"/>
        <v>317.46031746031747</v>
      </c>
      <c r="W206">
        <f t="shared" si="84"/>
        <v>360.75036075036076</v>
      </c>
      <c r="X206">
        <f t="shared" si="85"/>
        <v>226.75736961451247</v>
      </c>
      <c r="Y206">
        <f t="shared" si="86"/>
        <v>0.78084493668909261</v>
      </c>
      <c r="Z206">
        <f t="shared" si="87"/>
        <v>1.1134092816000001</v>
      </c>
    </row>
    <row r="207" spans="1:26" hidden="1">
      <c r="A207">
        <v>11</v>
      </c>
      <c r="B207">
        <v>3</v>
      </c>
      <c r="C207" s="1">
        <v>7</v>
      </c>
      <c r="D207">
        <f t="shared" si="66"/>
        <v>420</v>
      </c>
      <c r="E207">
        <f t="shared" si="67"/>
        <v>180</v>
      </c>
      <c r="F207">
        <f t="shared" si="68"/>
        <v>15.939</v>
      </c>
      <c r="G207">
        <f t="shared" si="69"/>
        <v>0.154</v>
      </c>
      <c r="H207">
        <f t="shared" si="70"/>
        <v>58.21200000000001</v>
      </c>
      <c r="I207">
        <f t="shared" si="71"/>
        <v>323.40000000000003</v>
      </c>
      <c r="J207">
        <f t="shared" si="72"/>
        <v>231</v>
      </c>
      <c r="K207">
        <f t="shared" si="73"/>
        <v>41.58</v>
      </c>
      <c r="L207">
        <f t="shared" si="74"/>
        <v>3.8322900000000009</v>
      </c>
      <c r="M207">
        <f t="shared" si="75"/>
        <v>3.68676</v>
      </c>
      <c r="N207">
        <f t="shared" si="76"/>
        <v>2.66805</v>
      </c>
      <c r="O207">
        <f t="shared" si="77"/>
        <v>2.7051458823529422</v>
      </c>
      <c r="P207">
        <f t="shared" si="78"/>
        <v>1.9956803455723544</v>
      </c>
      <c r="Q207">
        <f t="shared" si="79"/>
        <v>46.2</v>
      </c>
      <c r="R207">
        <f t="shared" si="80"/>
        <v>231</v>
      </c>
      <c r="S207">
        <f t="shared" si="81"/>
        <v>203.28</v>
      </c>
      <c r="T207">
        <f t="shared" si="82"/>
        <v>27.72</v>
      </c>
      <c r="U207">
        <f>I207*E207/'[1]Inverter Analysis'!$L$2</f>
        <v>139.49362794724422</v>
      </c>
      <c r="V207">
        <f t="shared" si="83"/>
        <v>346.32034632034635</v>
      </c>
      <c r="W207">
        <f t="shared" si="84"/>
        <v>393.54584809130262</v>
      </c>
      <c r="X207">
        <f t="shared" si="85"/>
        <v>247.37167594310449</v>
      </c>
      <c r="Y207">
        <f t="shared" si="86"/>
        <v>0.92927000729941589</v>
      </c>
      <c r="Z207">
        <f t="shared" si="87"/>
        <v>0.85760865382499996</v>
      </c>
    </row>
    <row r="208" spans="1:26" hidden="1">
      <c r="A208">
        <v>10</v>
      </c>
      <c r="B208">
        <v>3</v>
      </c>
      <c r="C208" s="1">
        <v>7</v>
      </c>
      <c r="D208">
        <f t="shared" si="66"/>
        <v>420</v>
      </c>
      <c r="E208">
        <f t="shared" si="67"/>
        <v>180</v>
      </c>
      <c r="F208">
        <f t="shared" si="68"/>
        <v>14.49</v>
      </c>
      <c r="G208">
        <f t="shared" si="69"/>
        <v>0.14000000000000001</v>
      </c>
      <c r="H208">
        <f t="shared" si="70"/>
        <v>52.92</v>
      </c>
      <c r="I208">
        <f t="shared" si="71"/>
        <v>294</v>
      </c>
      <c r="J208">
        <f t="shared" si="72"/>
        <v>210</v>
      </c>
      <c r="K208">
        <f t="shared" si="73"/>
        <v>37.799999999999997</v>
      </c>
      <c r="L208">
        <f t="shared" si="74"/>
        <v>3.4838999999999998</v>
      </c>
      <c r="M208">
        <f t="shared" si="75"/>
        <v>3.3516000000000004</v>
      </c>
      <c r="N208">
        <f t="shared" si="76"/>
        <v>2.4255</v>
      </c>
      <c r="O208">
        <f t="shared" si="77"/>
        <v>2.4592235294117648</v>
      </c>
      <c r="P208">
        <f t="shared" si="78"/>
        <v>1.8142548596112309</v>
      </c>
      <c r="Q208">
        <f t="shared" si="79"/>
        <v>42</v>
      </c>
      <c r="R208">
        <f t="shared" si="80"/>
        <v>210</v>
      </c>
      <c r="S208">
        <f t="shared" si="81"/>
        <v>184.8</v>
      </c>
      <c r="T208">
        <f t="shared" si="82"/>
        <v>25.200000000000003</v>
      </c>
      <c r="U208">
        <f>I208*E208/'[1]Inverter Analysis'!$L$2</f>
        <v>126.81238904294929</v>
      </c>
      <c r="V208">
        <f t="shared" si="83"/>
        <v>380.95238095238096</v>
      </c>
      <c r="W208">
        <f t="shared" si="84"/>
        <v>432.90043290043286</v>
      </c>
      <c r="X208">
        <f t="shared" si="85"/>
        <v>272.10884353741494</v>
      </c>
      <c r="Y208">
        <f t="shared" si="86"/>
        <v>1.1244167088322932</v>
      </c>
      <c r="Z208">
        <f t="shared" si="87"/>
        <v>0.64433407500000017</v>
      </c>
    </row>
    <row r="209" spans="1:26" hidden="1">
      <c r="A209">
        <v>16</v>
      </c>
      <c r="B209">
        <v>2</v>
      </c>
      <c r="C209" s="1">
        <v>7</v>
      </c>
      <c r="D209">
        <f t="shared" si="66"/>
        <v>280</v>
      </c>
      <c r="E209">
        <f t="shared" si="67"/>
        <v>120</v>
      </c>
      <c r="F209">
        <f t="shared" si="68"/>
        <v>15.456</v>
      </c>
      <c r="G209">
        <f t="shared" si="69"/>
        <v>0.33600000000000002</v>
      </c>
      <c r="H209">
        <f t="shared" si="70"/>
        <v>56.448000000000008</v>
      </c>
      <c r="I209">
        <f t="shared" si="71"/>
        <v>470.40000000000003</v>
      </c>
      <c r="J209">
        <f t="shared" si="72"/>
        <v>336</v>
      </c>
      <c r="K209">
        <f t="shared" si="73"/>
        <v>40.32</v>
      </c>
      <c r="L209">
        <f t="shared" si="74"/>
        <v>3.7161600000000004</v>
      </c>
      <c r="M209">
        <f t="shared" si="75"/>
        <v>3.57504</v>
      </c>
      <c r="N209">
        <f t="shared" si="76"/>
        <v>2.5872000000000002</v>
      </c>
      <c r="O209">
        <f t="shared" si="77"/>
        <v>2.6231717647058828</v>
      </c>
      <c r="P209">
        <f t="shared" si="78"/>
        <v>1.9352051835853132</v>
      </c>
      <c r="Q209">
        <f t="shared" si="79"/>
        <v>67.2</v>
      </c>
      <c r="R209">
        <f t="shared" si="80"/>
        <v>224</v>
      </c>
      <c r="S209">
        <f t="shared" si="81"/>
        <v>295.68</v>
      </c>
      <c r="T209">
        <f t="shared" si="82"/>
        <v>40.32</v>
      </c>
      <c r="U209">
        <f>I209*E209/'[1]Inverter Analysis'!$L$2</f>
        <v>135.26654831247924</v>
      </c>
      <c r="V209">
        <f t="shared" si="83"/>
        <v>238.0952380952381</v>
      </c>
      <c r="W209">
        <f t="shared" si="84"/>
        <v>270.56277056277054</v>
      </c>
      <c r="X209">
        <f t="shared" si="85"/>
        <v>170.06802721088434</v>
      </c>
      <c r="Y209">
        <f t="shared" si="86"/>
        <v>0.43922527688761454</v>
      </c>
      <c r="Z209">
        <f t="shared" si="87"/>
        <v>1.7594615808</v>
      </c>
    </row>
    <row r="210" spans="1:26" hidden="1">
      <c r="A210">
        <v>15</v>
      </c>
      <c r="B210">
        <v>2</v>
      </c>
      <c r="C210" s="1">
        <v>7</v>
      </c>
      <c r="D210">
        <f t="shared" si="66"/>
        <v>280</v>
      </c>
      <c r="E210">
        <f t="shared" si="67"/>
        <v>120</v>
      </c>
      <c r="F210">
        <f t="shared" si="68"/>
        <v>14.49</v>
      </c>
      <c r="G210">
        <f t="shared" si="69"/>
        <v>0.315</v>
      </c>
      <c r="H210">
        <f t="shared" si="70"/>
        <v>52.92</v>
      </c>
      <c r="I210">
        <f t="shared" si="71"/>
        <v>441</v>
      </c>
      <c r="J210">
        <f t="shared" si="72"/>
        <v>315</v>
      </c>
      <c r="K210">
        <f t="shared" si="73"/>
        <v>37.799999999999997</v>
      </c>
      <c r="L210">
        <f t="shared" si="74"/>
        <v>3.4839000000000002</v>
      </c>
      <c r="M210">
        <f t="shared" si="75"/>
        <v>3.3515999999999999</v>
      </c>
      <c r="N210">
        <f t="shared" si="76"/>
        <v>2.4255</v>
      </c>
      <c r="O210">
        <f t="shared" si="77"/>
        <v>2.4592235294117648</v>
      </c>
      <c r="P210">
        <f t="shared" si="78"/>
        <v>1.8142548596112309</v>
      </c>
      <c r="Q210">
        <f t="shared" si="79"/>
        <v>63</v>
      </c>
      <c r="R210">
        <f t="shared" si="80"/>
        <v>210</v>
      </c>
      <c r="S210">
        <f t="shared" si="81"/>
        <v>277.2</v>
      </c>
      <c r="T210">
        <f t="shared" si="82"/>
        <v>37.799999999999997</v>
      </c>
      <c r="U210">
        <f>I210*E210/'[1]Inverter Analysis'!$L$2</f>
        <v>126.81238904294929</v>
      </c>
      <c r="V210">
        <f t="shared" si="83"/>
        <v>253.96825396825398</v>
      </c>
      <c r="W210">
        <f t="shared" si="84"/>
        <v>288.60028860028859</v>
      </c>
      <c r="X210">
        <f t="shared" si="85"/>
        <v>181.40589569160997</v>
      </c>
      <c r="Y210">
        <f t="shared" si="86"/>
        <v>0.49974075948101915</v>
      </c>
      <c r="Z210">
        <f t="shared" si="87"/>
        <v>1.4497516687500003</v>
      </c>
    </row>
    <row r="211" spans="1:26" hidden="1">
      <c r="A211">
        <v>14</v>
      </c>
      <c r="B211">
        <v>2</v>
      </c>
      <c r="C211" s="1">
        <v>7</v>
      </c>
      <c r="D211">
        <f t="shared" si="66"/>
        <v>280</v>
      </c>
      <c r="E211">
        <f t="shared" si="67"/>
        <v>120</v>
      </c>
      <c r="F211">
        <f t="shared" si="68"/>
        <v>13.523999999999999</v>
      </c>
      <c r="G211">
        <f t="shared" si="69"/>
        <v>0.29400000000000004</v>
      </c>
      <c r="H211">
        <f t="shared" si="70"/>
        <v>49.392000000000003</v>
      </c>
      <c r="I211">
        <f t="shared" si="71"/>
        <v>411.6</v>
      </c>
      <c r="J211">
        <f t="shared" si="72"/>
        <v>294</v>
      </c>
      <c r="K211">
        <f t="shared" si="73"/>
        <v>35.28</v>
      </c>
      <c r="L211">
        <f t="shared" si="74"/>
        <v>3.2516400000000005</v>
      </c>
      <c r="M211">
        <f t="shared" si="75"/>
        <v>3.1281599999999998</v>
      </c>
      <c r="N211">
        <f t="shared" si="76"/>
        <v>2.2638000000000003</v>
      </c>
      <c r="O211">
        <f t="shared" si="77"/>
        <v>2.2952752941176477</v>
      </c>
      <c r="P211">
        <f t="shared" si="78"/>
        <v>1.693304535637149</v>
      </c>
      <c r="Q211">
        <f t="shared" si="79"/>
        <v>58.800000000000004</v>
      </c>
      <c r="R211">
        <f t="shared" si="80"/>
        <v>196</v>
      </c>
      <c r="S211">
        <f t="shared" si="81"/>
        <v>258.72000000000003</v>
      </c>
      <c r="T211">
        <f t="shared" si="82"/>
        <v>35.28</v>
      </c>
      <c r="U211">
        <f>I211*E211/'[1]Inverter Analysis'!$L$2</f>
        <v>118.35822977341934</v>
      </c>
      <c r="V211">
        <f t="shared" si="83"/>
        <v>272.10884353741494</v>
      </c>
      <c r="W211">
        <f t="shared" si="84"/>
        <v>309.21459492888062</v>
      </c>
      <c r="X211">
        <f t="shared" si="85"/>
        <v>194.36345966958211</v>
      </c>
      <c r="Y211">
        <f t="shared" si="86"/>
        <v>0.57368199430219036</v>
      </c>
      <c r="Z211">
        <f t="shared" si="87"/>
        <v>1.1787018011999999</v>
      </c>
    </row>
    <row r="212" spans="1:26" hidden="1">
      <c r="A212">
        <v>13</v>
      </c>
      <c r="B212">
        <v>2</v>
      </c>
      <c r="C212" s="1">
        <v>7</v>
      </c>
      <c r="D212">
        <f t="shared" si="66"/>
        <v>280</v>
      </c>
      <c r="E212">
        <f t="shared" si="67"/>
        <v>120</v>
      </c>
      <c r="F212">
        <f t="shared" si="68"/>
        <v>12.558</v>
      </c>
      <c r="G212">
        <f t="shared" si="69"/>
        <v>0.27300000000000002</v>
      </c>
      <c r="H212">
        <f t="shared" si="70"/>
        <v>45.863999999999997</v>
      </c>
      <c r="I212">
        <f t="shared" si="71"/>
        <v>382.2</v>
      </c>
      <c r="J212">
        <f t="shared" si="72"/>
        <v>273</v>
      </c>
      <c r="K212">
        <f t="shared" si="73"/>
        <v>32.76</v>
      </c>
      <c r="L212">
        <f t="shared" si="74"/>
        <v>3.01938</v>
      </c>
      <c r="M212">
        <f t="shared" si="75"/>
        <v>2.9047199999999997</v>
      </c>
      <c r="N212">
        <f t="shared" si="76"/>
        <v>2.1021000000000001</v>
      </c>
      <c r="O212">
        <f t="shared" si="77"/>
        <v>2.1313270588235294</v>
      </c>
      <c r="P212">
        <f t="shared" si="78"/>
        <v>1.5723542116630669</v>
      </c>
      <c r="Q212">
        <f t="shared" si="79"/>
        <v>54.6</v>
      </c>
      <c r="R212">
        <f t="shared" si="80"/>
        <v>182</v>
      </c>
      <c r="S212">
        <f t="shared" si="81"/>
        <v>240.24</v>
      </c>
      <c r="T212">
        <f t="shared" si="82"/>
        <v>32.760000000000005</v>
      </c>
      <c r="U212">
        <f>I212*E212/'[1]Inverter Analysis'!$L$2</f>
        <v>109.90407050388939</v>
      </c>
      <c r="V212">
        <f t="shared" si="83"/>
        <v>293.04029304029302</v>
      </c>
      <c r="W212">
        <f t="shared" si="84"/>
        <v>333.000333000333</v>
      </c>
      <c r="X212">
        <f t="shared" si="85"/>
        <v>209.31449502878075</v>
      </c>
      <c r="Y212">
        <f t="shared" si="86"/>
        <v>0.66533533066999595</v>
      </c>
      <c r="Z212">
        <f t="shared" si="87"/>
        <v>0.94373464185000011</v>
      </c>
    </row>
    <row r="213" spans="1:26" hidden="1">
      <c r="A213">
        <v>12</v>
      </c>
      <c r="B213">
        <v>2</v>
      </c>
      <c r="C213" s="1">
        <v>7</v>
      </c>
      <c r="D213">
        <f t="shared" si="66"/>
        <v>280</v>
      </c>
      <c r="E213">
        <f t="shared" si="67"/>
        <v>120</v>
      </c>
      <c r="F213">
        <f t="shared" si="68"/>
        <v>11.592000000000001</v>
      </c>
      <c r="G213">
        <f t="shared" si="69"/>
        <v>0.252</v>
      </c>
      <c r="H213">
        <f t="shared" si="70"/>
        <v>42.335999999999999</v>
      </c>
      <c r="I213">
        <f t="shared" si="71"/>
        <v>352.8</v>
      </c>
      <c r="J213">
        <f t="shared" si="72"/>
        <v>252</v>
      </c>
      <c r="K213">
        <f t="shared" si="73"/>
        <v>30.24</v>
      </c>
      <c r="L213">
        <f t="shared" si="74"/>
        <v>2.7871200000000003</v>
      </c>
      <c r="M213">
        <f t="shared" si="75"/>
        <v>2.6812799999999997</v>
      </c>
      <c r="N213">
        <f t="shared" si="76"/>
        <v>1.9404000000000001</v>
      </c>
      <c r="O213">
        <f t="shared" si="77"/>
        <v>1.9673788235294121</v>
      </c>
      <c r="P213">
        <f t="shared" si="78"/>
        <v>1.4514038876889848</v>
      </c>
      <c r="Q213">
        <f t="shared" si="79"/>
        <v>50.4</v>
      </c>
      <c r="R213">
        <f t="shared" si="80"/>
        <v>168</v>
      </c>
      <c r="S213">
        <f t="shared" si="81"/>
        <v>221.76</v>
      </c>
      <c r="T213">
        <f t="shared" si="82"/>
        <v>30.240000000000002</v>
      </c>
      <c r="U213">
        <f>I213*E213/'[1]Inverter Analysis'!$L$2</f>
        <v>101.44991123435943</v>
      </c>
      <c r="V213">
        <f t="shared" si="83"/>
        <v>317.46031746031747</v>
      </c>
      <c r="W213">
        <f t="shared" si="84"/>
        <v>360.75036075036076</v>
      </c>
      <c r="X213">
        <f t="shared" si="85"/>
        <v>226.75736961451247</v>
      </c>
      <c r="Y213">
        <f t="shared" si="86"/>
        <v>0.78084493668909261</v>
      </c>
      <c r="Z213">
        <f t="shared" si="87"/>
        <v>0.74227285440000002</v>
      </c>
    </row>
    <row r="214" spans="1:26" hidden="1">
      <c r="A214">
        <v>11</v>
      </c>
      <c r="B214">
        <v>2</v>
      </c>
      <c r="C214" s="1">
        <v>7</v>
      </c>
      <c r="D214">
        <f t="shared" si="66"/>
        <v>280</v>
      </c>
      <c r="E214">
        <f t="shared" si="67"/>
        <v>120</v>
      </c>
      <c r="F214">
        <f t="shared" si="68"/>
        <v>10.625999999999999</v>
      </c>
      <c r="G214">
        <f t="shared" si="69"/>
        <v>0.23100000000000001</v>
      </c>
      <c r="H214">
        <f t="shared" si="70"/>
        <v>38.808000000000007</v>
      </c>
      <c r="I214">
        <f t="shared" si="71"/>
        <v>323.40000000000003</v>
      </c>
      <c r="J214">
        <f t="shared" si="72"/>
        <v>231</v>
      </c>
      <c r="K214">
        <f t="shared" si="73"/>
        <v>27.72</v>
      </c>
      <c r="L214">
        <f t="shared" si="74"/>
        <v>2.5548600000000006</v>
      </c>
      <c r="M214">
        <f t="shared" si="75"/>
        <v>2.45784</v>
      </c>
      <c r="N214">
        <f t="shared" si="76"/>
        <v>1.7787000000000002</v>
      </c>
      <c r="O214">
        <f t="shared" si="77"/>
        <v>1.8034305882352946</v>
      </c>
      <c r="P214">
        <f t="shared" si="78"/>
        <v>1.3304535637149029</v>
      </c>
      <c r="Q214">
        <f t="shared" si="79"/>
        <v>46.2</v>
      </c>
      <c r="R214">
        <f t="shared" si="80"/>
        <v>154</v>
      </c>
      <c r="S214">
        <f t="shared" si="81"/>
        <v>203.28</v>
      </c>
      <c r="T214">
        <f t="shared" si="82"/>
        <v>27.720000000000002</v>
      </c>
      <c r="U214">
        <f>I214*E214/'[1]Inverter Analysis'!$L$2</f>
        <v>92.995751964829495</v>
      </c>
      <c r="V214">
        <f t="shared" si="83"/>
        <v>346.32034632034635</v>
      </c>
      <c r="W214">
        <f t="shared" si="84"/>
        <v>393.54584809130262</v>
      </c>
      <c r="X214">
        <f t="shared" si="85"/>
        <v>247.37167594310449</v>
      </c>
      <c r="Y214">
        <f t="shared" si="86"/>
        <v>0.92927000729941589</v>
      </c>
      <c r="Z214">
        <f t="shared" si="87"/>
        <v>0.57173910255000004</v>
      </c>
    </row>
    <row r="215" spans="1:26" hidden="1">
      <c r="A215">
        <v>10</v>
      </c>
      <c r="B215">
        <v>2</v>
      </c>
      <c r="C215" s="1">
        <v>7</v>
      </c>
      <c r="D215">
        <f t="shared" si="66"/>
        <v>280</v>
      </c>
      <c r="E215">
        <f t="shared" si="67"/>
        <v>120</v>
      </c>
      <c r="F215">
        <f t="shared" si="68"/>
        <v>9.66</v>
      </c>
      <c r="G215">
        <f t="shared" si="69"/>
        <v>0.21</v>
      </c>
      <c r="H215">
        <f t="shared" si="70"/>
        <v>35.28</v>
      </c>
      <c r="I215">
        <f t="shared" si="71"/>
        <v>294</v>
      </c>
      <c r="J215">
        <f t="shared" si="72"/>
        <v>210</v>
      </c>
      <c r="K215">
        <f t="shared" si="73"/>
        <v>25.2</v>
      </c>
      <c r="L215">
        <f t="shared" si="74"/>
        <v>2.3226</v>
      </c>
      <c r="M215">
        <f t="shared" si="75"/>
        <v>2.2343999999999999</v>
      </c>
      <c r="N215">
        <f t="shared" si="76"/>
        <v>1.617</v>
      </c>
      <c r="O215">
        <f t="shared" si="77"/>
        <v>1.6394823529411766</v>
      </c>
      <c r="P215">
        <f t="shared" si="78"/>
        <v>1.2095032397408207</v>
      </c>
      <c r="Q215">
        <f t="shared" si="79"/>
        <v>42</v>
      </c>
      <c r="R215">
        <f t="shared" si="80"/>
        <v>140</v>
      </c>
      <c r="S215">
        <f t="shared" si="81"/>
        <v>184.8</v>
      </c>
      <c r="T215">
        <f t="shared" si="82"/>
        <v>25.2</v>
      </c>
      <c r="U215">
        <f>I215*E215/'[1]Inverter Analysis'!$L$2</f>
        <v>84.541592695299528</v>
      </c>
      <c r="V215">
        <f t="shared" si="83"/>
        <v>380.95238095238096</v>
      </c>
      <c r="W215">
        <f t="shared" si="84"/>
        <v>432.90043290043286</v>
      </c>
      <c r="X215">
        <f t="shared" si="85"/>
        <v>272.10884353741494</v>
      </c>
      <c r="Y215">
        <f t="shared" si="86"/>
        <v>1.1244167088322932</v>
      </c>
      <c r="Z215">
        <f t="shared" si="87"/>
        <v>0.42955605000000002</v>
      </c>
    </row>
    <row r="216" spans="1:26" hidden="1">
      <c r="A216" s="8">
        <v>16</v>
      </c>
      <c r="B216" s="1">
        <v>6</v>
      </c>
      <c r="C216">
        <v>6</v>
      </c>
      <c r="D216">
        <f t="shared" si="66"/>
        <v>840</v>
      </c>
      <c r="E216">
        <f t="shared" si="67"/>
        <v>360</v>
      </c>
      <c r="F216">
        <f t="shared" si="68"/>
        <v>39.744</v>
      </c>
      <c r="G216">
        <f t="shared" si="69"/>
        <v>9.6000000000000002E-2</v>
      </c>
      <c r="H216">
        <f t="shared" si="70"/>
        <v>145.15200000000002</v>
      </c>
      <c r="I216">
        <f t="shared" si="71"/>
        <v>403.20000000000005</v>
      </c>
      <c r="J216">
        <f t="shared" si="72"/>
        <v>288</v>
      </c>
      <c r="K216">
        <f t="shared" si="73"/>
        <v>103.68</v>
      </c>
      <c r="L216">
        <f t="shared" si="74"/>
        <v>9.5558400000000017</v>
      </c>
      <c r="M216">
        <f t="shared" si="75"/>
        <v>9.1929600000000011</v>
      </c>
      <c r="N216">
        <f t="shared" si="76"/>
        <v>6.6528000000000009</v>
      </c>
      <c r="O216">
        <f t="shared" si="77"/>
        <v>6.7452988235294136</v>
      </c>
      <c r="P216">
        <f t="shared" si="78"/>
        <v>5.8056155507559408</v>
      </c>
      <c r="Q216">
        <f t="shared" si="79"/>
        <v>67.2</v>
      </c>
      <c r="R216">
        <f t="shared" si="80"/>
        <v>576</v>
      </c>
      <c r="S216">
        <f t="shared" si="81"/>
        <v>253.44</v>
      </c>
      <c r="T216">
        <f t="shared" si="82"/>
        <v>34.56</v>
      </c>
      <c r="U216">
        <f>I216*E216/'[1]Inverter Analysis'!$L$2</f>
        <v>347.82826708923238</v>
      </c>
      <c r="V216">
        <f t="shared" si="83"/>
        <v>277.77777777777777</v>
      </c>
      <c r="W216">
        <f t="shared" si="84"/>
        <v>315.65656565656565</v>
      </c>
      <c r="X216">
        <f t="shared" si="85"/>
        <v>198.4126984126984</v>
      </c>
      <c r="Y216">
        <f t="shared" si="86"/>
        <v>0.59783440465258653</v>
      </c>
      <c r="Z216">
        <f t="shared" si="87"/>
        <v>3.3239973887999996</v>
      </c>
    </row>
    <row r="217" spans="1:26" hidden="1">
      <c r="A217" s="8">
        <v>15</v>
      </c>
      <c r="B217" s="1">
        <v>6</v>
      </c>
      <c r="C217">
        <v>6</v>
      </c>
      <c r="D217">
        <f t="shared" si="66"/>
        <v>840</v>
      </c>
      <c r="E217">
        <f t="shared" si="67"/>
        <v>360</v>
      </c>
      <c r="F217">
        <f t="shared" si="68"/>
        <v>37.26</v>
      </c>
      <c r="G217">
        <f t="shared" si="69"/>
        <v>0.09</v>
      </c>
      <c r="H217">
        <f t="shared" si="70"/>
        <v>136.08000000000001</v>
      </c>
      <c r="I217">
        <f t="shared" si="71"/>
        <v>378</v>
      </c>
      <c r="J217">
        <f t="shared" si="72"/>
        <v>270</v>
      </c>
      <c r="K217">
        <f t="shared" si="73"/>
        <v>97.2</v>
      </c>
      <c r="L217">
        <f t="shared" si="74"/>
        <v>8.9586000000000006</v>
      </c>
      <c r="M217">
        <f t="shared" si="75"/>
        <v>8.6183999999999994</v>
      </c>
      <c r="N217">
        <f t="shared" si="76"/>
        <v>6.2370000000000001</v>
      </c>
      <c r="O217">
        <f t="shared" si="77"/>
        <v>6.3237176470588246</v>
      </c>
      <c r="P217">
        <f t="shared" si="78"/>
        <v>5.4427645788336934</v>
      </c>
      <c r="Q217">
        <f t="shared" si="79"/>
        <v>63</v>
      </c>
      <c r="R217">
        <f t="shared" si="80"/>
        <v>540</v>
      </c>
      <c r="S217">
        <f t="shared" si="81"/>
        <v>237.6</v>
      </c>
      <c r="T217">
        <f t="shared" si="82"/>
        <v>32.4</v>
      </c>
      <c r="U217">
        <f>I217*E217/'[1]Inverter Analysis'!$L$2</f>
        <v>326.08900039615531</v>
      </c>
      <c r="V217">
        <f t="shared" si="83"/>
        <v>296.2962962962963</v>
      </c>
      <c r="W217">
        <f t="shared" si="84"/>
        <v>336.70033670033672</v>
      </c>
      <c r="X217">
        <f t="shared" si="85"/>
        <v>211.64021164021165</v>
      </c>
      <c r="Y217">
        <f t="shared" si="86"/>
        <v>0.68020270040472075</v>
      </c>
      <c r="Z217">
        <f t="shared" si="87"/>
        <v>2.7388894499999994</v>
      </c>
    </row>
    <row r="218" spans="1:26" hidden="1">
      <c r="A218">
        <v>14</v>
      </c>
      <c r="B218" s="1">
        <v>6</v>
      </c>
      <c r="C218">
        <v>6</v>
      </c>
      <c r="D218">
        <f t="shared" si="66"/>
        <v>840</v>
      </c>
      <c r="E218">
        <f t="shared" si="67"/>
        <v>360</v>
      </c>
      <c r="F218">
        <f t="shared" si="68"/>
        <v>34.776000000000003</v>
      </c>
      <c r="G218">
        <f t="shared" si="69"/>
        <v>8.4000000000000005E-2</v>
      </c>
      <c r="H218">
        <f t="shared" si="70"/>
        <v>127.008</v>
      </c>
      <c r="I218">
        <f t="shared" si="71"/>
        <v>352.8</v>
      </c>
      <c r="J218">
        <f t="shared" si="72"/>
        <v>252</v>
      </c>
      <c r="K218">
        <f t="shared" si="73"/>
        <v>90.72</v>
      </c>
      <c r="L218">
        <f t="shared" si="74"/>
        <v>8.3613600000000012</v>
      </c>
      <c r="M218">
        <f t="shared" si="75"/>
        <v>8.0438399999999994</v>
      </c>
      <c r="N218">
        <f t="shared" si="76"/>
        <v>5.821200000000001</v>
      </c>
      <c r="O218">
        <f t="shared" si="77"/>
        <v>5.9021364705882364</v>
      </c>
      <c r="P218">
        <f t="shared" si="78"/>
        <v>5.0799136069114477</v>
      </c>
      <c r="Q218">
        <f t="shared" si="79"/>
        <v>58.800000000000004</v>
      </c>
      <c r="R218">
        <f t="shared" si="80"/>
        <v>504</v>
      </c>
      <c r="S218">
        <f t="shared" si="81"/>
        <v>221.76</v>
      </c>
      <c r="T218">
        <f t="shared" si="82"/>
        <v>30.240000000000002</v>
      </c>
      <c r="U218">
        <f>I218*E218/'[1]Inverter Analysis'!$L$2</f>
        <v>304.3497337030783</v>
      </c>
      <c r="V218">
        <f t="shared" si="83"/>
        <v>317.46031746031747</v>
      </c>
      <c r="W218">
        <f t="shared" si="84"/>
        <v>360.75036075036076</v>
      </c>
      <c r="X218">
        <f t="shared" si="85"/>
        <v>226.75736961451247</v>
      </c>
      <c r="Y218">
        <f t="shared" si="86"/>
        <v>0.78084493668909261</v>
      </c>
      <c r="Z218">
        <f t="shared" si="87"/>
        <v>2.2268185632000002</v>
      </c>
    </row>
    <row r="219" spans="1:26" hidden="1">
      <c r="A219">
        <v>13</v>
      </c>
      <c r="B219" s="1">
        <v>6</v>
      </c>
      <c r="C219">
        <v>6</v>
      </c>
      <c r="D219">
        <f t="shared" si="66"/>
        <v>840</v>
      </c>
      <c r="E219">
        <f t="shared" si="67"/>
        <v>360</v>
      </c>
      <c r="F219">
        <f t="shared" si="68"/>
        <v>32.292000000000002</v>
      </c>
      <c r="G219">
        <f t="shared" si="69"/>
        <v>7.8000000000000014E-2</v>
      </c>
      <c r="H219">
        <f t="shared" si="70"/>
        <v>117.93600000000002</v>
      </c>
      <c r="I219">
        <f t="shared" si="71"/>
        <v>327.60000000000002</v>
      </c>
      <c r="J219">
        <f t="shared" si="72"/>
        <v>234</v>
      </c>
      <c r="K219">
        <f t="shared" si="73"/>
        <v>84.24</v>
      </c>
      <c r="L219">
        <f t="shared" si="74"/>
        <v>7.764120000000001</v>
      </c>
      <c r="M219">
        <f t="shared" si="75"/>
        <v>7.4692800000000004</v>
      </c>
      <c r="N219">
        <f t="shared" si="76"/>
        <v>5.4054000000000002</v>
      </c>
      <c r="O219">
        <f t="shared" si="77"/>
        <v>5.4805552941176483</v>
      </c>
      <c r="P219">
        <f t="shared" si="78"/>
        <v>4.7170626349892011</v>
      </c>
      <c r="Q219">
        <f t="shared" si="79"/>
        <v>54.6</v>
      </c>
      <c r="R219">
        <f t="shared" si="80"/>
        <v>468</v>
      </c>
      <c r="S219">
        <f t="shared" si="81"/>
        <v>205.92</v>
      </c>
      <c r="T219">
        <f t="shared" si="82"/>
        <v>28.080000000000005</v>
      </c>
      <c r="U219">
        <f>I219*E219/'[1]Inverter Analysis'!$L$2</f>
        <v>282.61046701000129</v>
      </c>
      <c r="V219">
        <f t="shared" si="83"/>
        <v>341.88034188034186</v>
      </c>
      <c r="W219">
        <f t="shared" si="84"/>
        <v>388.50038850038851</v>
      </c>
      <c r="X219">
        <f t="shared" si="85"/>
        <v>244.20024420024419</v>
      </c>
      <c r="Y219">
        <f t="shared" si="86"/>
        <v>0.90559531118971692</v>
      </c>
      <c r="Z219">
        <f t="shared" si="87"/>
        <v>1.7829155916000001</v>
      </c>
    </row>
    <row r="220" spans="1:26" hidden="1">
      <c r="A220">
        <v>12</v>
      </c>
      <c r="B220" s="1">
        <v>6</v>
      </c>
      <c r="C220">
        <v>6</v>
      </c>
      <c r="D220">
        <f t="shared" si="66"/>
        <v>840</v>
      </c>
      <c r="E220">
        <f t="shared" si="67"/>
        <v>360</v>
      </c>
      <c r="F220">
        <f t="shared" si="68"/>
        <v>29.808</v>
      </c>
      <c r="G220">
        <f t="shared" si="69"/>
        <v>7.2000000000000008E-2</v>
      </c>
      <c r="H220">
        <f t="shared" si="70"/>
        <v>108.86400000000002</v>
      </c>
      <c r="I220">
        <f t="shared" si="71"/>
        <v>302.40000000000003</v>
      </c>
      <c r="J220">
        <f t="shared" si="72"/>
        <v>216</v>
      </c>
      <c r="K220">
        <f t="shared" si="73"/>
        <v>77.760000000000005</v>
      </c>
      <c r="L220">
        <f t="shared" si="74"/>
        <v>7.1668800000000008</v>
      </c>
      <c r="M220">
        <f t="shared" si="75"/>
        <v>6.8947200000000013</v>
      </c>
      <c r="N220">
        <f t="shared" si="76"/>
        <v>4.9896000000000003</v>
      </c>
      <c r="O220">
        <f t="shared" si="77"/>
        <v>5.0589741176470593</v>
      </c>
      <c r="P220">
        <f t="shared" si="78"/>
        <v>4.3542116630669545</v>
      </c>
      <c r="Q220">
        <f t="shared" si="79"/>
        <v>50.400000000000006</v>
      </c>
      <c r="R220">
        <f t="shared" si="80"/>
        <v>432</v>
      </c>
      <c r="S220">
        <f t="shared" si="81"/>
        <v>190.07999999999998</v>
      </c>
      <c r="T220">
        <f t="shared" si="82"/>
        <v>25.92</v>
      </c>
      <c r="U220">
        <f>I220*E220/'[1]Inverter Analysis'!$L$2</f>
        <v>260.87120031692427</v>
      </c>
      <c r="V220">
        <f t="shared" si="83"/>
        <v>370.37037037037038</v>
      </c>
      <c r="W220">
        <f t="shared" si="84"/>
        <v>420.8754208754209</v>
      </c>
      <c r="X220">
        <f t="shared" si="85"/>
        <v>264.5502645502645</v>
      </c>
      <c r="Y220">
        <f t="shared" si="86"/>
        <v>1.0628167193823761</v>
      </c>
      <c r="Z220">
        <f t="shared" si="87"/>
        <v>1.4023113984</v>
      </c>
    </row>
    <row r="221" spans="1:26" hidden="1">
      <c r="A221">
        <v>11</v>
      </c>
      <c r="B221" s="1">
        <v>6</v>
      </c>
      <c r="C221">
        <v>6</v>
      </c>
      <c r="D221">
        <f t="shared" si="66"/>
        <v>840</v>
      </c>
      <c r="E221">
        <f t="shared" si="67"/>
        <v>360</v>
      </c>
      <c r="F221">
        <f t="shared" si="68"/>
        <v>27.324000000000002</v>
      </c>
      <c r="G221">
        <f t="shared" si="69"/>
        <v>6.6000000000000003E-2</v>
      </c>
      <c r="H221">
        <f t="shared" si="70"/>
        <v>99.792000000000002</v>
      </c>
      <c r="I221">
        <f t="shared" si="71"/>
        <v>277.2</v>
      </c>
      <c r="J221">
        <f t="shared" si="72"/>
        <v>198</v>
      </c>
      <c r="K221">
        <f t="shared" si="73"/>
        <v>71.28</v>
      </c>
      <c r="L221">
        <f t="shared" si="74"/>
        <v>6.5696400000000006</v>
      </c>
      <c r="M221">
        <f t="shared" si="75"/>
        <v>6.3201599999999996</v>
      </c>
      <c r="N221">
        <f t="shared" si="76"/>
        <v>4.5737999999999994</v>
      </c>
      <c r="O221">
        <f t="shared" si="77"/>
        <v>4.6373929411764712</v>
      </c>
      <c r="P221">
        <f t="shared" si="78"/>
        <v>3.9913606911447079</v>
      </c>
      <c r="Q221">
        <f t="shared" si="79"/>
        <v>46.199999999999996</v>
      </c>
      <c r="R221">
        <f t="shared" si="80"/>
        <v>396</v>
      </c>
      <c r="S221">
        <f t="shared" si="81"/>
        <v>174.24</v>
      </c>
      <c r="T221">
        <f t="shared" si="82"/>
        <v>23.76</v>
      </c>
      <c r="U221">
        <f>I221*E221/'[1]Inverter Analysis'!$L$2</f>
        <v>239.13193362384723</v>
      </c>
      <c r="V221">
        <f t="shared" si="83"/>
        <v>404.04040404040404</v>
      </c>
      <c r="W221">
        <f t="shared" si="84"/>
        <v>459.1368227731864</v>
      </c>
      <c r="X221">
        <f t="shared" si="85"/>
        <v>288.60028860028859</v>
      </c>
      <c r="Y221">
        <f t="shared" si="86"/>
        <v>1.2648397321575382</v>
      </c>
      <c r="Z221">
        <f t="shared" si="87"/>
        <v>1.0801368468000001</v>
      </c>
    </row>
    <row r="222" spans="1:26" hidden="1">
      <c r="A222">
        <v>10</v>
      </c>
      <c r="B222" s="1">
        <v>6</v>
      </c>
      <c r="C222">
        <v>6</v>
      </c>
      <c r="D222">
        <f t="shared" si="66"/>
        <v>840</v>
      </c>
      <c r="E222">
        <f t="shared" si="67"/>
        <v>360</v>
      </c>
      <c r="F222">
        <f t="shared" si="68"/>
        <v>24.84</v>
      </c>
      <c r="G222">
        <f t="shared" si="69"/>
        <v>0.06</v>
      </c>
      <c r="H222">
        <f t="shared" si="70"/>
        <v>90.72</v>
      </c>
      <c r="I222">
        <f t="shared" si="71"/>
        <v>252</v>
      </c>
      <c r="J222">
        <f t="shared" si="72"/>
        <v>180</v>
      </c>
      <c r="K222">
        <f t="shared" si="73"/>
        <v>64.8</v>
      </c>
      <c r="L222">
        <f t="shared" si="74"/>
        <v>5.9724000000000004</v>
      </c>
      <c r="M222">
        <f t="shared" si="75"/>
        <v>5.7455999999999996</v>
      </c>
      <c r="N222">
        <f t="shared" si="76"/>
        <v>4.1580000000000004</v>
      </c>
      <c r="O222">
        <f t="shared" si="77"/>
        <v>4.215811764705883</v>
      </c>
      <c r="P222">
        <f t="shared" si="78"/>
        <v>3.6285097192224622</v>
      </c>
      <c r="Q222">
        <f t="shared" si="79"/>
        <v>42</v>
      </c>
      <c r="R222">
        <f t="shared" si="80"/>
        <v>360</v>
      </c>
      <c r="S222">
        <f t="shared" si="81"/>
        <v>158.4</v>
      </c>
      <c r="T222">
        <f t="shared" si="82"/>
        <v>21.599999999999998</v>
      </c>
      <c r="U222">
        <f>I222*E222/'[1]Inverter Analysis'!$L$2</f>
        <v>217.39266693077019</v>
      </c>
      <c r="V222">
        <f t="shared" si="83"/>
        <v>444.44444444444446</v>
      </c>
      <c r="W222">
        <f t="shared" si="84"/>
        <v>505.05050505050502</v>
      </c>
      <c r="X222">
        <f t="shared" si="85"/>
        <v>317.46031746031747</v>
      </c>
      <c r="Y222">
        <f t="shared" si="86"/>
        <v>1.5304560759106212</v>
      </c>
      <c r="Z222">
        <f t="shared" si="87"/>
        <v>0.8115228000000001</v>
      </c>
    </row>
    <row r="223" spans="1:26" hidden="1">
      <c r="A223" s="8">
        <v>16</v>
      </c>
      <c r="B223" s="9">
        <v>5</v>
      </c>
      <c r="C223">
        <v>6</v>
      </c>
      <c r="D223">
        <f t="shared" si="66"/>
        <v>700</v>
      </c>
      <c r="E223">
        <f t="shared" si="67"/>
        <v>300</v>
      </c>
      <c r="F223">
        <f t="shared" si="68"/>
        <v>33.119999999999997</v>
      </c>
      <c r="G223">
        <f t="shared" si="69"/>
        <v>0.11520000000000001</v>
      </c>
      <c r="H223">
        <f t="shared" si="70"/>
        <v>120.96000000000001</v>
      </c>
      <c r="I223">
        <f t="shared" si="71"/>
        <v>403.20000000000005</v>
      </c>
      <c r="J223">
        <f t="shared" si="72"/>
        <v>288</v>
      </c>
      <c r="K223">
        <f t="shared" si="73"/>
        <v>86.4</v>
      </c>
      <c r="L223">
        <f t="shared" si="74"/>
        <v>7.9632000000000014</v>
      </c>
      <c r="M223">
        <f t="shared" si="75"/>
        <v>7.6608000000000001</v>
      </c>
      <c r="N223">
        <f t="shared" si="76"/>
        <v>5.5440000000000005</v>
      </c>
      <c r="O223">
        <f t="shared" si="77"/>
        <v>5.621082352941178</v>
      </c>
      <c r="P223">
        <f t="shared" si="78"/>
        <v>4.8380129589632839</v>
      </c>
      <c r="Q223">
        <f t="shared" si="79"/>
        <v>67.2</v>
      </c>
      <c r="R223">
        <f t="shared" si="80"/>
        <v>480</v>
      </c>
      <c r="S223">
        <f t="shared" si="81"/>
        <v>253.44</v>
      </c>
      <c r="T223">
        <f t="shared" si="82"/>
        <v>34.56</v>
      </c>
      <c r="U223">
        <f>I223*E223/'[1]Inverter Analysis'!$L$2</f>
        <v>289.85688924102698</v>
      </c>
      <c r="V223">
        <f t="shared" si="83"/>
        <v>277.77777777777777</v>
      </c>
      <c r="W223">
        <f t="shared" si="84"/>
        <v>315.65656565656565</v>
      </c>
      <c r="X223">
        <f t="shared" si="85"/>
        <v>198.4126984126984</v>
      </c>
      <c r="Y223">
        <f t="shared" si="86"/>
        <v>0.59783440465258653</v>
      </c>
      <c r="Z223">
        <f t="shared" si="87"/>
        <v>2.7699978239999994</v>
      </c>
    </row>
    <row r="224" spans="1:26" hidden="1">
      <c r="A224" s="8">
        <v>15</v>
      </c>
      <c r="B224" s="9">
        <v>5</v>
      </c>
      <c r="C224">
        <v>6</v>
      </c>
      <c r="D224">
        <f t="shared" si="66"/>
        <v>700</v>
      </c>
      <c r="E224">
        <f t="shared" si="67"/>
        <v>300</v>
      </c>
      <c r="F224">
        <f t="shared" si="68"/>
        <v>31.05</v>
      </c>
      <c r="G224">
        <f t="shared" si="69"/>
        <v>0.10800000000000001</v>
      </c>
      <c r="H224">
        <f t="shared" si="70"/>
        <v>113.4</v>
      </c>
      <c r="I224">
        <f t="shared" si="71"/>
        <v>378</v>
      </c>
      <c r="J224">
        <f t="shared" si="72"/>
        <v>270</v>
      </c>
      <c r="K224">
        <f t="shared" si="73"/>
        <v>81</v>
      </c>
      <c r="L224">
        <f t="shared" si="74"/>
        <v>7.4655000000000005</v>
      </c>
      <c r="M224">
        <f t="shared" si="75"/>
        <v>7.1819999999999995</v>
      </c>
      <c r="N224">
        <f t="shared" si="76"/>
        <v>5.1974999999999998</v>
      </c>
      <c r="O224">
        <f t="shared" si="77"/>
        <v>5.2697647058823538</v>
      </c>
      <c r="P224">
        <f t="shared" si="78"/>
        <v>4.5356371490280774</v>
      </c>
      <c r="Q224">
        <f t="shared" si="79"/>
        <v>63</v>
      </c>
      <c r="R224">
        <f t="shared" si="80"/>
        <v>450</v>
      </c>
      <c r="S224">
        <f t="shared" si="81"/>
        <v>237.6</v>
      </c>
      <c r="T224">
        <f t="shared" si="82"/>
        <v>32.400000000000006</v>
      </c>
      <c r="U224">
        <f>I224*E224/'[1]Inverter Analysis'!$L$2</f>
        <v>271.74083366346275</v>
      </c>
      <c r="V224">
        <f t="shared" si="83"/>
        <v>296.2962962962963</v>
      </c>
      <c r="W224">
        <f t="shared" si="84"/>
        <v>336.70033670033672</v>
      </c>
      <c r="X224">
        <f t="shared" si="85"/>
        <v>211.64021164021165</v>
      </c>
      <c r="Y224">
        <f t="shared" si="86"/>
        <v>0.68020270040472075</v>
      </c>
      <c r="Z224">
        <f t="shared" si="87"/>
        <v>2.2824078749999996</v>
      </c>
    </row>
    <row r="225" spans="1:26" hidden="1">
      <c r="A225">
        <v>14</v>
      </c>
      <c r="B225" s="9">
        <v>5</v>
      </c>
      <c r="C225">
        <v>6</v>
      </c>
      <c r="D225">
        <f t="shared" si="66"/>
        <v>700</v>
      </c>
      <c r="E225">
        <f t="shared" si="67"/>
        <v>300</v>
      </c>
      <c r="F225">
        <f t="shared" si="68"/>
        <v>28.98</v>
      </c>
      <c r="G225">
        <f t="shared" si="69"/>
        <v>0.10080000000000001</v>
      </c>
      <c r="H225">
        <f t="shared" si="70"/>
        <v>105.84</v>
      </c>
      <c r="I225">
        <f t="shared" si="71"/>
        <v>352.8</v>
      </c>
      <c r="J225">
        <f t="shared" si="72"/>
        <v>252</v>
      </c>
      <c r="K225">
        <f t="shared" si="73"/>
        <v>75.599999999999994</v>
      </c>
      <c r="L225">
        <f t="shared" si="74"/>
        <v>6.9678000000000013</v>
      </c>
      <c r="M225">
        <f t="shared" si="75"/>
        <v>6.7031999999999989</v>
      </c>
      <c r="N225">
        <f t="shared" si="76"/>
        <v>4.851</v>
      </c>
      <c r="O225">
        <f t="shared" si="77"/>
        <v>4.9184470588235305</v>
      </c>
      <c r="P225">
        <f t="shared" si="78"/>
        <v>4.2332613390928726</v>
      </c>
      <c r="Q225">
        <f t="shared" si="79"/>
        <v>58.800000000000004</v>
      </c>
      <c r="R225">
        <f t="shared" si="80"/>
        <v>420</v>
      </c>
      <c r="S225">
        <f t="shared" si="81"/>
        <v>221.76</v>
      </c>
      <c r="T225">
        <f t="shared" si="82"/>
        <v>30.240000000000006</v>
      </c>
      <c r="U225">
        <f>I225*E225/'[1]Inverter Analysis'!$L$2</f>
        <v>253.62477808589858</v>
      </c>
      <c r="V225">
        <f t="shared" si="83"/>
        <v>317.46031746031747</v>
      </c>
      <c r="W225">
        <f t="shared" si="84"/>
        <v>360.75036075036076</v>
      </c>
      <c r="X225">
        <f t="shared" si="85"/>
        <v>226.75736961451247</v>
      </c>
      <c r="Y225">
        <f t="shared" si="86"/>
        <v>0.78084493668909261</v>
      </c>
      <c r="Z225">
        <f t="shared" si="87"/>
        <v>1.855682136</v>
      </c>
    </row>
    <row r="226" spans="1:26" hidden="1">
      <c r="A226">
        <v>13</v>
      </c>
      <c r="B226" s="9">
        <v>5</v>
      </c>
      <c r="C226">
        <v>6</v>
      </c>
      <c r="D226">
        <f t="shared" si="66"/>
        <v>700</v>
      </c>
      <c r="E226">
        <f t="shared" si="67"/>
        <v>300</v>
      </c>
      <c r="F226">
        <f t="shared" si="68"/>
        <v>26.91</v>
      </c>
      <c r="G226">
        <f t="shared" si="69"/>
        <v>9.3600000000000003E-2</v>
      </c>
      <c r="H226">
        <f t="shared" si="70"/>
        <v>98.28</v>
      </c>
      <c r="I226">
        <f t="shared" si="71"/>
        <v>327.60000000000002</v>
      </c>
      <c r="J226">
        <f t="shared" si="72"/>
        <v>234</v>
      </c>
      <c r="K226">
        <f t="shared" si="73"/>
        <v>70.2</v>
      </c>
      <c r="L226">
        <f t="shared" si="74"/>
        <v>6.4701000000000013</v>
      </c>
      <c r="M226">
        <f t="shared" si="75"/>
        <v>6.2244000000000002</v>
      </c>
      <c r="N226">
        <f t="shared" si="76"/>
        <v>4.5045000000000002</v>
      </c>
      <c r="O226">
        <f t="shared" si="77"/>
        <v>4.5671294117647072</v>
      </c>
      <c r="P226">
        <f t="shared" si="78"/>
        <v>3.930885529157667</v>
      </c>
      <c r="Q226">
        <f t="shared" si="79"/>
        <v>54.6</v>
      </c>
      <c r="R226">
        <f t="shared" si="80"/>
        <v>390</v>
      </c>
      <c r="S226">
        <f t="shared" si="81"/>
        <v>205.92</v>
      </c>
      <c r="T226">
        <f t="shared" si="82"/>
        <v>28.080000000000002</v>
      </c>
      <c r="U226">
        <f>I226*E226/'[1]Inverter Analysis'!$L$2</f>
        <v>235.50872250833439</v>
      </c>
      <c r="V226">
        <f t="shared" si="83"/>
        <v>341.88034188034186</v>
      </c>
      <c r="W226">
        <f t="shared" si="84"/>
        <v>388.50038850038851</v>
      </c>
      <c r="X226">
        <f t="shared" si="85"/>
        <v>244.20024420024419</v>
      </c>
      <c r="Y226">
        <f t="shared" si="86"/>
        <v>0.90559531118971692</v>
      </c>
      <c r="Z226">
        <f t="shared" si="87"/>
        <v>1.4857629929999998</v>
      </c>
    </row>
    <row r="227" spans="1:26" hidden="1">
      <c r="A227">
        <v>12</v>
      </c>
      <c r="B227" s="9">
        <v>5</v>
      </c>
      <c r="C227">
        <v>6</v>
      </c>
      <c r="D227">
        <f t="shared" si="66"/>
        <v>700</v>
      </c>
      <c r="E227">
        <f t="shared" si="67"/>
        <v>300</v>
      </c>
      <c r="F227">
        <f t="shared" si="68"/>
        <v>24.84</v>
      </c>
      <c r="G227">
        <f t="shared" si="69"/>
        <v>8.6400000000000005E-2</v>
      </c>
      <c r="H227">
        <f t="shared" si="70"/>
        <v>90.720000000000013</v>
      </c>
      <c r="I227">
        <f t="shared" si="71"/>
        <v>302.40000000000003</v>
      </c>
      <c r="J227">
        <f t="shared" si="72"/>
        <v>216</v>
      </c>
      <c r="K227">
        <f t="shared" si="73"/>
        <v>64.8</v>
      </c>
      <c r="L227">
        <f t="shared" si="74"/>
        <v>5.9724000000000013</v>
      </c>
      <c r="M227">
        <f t="shared" si="75"/>
        <v>5.7456000000000005</v>
      </c>
      <c r="N227">
        <f t="shared" si="76"/>
        <v>4.1580000000000013</v>
      </c>
      <c r="O227">
        <f t="shared" si="77"/>
        <v>4.2158117647058839</v>
      </c>
      <c r="P227">
        <f t="shared" si="78"/>
        <v>3.6285097192224627</v>
      </c>
      <c r="Q227">
        <f t="shared" si="79"/>
        <v>50.400000000000006</v>
      </c>
      <c r="R227">
        <f t="shared" si="80"/>
        <v>360</v>
      </c>
      <c r="S227">
        <f t="shared" si="81"/>
        <v>190.07999999999998</v>
      </c>
      <c r="T227">
        <f t="shared" si="82"/>
        <v>25.92</v>
      </c>
      <c r="U227">
        <f>I227*E227/'[1]Inverter Analysis'!$L$2</f>
        <v>217.39266693077025</v>
      </c>
      <c r="V227">
        <f t="shared" si="83"/>
        <v>370.37037037037038</v>
      </c>
      <c r="W227">
        <f t="shared" si="84"/>
        <v>420.8754208754209</v>
      </c>
      <c r="X227">
        <f t="shared" si="85"/>
        <v>264.5502645502645</v>
      </c>
      <c r="Y227">
        <f t="shared" si="86"/>
        <v>1.0628167193823761</v>
      </c>
      <c r="Z227">
        <f t="shared" si="87"/>
        <v>1.1685928319999999</v>
      </c>
    </row>
    <row r="228" spans="1:26" hidden="1">
      <c r="A228">
        <v>11</v>
      </c>
      <c r="B228" s="9">
        <v>5</v>
      </c>
      <c r="C228">
        <v>6</v>
      </c>
      <c r="D228">
        <f>B228*$J$3</f>
        <v>700</v>
      </c>
      <c r="E228">
        <f>B228*$I$3</f>
        <v>300</v>
      </c>
      <c r="F228">
        <f>A228*B228*C228*$Q$3/1000</f>
        <v>22.77</v>
      </c>
      <c r="G228">
        <f>((B228*$R$3^(-1))^(-1))*A228*C228</f>
        <v>7.9200000000000007E-2</v>
      </c>
      <c r="H228">
        <f>E228*I228/1000</f>
        <v>83.16</v>
      </c>
      <c r="I228">
        <f>A228*C228*4.2</f>
        <v>277.2</v>
      </c>
      <c r="J228">
        <f>C228*A228*$K$3</f>
        <v>198</v>
      </c>
      <c r="K228">
        <f>E228*J228/1000</f>
        <v>59.4</v>
      </c>
      <c r="L228">
        <f>$N$3/1000*I228*B228/1000</f>
        <v>5.4747000000000003</v>
      </c>
      <c r="M228">
        <f>$O$3/1000*I228*B228/1000</f>
        <v>5.266799999999999</v>
      </c>
      <c r="N228">
        <f>$P$3/1000*I228*B228/1000</f>
        <v>3.8115000000000001</v>
      </c>
      <c r="O228">
        <f>L228*(($L$3-$K$3)/($L$3-$M$3))</f>
        <v>3.8644941176470593</v>
      </c>
      <c r="P228">
        <f>$H$3/1000*B228*I228/277.8/C228</f>
        <v>3.3261339092872571</v>
      </c>
      <c r="Q228">
        <f>I228/C228</f>
        <v>46.199999999999996</v>
      </c>
      <c r="R228">
        <f>(A228*B228*C228)</f>
        <v>330</v>
      </c>
      <c r="S228">
        <f>J228-(G228*E228)</f>
        <v>174.24</v>
      </c>
      <c r="T228">
        <f>G228*E228</f>
        <v>23.76</v>
      </c>
      <c r="U228">
        <f>I228*E228/'[1]Inverter Analysis'!$L$2</f>
        <v>199.27661135320602</v>
      </c>
      <c r="V228">
        <f>80000/J228</f>
        <v>404.04040404040404</v>
      </c>
      <c r="W228">
        <f>80000/S228</f>
        <v>459.1368227731864</v>
      </c>
      <c r="X228">
        <f>80000/I228</f>
        <v>288.60028860028859</v>
      </c>
      <c r="Y228">
        <f>(MAX(V228:X228)^2)*$R$3/1000</f>
        <v>1.2648397321575382</v>
      </c>
      <c r="Z228">
        <f>($S$3*F228/(Y228*1000))*10</f>
        <v>0.90011403899999998</v>
      </c>
    </row>
    <row r="229" spans="1:26" hidden="1">
      <c r="A229">
        <v>10</v>
      </c>
      <c r="B229" s="9">
        <v>5</v>
      </c>
      <c r="C229">
        <v>6</v>
      </c>
      <c r="D229">
        <f t="shared" ref="D229:D250" si="88">B229*$J$3</f>
        <v>700</v>
      </c>
      <c r="E229">
        <f t="shared" ref="E229:E250" si="89">B229*$I$3</f>
        <v>300</v>
      </c>
      <c r="F229">
        <f t="shared" ref="F229:F250" si="90">A229*B229*C229*$Q$3/1000</f>
        <v>20.7</v>
      </c>
      <c r="G229">
        <f t="shared" ref="G229:G250" si="91">((B229*$R$3^(-1))^(-1))*A229*C229</f>
        <v>7.2000000000000008E-2</v>
      </c>
      <c r="H229">
        <f t="shared" ref="H229:H250" si="92">E229*I229/1000</f>
        <v>75.599999999999994</v>
      </c>
      <c r="I229">
        <f t="shared" ref="I229:I250" si="93">A229*C229*4.2</f>
        <v>252</v>
      </c>
      <c r="J229">
        <f t="shared" ref="J229:J250" si="94">C229*A229*$K$3</f>
        <v>180</v>
      </c>
      <c r="K229">
        <f t="shared" ref="K229:K250" si="95">E229*J229/1000</f>
        <v>54</v>
      </c>
      <c r="L229">
        <f t="shared" ref="L229:L250" si="96">$N$3/1000*I229*B229/1000</f>
        <v>4.9770000000000003</v>
      </c>
      <c r="M229">
        <f t="shared" ref="M229:M250" si="97">$O$3/1000*I229*B229/1000</f>
        <v>4.7880000000000003</v>
      </c>
      <c r="N229">
        <f t="shared" ref="N229:N250" si="98">$P$3/1000*I229*B229/1000</f>
        <v>3.4649999999999999</v>
      </c>
      <c r="O229">
        <f t="shared" ref="O229:O250" si="99">L229*(($L$3-$K$3)/($L$3-$M$3))</f>
        <v>3.5131764705882356</v>
      </c>
      <c r="P229">
        <f t="shared" ref="P229:P250" si="100">$H$3/1000*B229*I229/277.8/C229</f>
        <v>3.0237580993520514</v>
      </c>
      <c r="Q229">
        <f t="shared" ref="Q229:Q250" si="101">I229/C229</f>
        <v>42</v>
      </c>
      <c r="R229">
        <f t="shared" ref="R229:R250" si="102">(A229*B229*C229)</f>
        <v>300</v>
      </c>
      <c r="S229">
        <f t="shared" ref="S229:S250" si="103">J229-(G229*E229)</f>
        <v>158.4</v>
      </c>
      <c r="T229">
        <f t="shared" ref="T229:T250" si="104">G229*E229</f>
        <v>21.6</v>
      </c>
      <c r="U229">
        <f>I229*E229/'[1]Inverter Analysis'!$L$2</f>
        <v>181.16055577564182</v>
      </c>
      <c r="V229">
        <f t="shared" ref="V229:V250" si="105">80000/J229</f>
        <v>444.44444444444446</v>
      </c>
      <c r="W229">
        <f t="shared" ref="W229:W250" si="106">80000/S229</f>
        <v>505.05050505050502</v>
      </c>
      <c r="X229">
        <f t="shared" ref="X229:X250" si="107">80000/I229</f>
        <v>317.46031746031747</v>
      </c>
      <c r="Y229">
        <f t="shared" ref="Y229:Y250" si="108">(MAX(V229:X229)^2)*$R$3/1000</f>
        <v>1.5304560759106212</v>
      </c>
      <c r="Z229">
        <f t="shared" ref="Z229:Z250" si="109">($S$3*F229/(Y229*1000))*10</f>
        <v>0.67626900000000001</v>
      </c>
    </row>
    <row r="230" spans="1:26" hidden="1">
      <c r="A230">
        <v>16</v>
      </c>
      <c r="B230">
        <v>4</v>
      </c>
      <c r="C230">
        <v>6</v>
      </c>
      <c r="D230">
        <f t="shared" si="88"/>
        <v>560</v>
      </c>
      <c r="E230">
        <f t="shared" si="89"/>
        <v>240</v>
      </c>
      <c r="F230">
        <f t="shared" si="90"/>
        <v>26.495999999999999</v>
      </c>
      <c r="G230">
        <f t="shared" si="91"/>
        <v>0.14400000000000002</v>
      </c>
      <c r="H230">
        <f t="shared" si="92"/>
        <v>96.768000000000015</v>
      </c>
      <c r="I230">
        <f t="shared" si="93"/>
        <v>403.20000000000005</v>
      </c>
      <c r="J230">
        <f t="shared" si="94"/>
        <v>288</v>
      </c>
      <c r="K230">
        <f t="shared" si="95"/>
        <v>69.12</v>
      </c>
      <c r="L230">
        <f t="shared" si="96"/>
        <v>6.3705600000000011</v>
      </c>
      <c r="M230">
        <f t="shared" si="97"/>
        <v>6.1286400000000008</v>
      </c>
      <c r="N230">
        <f t="shared" si="98"/>
        <v>4.4352000000000009</v>
      </c>
      <c r="O230">
        <f t="shared" si="99"/>
        <v>4.4968658823529424</v>
      </c>
      <c r="P230">
        <f t="shared" si="100"/>
        <v>3.8704103671706265</v>
      </c>
      <c r="Q230">
        <f t="shared" si="101"/>
        <v>67.2</v>
      </c>
      <c r="R230">
        <f t="shared" si="102"/>
        <v>384</v>
      </c>
      <c r="S230">
        <f t="shared" si="103"/>
        <v>253.44</v>
      </c>
      <c r="T230">
        <f t="shared" si="104"/>
        <v>34.56</v>
      </c>
      <c r="U230">
        <f>I230*E230/'[1]Inverter Analysis'!$L$2</f>
        <v>231.8855113928216</v>
      </c>
      <c r="V230">
        <f t="shared" si="105"/>
        <v>277.77777777777777</v>
      </c>
      <c r="W230">
        <f t="shared" si="106"/>
        <v>315.65656565656565</v>
      </c>
      <c r="X230">
        <f t="shared" si="107"/>
        <v>198.4126984126984</v>
      </c>
      <c r="Y230">
        <f t="shared" si="108"/>
        <v>0.59783440465258653</v>
      </c>
      <c r="Z230">
        <f t="shared" si="109"/>
        <v>2.2159982591999996</v>
      </c>
    </row>
    <row r="231" spans="1:26" hidden="1">
      <c r="A231">
        <v>15</v>
      </c>
      <c r="B231">
        <v>4</v>
      </c>
      <c r="C231">
        <v>6</v>
      </c>
      <c r="D231">
        <f t="shared" si="88"/>
        <v>560</v>
      </c>
      <c r="E231">
        <f t="shared" si="89"/>
        <v>240</v>
      </c>
      <c r="F231">
        <f t="shared" si="90"/>
        <v>24.84</v>
      </c>
      <c r="G231">
        <f t="shared" si="91"/>
        <v>0.13500000000000001</v>
      </c>
      <c r="H231">
        <f t="shared" si="92"/>
        <v>90.72</v>
      </c>
      <c r="I231">
        <f t="shared" si="93"/>
        <v>378</v>
      </c>
      <c r="J231">
        <f t="shared" si="94"/>
        <v>270</v>
      </c>
      <c r="K231">
        <f t="shared" si="95"/>
        <v>64.8</v>
      </c>
      <c r="L231">
        <f t="shared" si="96"/>
        <v>5.9724000000000004</v>
      </c>
      <c r="M231">
        <f t="shared" si="97"/>
        <v>5.7455999999999996</v>
      </c>
      <c r="N231">
        <f t="shared" si="98"/>
        <v>4.1580000000000004</v>
      </c>
      <c r="O231">
        <f t="shared" si="99"/>
        <v>4.215811764705883</v>
      </c>
      <c r="P231">
        <f t="shared" si="100"/>
        <v>3.6285097192224622</v>
      </c>
      <c r="Q231">
        <f t="shared" si="101"/>
        <v>63</v>
      </c>
      <c r="R231">
        <f t="shared" si="102"/>
        <v>360</v>
      </c>
      <c r="S231">
        <f t="shared" si="103"/>
        <v>237.6</v>
      </c>
      <c r="T231">
        <f t="shared" si="104"/>
        <v>32.400000000000006</v>
      </c>
      <c r="U231">
        <f>I231*E231/'[1]Inverter Analysis'!$L$2</f>
        <v>217.39266693077019</v>
      </c>
      <c r="V231">
        <f t="shared" si="105"/>
        <v>296.2962962962963</v>
      </c>
      <c r="W231">
        <f t="shared" si="106"/>
        <v>336.70033670033672</v>
      </c>
      <c r="X231">
        <f t="shared" si="107"/>
        <v>211.64021164021165</v>
      </c>
      <c r="Y231">
        <f t="shared" si="108"/>
        <v>0.68020270040472075</v>
      </c>
      <c r="Z231">
        <f t="shared" si="109"/>
        <v>1.8259262999999994</v>
      </c>
    </row>
    <row r="232" spans="1:26" hidden="1">
      <c r="A232">
        <v>14</v>
      </c>
      <c r="B232">
        <v>4</v>
      </c>
      <c r="C232">
        <v>6</v>
      </c>
      <c r="D232">
        <f t="shared" si="88"/>
        <v>560</v>
      </c>
      <c r="E232">
        <f t="shared" si="89"/>
        <v>240</v>
      </c>
      <c r="F232">
        <f t="shared" si="90"/>
        <v>23.184000000000001</v>
      </c>
      <c r="G232">
        <f t="shared" si="91"/>
        <v>0.126</v>
      </c>
      <c r="H232">
        <f t="shared" si="92"/>
        <v>84.671999999999997</v>
      </c>
      <c r="I232">
        <f t="shared" si="93"/>
        <v>352.8</v>
      </c>
      <c r="J232">
        <f t="shared" si="94"/>
        <v>252</v>
      </c>
      <c r="K232">
        <f t="shared" si="95"/>
        <v>60.48</v>
      </c>
      <c r="L232">
        <f t="shared" si="96"/>
        <v>5.5742400000000005</v>
      </c>
      <c r="M232">
        <f t="shared" si="97"/>
        <v>5.3625599999999993</v>
      </c>
      <c r="N232">
        <f t="shared" si="98"/>
        <v>3.8808000000000002</v>
      </c>
      <c r="O232">
        <f t="shared" si="99"/>
        <v>3.9347576470588241</v>
      </c>
      <c r="P232">
        <f t="shared" si="100"/>
        <v>3.386609071274298</v>
      </c>
      <c r="Q232">
        <f t="shared" si="101"/>
        <v>58.800000000000004</v>
      </c>
      <c r="R232">
        <f t="shared" si="102"/>
        <v>336</v>
      </c>
      <c r="S232">
        <f t="shared" si="103"/>
        <v>221.76</v>
      </c>
      <c r="T232">
        <f t="shared" si="104"/>
        <v>30.240000000000002</v>
      </c>
      <c r="U232">
        <f>I232*E232/'[1]Inverter Analysis'!$L$2</f>
        <v>202.89982246871887</v>
      </c>
      <c r="V232">
        <f t="shared" si="105"/>
        <v>317.46031746031747</v>
      </c>
      <c r="W232">
        <f t="shared" si="106"/>
        <v>360.75036075036076</v>
      </c>
      <c r="X232">
        <f t="shared" si="107"/>
        <v>226.75736961451247</v>
      </c>
      <c r="Y232">
        <f t="shared" si="108"/>
        <v>0.78084493668909261</v>
      </c>
      <c r="Z232">
        <f t="shared" si="109"/>
        <v>1.4845457088</v>
      </c>
    </row>
    <row r="233" spans="1:26" hidden="1">
      <c r="A233">
        <v>13</v>
      </c>
      <c r="B233">
        <v>4</v>
      </c>
      <c r="C233">
        <v>6</v>
      </c>
      <c r="D233">
        <f t="shared" si="88"/>
        <v>560</v>
      </c>
      <c r="E233">
        <f t="shared" si="89"/>
        <v>240</v>
      </c>
      <c r="F233">
        <f t="shared" si="90"/>
        <v>21.527999999999999</v>
      </c>
      <c r="G233">
        <f t="shared" si="91"/>
        <v>0.11699999999999999</v>
      </c>
      <c r="H233">
        <f t="shared" si="92"/>
        <v>78.623999999999995</v>
      </c>
      <c r="I233">
        <f t="shared" si="93"/>
        <v>327.60000000000002</v>
      </c>
      <c r="J233">
        <f t="shared" si="94"/>
        <v>234</v>
      </c>
      <c r="K233">
        <f t="shared" si="95"/>
        <v>56.16</v>
      </c>
      <c r="L233">
        <f t="shared" si="96"/>
        <v>5.1760800000000007</v>
      </c>
      <c r="M233">
        <f t="shared" si="97"/>
        <v>4.9795200000000008</v>
      </c>
      <c r="N233">
        <f t="shared" si="98"/>
        <v>3.6036000000000006</v>
      </c>
      <c r="O233">
        <f t="shared" si="99"/>
        <v>3.6537035294117652</v>
      </c>
      <c r="P233">
        <f t="shared" si="100"/>
        <v>3.1447084233261342</v>
      </c>
      <c r="Q233">
        <f t="shared" si="101"/>
        <v>54.6</v>
      </c>
      <c r="R233">
        <f t="shared" si="102"/>
        <v>312</v>
      </c>
      <c r="S233">
        <f t="shared" si="103"/>
        <v>205.92000000000002</v>
      </c>
      <c r="T233">
        <f t="shared" si="104"/>
        <v>28.08</v>
      </c>
      <c r="U233">
        <f>I233*E233/'[1]Inverter Analysis'!$L$2</f>
        <v>188.40697800666752</v>
      </c>
      <c r="V233">
        <f t="shared" si="105"/>
        <v>341.88034188034186</v>
      </c>
      <c r="W233">
        <f t="shared" si="106"/>
        <v>388.50038850038845</v>
      </c>
      <c r="X233">
        <f t="shared" si="107"/>
        <v>244.20024420024419</v>
      </c>
      <c r="Y233">
        <f t="shared" si="108"/>
        <v>0.90559531118971659</v>
      </c>
      <c r="Z233">
        <f t="shared" si="109"/>
        <v>1.1886103944000002</v>
      </c>
    </row>
    <row r="234" spans="1:26" hidden="1">
      <c r="A234">
        <v>12</v>
      </c>
      <c r="B234">
        <v>4</v>
      </c>
      <c r="C234">
        <v>6</v>
      </c>
      <c r="D234">
        <f t="shared" si="88"/>
        <v>560</v>
      </c>
      <c r="E234">
        <f t="shared" si="89"/>
        <v>240</v>
      </c>
      <c r="F234">
        <f t="shared" si="90"/>
        <v>19.872</v>
      </c>
      <c r="G234">
        <f t="shared" si="91"/>
        <v>0.10800000000000001</v>
      </c>
      <c r="H234">
        <f t="shared" si="92"/>
        <v>72.576000000000008</v>
      </c>
      <c r="I234">
        <f t="shared" si="93"/>
        <v>302.40000000000003</v>
      </c>
      <c r="J234">
        <f t="shared" si="94"/>
        <v>216</v>
      </c>
      <c r="K234">
        <f t="shared" si="95"/>
        <v>51.84</v>
      </c>
      <c r="L234">
        <f t="shared" si="96"/>
        <v>4.7779200000000008</v>
      </c>
      <c r="M234">
        <f t="shared" si="97"/>
        <v>4.5964800000000006</v>
      </c>
      <c r="N234">
        <f t="shared" si="98"/>
        <v>3.3264000000000005</v>
      </c>
      <c r="O234">
        <f t="shared" si="99"/>
        <v>3.3726494117647068</v>
      </c>
      <c r="P234">
        <f t="shared" si="100"/>
        <v>2.9028077753779704</v>
      </c>
      <c r="Q234">
        <f t="shared" si="101"/>
        <v>50.400000000000006</v>
      </c>
      <c r="R234">
        <f t="shared" si="102"/>
        <v>288</v>
      </c>
      <c r="S234">
        <f t="shared" si="103"/>
        <v>190.07999999999998</v>
      </c>
      <c r="T234">
        <f t="shared" si="104"/>
        <v>25.92</v>
      </c>
      <c r="U234">
        <f>I234*E234/'[1]Inverter Analysis'!$L$2</f>
        <v>173.91413354461619</v>
      </c>
      <c r="V234">
        <f t="shared" si="105"/>
        <v>370.37037037037038</v>
      </c>
      <c r="W234">
        <f t="shared" si="106"/>
        <v>420.8754208754209</v>
      </c>
      <c r="X234">
        <f t="shared" si="107"/>
        <v>264.5502645502645</v>
      </c>
      <c r="Y234">
        <f t="shared" si="108"/>
        <v>1.0628167193823761</v>
      </c>
      <c r="Z234">
        <f t="shared" si="109"/>
        <v>0.93487426559999987</v>
      </c>
    </row>
    <row r="235" spans="1:26" hidden="1">
      <c r="A235">
        <v>11</v>
      </c>
      <c r="B235">
        <v>4</v>
      </c>
      <c r="C235">
        <v>6</v>
      </c>
      <c r="D235">
        <f t="shared" si="88"/>
        <v>560</v>
      </c>
      <c r="E235">
        <f t="shared" si="89"/>
        <v>240</v>
      </c>
      <c r="F235">
        <f t="shared" si="90"/>
        <v>18.216000000000001</v>
      </c>
      <c r="G235">
        <f t="shared" si="91"/>
        <v>9.9000000000000005E-2</v>
      </c>
      <c r="H235">
        <f t="shared" si="92"/>
        <v>66.528000000000006</v>
      </c>
      <c r="I235">
        <f t="shared" si="93"/>
        <v>277.2</v>
      </c>
      <c r="J235">
        <f t="shared" si="94"/>
        <v>198</v>
      </c>
      <c r="K235">
        <f t="shared" si="95"/>
        <v>47.52</v>
      </c>
      <c r="L235">
        <f t="shared" si="96"/>
        <v>4.3797600000000001</v>
      </c>
      <c r="M235">
        <f t="shared" si="97"/>
        <v>4.2134399999999994</v>
      </c>
      <c r="N235">
        <f t="shared" si="98"/>
        <v>3.0491999999999999</v>
      </c>
      <c r="O235">
        <f t="shared" si="99"/>
        <v>3.0915952941176474</v>
      </c>
      <c r="P235">
        <f t="shared" si="100"/>
        <v>2.6609071274298053</v>
      </c>
      <c r="Q235">
        <f t="shared" si="101"/>
        <v>46.199999999999996</v>
      </c>
      <c r="R235">
        <f t="shared" si="102"/>
        <v>264</v>
      </c>
      <c r="S235">
        <f t="shared" si="103"/>
        <v>174.24</v>
      </c>
      <c r="T235">
        <f t="shared" si="104"/>
        <v>23.76</v>
      </c>
      <c r="U235">
        <f>I235*E235/'[1]Inverter Analysis'!$L$2</f>
        <v>159.42128908256481</v>
      </c>
      <c r="V235">
        <f t="shared" si="105"/>
        <v>404.04040404040404</v>
      </c>
      <c r="W235">
        <f t="shared" si="106"/>
        <v>459.1368227731864</v>
      </c>
      <c r="X235">
        <f t="shared" si="107"/>
        <v>288.60028860028859</v>
      </c>
      <c r="Y235">
        <f t="shared" si="108"/>
        <v>1.2648397321575382</v>
      </c>
      <c r="Z235">
        <f t="shared" si="109"/>
        <v>0.72009123120000018</v>
      </c>
    </row>
    <row r="236" spans="1:26" hidden="1">
      <c r="A236">
        <v>10</v>
      </c>
      <c r="B236">
        <v>4</v>
      </c>
      <c r="C236">
        <v>6</v>
      </c>
      <c r="D236">
        <f t="shared" si="88"/>
        <v>560</v>
      </c>
      <c r="E236">
        <f t="shared" si="89"/>
        <v>240</v>
      </c>
      <c r="F236">
        <f t="shared" si="90"/>
        <v>16.559999999999999</v>
      </c>
      <c r="G236">
        <f t="shared" si="91"/>
        <v>0.09</v>
      </c>
      <c r="H236">
        <f t="shared" si="92"/>
        <v>60.48</v>
      </c>
      <c r="I236">
        <f t="shared" si="93"/>
        <v>252</v>
      </c>
      <c r="J236">
        <f t="shared" si="94"/>
        <v>180</v>
      </c>
      <c r="K236">
        <f t="shared" si="95"/>
        <v>43.2</v>
      </c>
      <c r="L236">
        <f t="shared" si="96"/>
        <v>3.9816000000000003</v>
      </c>
      <c r="M236">
        <f t="shared" si="97"/>
        <v>3.8303999999999996</v>
      </c>
      <c r="N236">
        <f t="shared" si="98"/>
        <v>2.7719999999999998</v>
      </c>
      <c r="O236">
        <f t="shared" si="99"/>
        <v>2.8105411764705885</v>
      </c>
      <c r="P236">
        <f t="shared" si="100"/>
        <v>2.4190064794816415</v>
      </c>
      <c r="Q236">
        <f t="shared" si="101"/>
        <v>42</v>
      </c>
      <c r="R236">
        <f t="shared" si="102"/>
        <v>240</v>
      </c>
      <c r="S236">
        <f t="shared" si="103"/>
        <v>158.4</v>
      </c>
      <c r="T236">
        <f t="shared" si="104"/>
        <v>21.599999999999998</v>
      </c>
      <c r="U236">
        <f>I236*E236/'[1]Inverter Analysis'!$L$2</f>
        <v>144.92844462051346</v>
      </c>
      <c r="V236">
        <f t="shared" si="105"/>
        <v>444.44444444444446</v>
      </c>
      <c r="W236">
        <f t="shared" si="106"/>
        <v>505.05050505050502</v>
      </c>
      <c r="X236">
        <f t="shared" si="107"/>
        <v>317.46031746031747</v>
      </c>
      <c r="Y236">
        <f t="shared" si="108"/>
        <v>1.5304560759106212</v>
      </c>
      <c r="Z236">
        <f t="shared" si="109"/>
        <v>0.54101520000000003</v>
      </c>
    </row>
    <row r="237" spans="1:26" hidden="1">
      <c r="A237">
        <v>16</v>
      </c>
      <c r="B237">
        <v>3</v>
      </c>
      <c r="C237">
        <v>6</v>
      </c>
      <c r="D237">
        <f t="shared" si="88"/>
        <v>420</v>
      </c>
      <c r="E237">
        <f t="shared" si="89"/>
        <v>180</v>
      </c>
      <c r="F237">
        <f t="shared" si="90"/>
        <v>19.872</v>
      </c>
      <c r="G237">
        <f t="shared" si="91"/>
        <v>0.192</v>
      </c>
      <c r="H237">
        <f t="shared" si="92"/>
        <v>72.576000000000008</v>
      </c>
      <c r="I237">
        <f t="shared" si="93"/>
        <v>403.20000000000005</v>
      </c>
      <c r="J237">
        <f t="shared" si="94"/>
        <v>288</v>
      </c>
      <c r="K237">
        <f t="shared" si="95"/>
        <v>51.84</v>
      </c>
      <c r="L237">
        <f t="shared" si="96"/>
        <v>4.7779200000000008</v>
      </c>
      <c r="M237">
        <f t="shared" si="97"/>
        <v>4.5964800000000006</v>
      </c>
      <c r="N237">
        <f t="shared" si="98"/>
        <v>3.3264000000000005</v>
      </c>
      <c r="O237">
        <f t="shared" si="99"/>
        <v>3.3726494117647068</v>
      </c>
      <c r="P237">
        <f t="shared" si="100"/>
        <v>2.9028077753779704</v>
      </c>
      <c r="Q237">
        <f t="shared" si="101"/>
        <v>67.2</v>
      </c>
      <c r="R237">
        <f t="shared" si="102"/>
        <v>288</v>
      </c>
      <c r="S237">
        <f t="shared" si="103"/>
        <v>253.44</v>
      </c>
      <c r="T237">
        <f t="shared" si="104"/>
        <v>34.56</v>
      </c>
      <c r="U237">
        <f>I237*E237/'[1]Inverter Analysis'!$L$2</f>
        <v>173.91413354461619</v>
      </c>
      <c r="V237">
        <f t="shared" si="105"/>
        <v>277.77777777777777</v>
      </c>
      <c r="W237">
        <f t="shared" si="106"/>
        <v>315.65656565656565</v>
      </c>
      <c r="X237">
        <f t="shared" si="107"/>
        <v>198.4126984126984</v>
      </c>
      <c r="Y237">
        <f t="shared" si="108"/>
        <v>0.59783440465258653</v>
      </c>
      <c r="Z237">
        <f t="shared" si="109"/>
        <v>1.6619986943999998</v>
      </c>
    </row>
    <row r="238" spans="1:26" hidden="1">
      <c r="A238">
        <v>15</v>
      </c>
      <c r="B238">
        <v>3</v>
      </c>
      <c r="C238">
        <v>6</v>
      </c>
      <c r="D238">
        <f t="shared" si="88"/>
        <v>420</v>
      </c>
      <c r="E238">
        <f t="shared" si="89"/>
        <v>180</v>
      </c>
      <c r="F238">
        <f t="shared" si="90"/>
        <v>18.63</v>
      </c>
      <c r="G238">
        <f t="shared" si="91"/>
        <v>0.18</v>
      </c>
      <c r="H238">
        <f t="shared" si="92"/>
        <v>68.040000000000006</v>
      </c>
      <c r="I238">
        <f t="shared" si="93"/>
        <v>378</v>
      </c>
      <c r="J238">
        <f t="shared" si="94"/>
        <v>270</v>
      </c>
      <c r="K238">
        <f t="shared" si="95"/>
        <v>48.6</v>
      </c>
      <c r="L238">
        <f t="shared" si="96"/>
        <v>4.4793000000000003</v>
      </c>
      <c r="M238">
        <f t="shared" si="97"/>
        <v>4.3091999999999997</v>
      </c>
      <c r="N238">
        <f t="shared" si="98"/>
        <v>3.1185</v>
      </c>
      <c r="O238">
        <f t="shared" si="99"/>
        <v>3.1618588235294123</v>
      </c>
      <c r="P238">
        <f t="shared" si="100"/>
        <v>2.7213822894168467</v>
      </c>
      <c r="Q238">
        <f t="shared" si="101"/>
        <v>63</v>
      </c>
      <c r="R238">
        <f t="shared" si="102"/>
        <v>270</v>
      </c>
      <c r="S238">
        <f t="shared" si="103"/>
        <v>237.6</v>
      </c>
      <c r="T238">
        <f t="shared" si="104"/>
        <v>32.4</v>
      </c>
      <c r="U238">
        <f>I238*E238/'[1]Inverter Analysis'!$L$2</f>
        <v>163.04450019807766</v>
      </c>
      <c r="V238">
        <f t="shared" si="105"/>
        <v>296.2962962962963</v>
      </c>
      <c r="W238">
        <f t="shared" si="106"/>
        <v>336.70033670033672</v>
      </c>
      <c r="X238">
        <f t="shared" si="107"/>
        <v>211.64021164021165</v>
      </c>
      <c r="Y238">
        <f t="shared" si="108"/>
        <v>0.68020270040472075</v>
      </c>
      <c r="Z238">
        <f t="shared" si="109"/>
        <v>1.3694447249999997</v>
      </c>
    </row>
    <row r="239" spans="1:26">
      <c r="A239">
        <v>14</v>
      </c>
      <c r="B239">
        <v>3</v>
      </c>
      <c r="C239">
        <v>6</v>
      </c>
      <c r="D239">
        <f t="shared" si="88"/>
        <v>420</v>
      </c>
      <c r="E239">
        <f t="shared" si="89"/>
        <v>180</v>
      </c>
      <c r="F239">
        <f t="shared" si="90"/>
        <v>17.388000000000002</v>
      </c>
      <c r="G239">
        <f t="shared" si="91"/>
        <v>0.16800000000000001</v>
      </c>
      <c r="H239">
        <f t="shared" si="92"/>
        <v>63.503999999999998</v>
      </c>
      <c r="I239">
        <f t="shared" si="93"/>
        <v>352.8</v>
      </c>
      <c r="J239">
        <f t="shared" si="94"/>
        <v>252</v>
      </c>
      <c r="K239">
        <f t="shared" si="95"/>
        <v>45.36</v>
      </c>
      <c r="L239">
        <f t="shared" si="96"/>
        <v>4.1806800000000006</v>
      </c>
      <c r="M239">
        <f t="shared" si="97"/>
        <v>4.0219199999999997</v>
      </c>
      <c r="N239">
        <f t="shared" si="98"/>
        <v>2.9106000000000005</v>
      </c>
      <c r="O239">
        <f t="shared" si="99"/>
        <v>2.9510682352941182</v>
      </c>
      <c r="P239">
        <f t="shared" si="100"/>
        <v>2.5399568034557238</v>
      </c>
      <c r="Q239">
        <f t="shared" si="101"/>
        <v>58.800000000000004</v>
      </c>
      <c r="R239">
        <f t="shared" si="102"/>
        <v>252</v>
      </c>
      <c r="S239">
        <f t="shared" si="103"/>
        <v>221.76</v>
      </c>
      <c r="T239">
        <f t="shared" si="104"/>
        <v>30.240000000000002</v>
      </c>
      <c r="U239">
        <f>I239*E239/'[1]Inverter Analysis'!$L$2</f>
        <v>152.17486685153915</v>
      </c>
      <c r="V239">
        <f t="shared" si="105"/>
        <v>317.46031746031747</v>
      </c>
      <c r="W239">
        <f t="shared" si="106"/>
        <v>360.75036075036076</v>
      </c>
      <c r="X239">
        <f t="shared" si="107"/>
        <v>226.75736961451247</v>
      </c>
      <c r="Y239">
        <f t="shared" si="108"/>
        <v>0.78084493668909261</v>
      </c>
      <c r="Z239">
        <f t="shared" si="109"/>
        <v>1.1134092816000001</v>
      </c>
    </row>
    <row r="240" spans="1:26" hidden="1">
      <c r="A240">
        <v>13</v>
      </c>
      <c r="B240">
        <v>3</v>
      </c>
      <c r="C240">
        <v>6</v>
      </c>
      <c r="D240">
        <f t="shared" si="88"/>
        <v>420</v>
      </c>
      <c r="E240">
        <f t="shared" si="89"/>
        <v>180</v>
      </c>
      <c r="F240">
        <f t="shared" si="90"/>
        <v>16.146000000000001</v>
      </c>
      <c r="G240">
        <f t="shared" si="91"/>
        <v>0.15600000000000003</v>
      </c>
      <c r="H240">
        <f t="shared" si="92"/>
        <v>58.968000000000011</v>
      </c>
      <c r="I240">
        <f t="shared" si="93"/>
        <v>327.60000000000002</v>
      </c>
      <c r="J240">
        <f t="shared" si="94"/>
        <v>234</v>
      </c>
      <c r="K240">
        <f t="shared" si="95"/>
        <v>42.12</v>
      </c>
      <c r="L240">
        <f t="shared" si="96"/>
        <v>3.8820600000000005</v>
      </c>
      <c r="M240">
        <f t="shared" si="97"/>
        <v>3.7346400000000002</v>
      </c>
      <c r="N240">
        <f t="shared" si="98"/>
        <v>2.7027000000000001</v>
      </c>
      <c r="O240">
        <f t="shared" si="99"/>
        <v>2.7402776470588242</v>
      </c>
      <c r="P240">
        <f t="shared" si="100"/>
        <v>2.3585313174946005</v>
      </c>
      <c r="Q240">
        <f t="shared" si="101"/>
        <v>54.6</v>
      </c>
      <c r="R240">
        <f t="shared" si="102"/>
        <v>234</v>
      </c>
      <c r="S240">
        <f t="shared" si="103"/>
        <v>205.92</v>
      </c>
      <c r="T240">
        <f t="shared" si="104"/>
        <v>28.080000000000005</v>
      </c>
      <c r="U240">
        <f>I240*E240/'[1]Inverter Analysis'!$L$2</f>
        <v>141.30523350500064</v>
      </c>
      <c r="V240">
        <f t="shared" si="105"/>
        <v>341.88034188034186</v>
      </c>
      <c r="W240">
        <f t="shared" si="106"/>
        <v>388.50038850038851</v>
      </c>
      <c r="X240">
        <f t="shared" si="107"/>
        <v>244.20024420024419</v>
      </c>
      <c r="Y240">
        <f t="shared" si="108"/>
        <v>0.90559531118971692</v>
      </c>
      <c r="Z240">
        <f t="shared" si="109"/>
        <v>0.89145779580000006</v>
      </c>
    </row>
    <row r="241" spans="1:26" hidden="1">
      <c r="A241">
        <v>12</v>
      </c>
      <c r="B241">
        <v>3</v>
      </c>
      <c r="C241">
        <v>6</v>
      </c>
      <c r="D241">
        <f t="shared" si="88"/>
        <v>420</v>
      </c>
      <c r="E241">
        <f t="shared" si="89"/>
        <v>180</v>
      </c>
      <c r="F241">
        <f t="shared" si="90"/>
        <v>14.904</v>
      </c>
      <c r="G241">
        <f t="shared" si="91"/>
        <v>0.14400000000000002</v>
      </c>
      <c r="H241">
        <f t="shared" si="92"/>
        <v>54.432000000000009</v>
      </c>
      <c r="I241">
        <f t="shared" si="93"/>
        <v>302.40000000000003</v>
      </c>
      <c r="J241">
        <f t="shared" si="94"/>
        <v>216</v>
      </c>
      <c r="K241">
        <f t="shared" si="95"/>
        <v>38.880000000000003</v>
      </c>
      <c r="L241">
        <f t="shared" si="96"/>
        <v>3.5834400000000004</v>
      </c>
      <c r="M241">
        <f t="shared" si="97"/>
        <v>3.4473600000000006</v>
      </c>
      <c r="N241">
        <f t="shared" si="98"/>
        <v>2.4948000000000001</v>
      </c>
      <c r="O241">
        <f t="shared" si="99"/>
        <v>2.5294870588235296</v>
      </c>
      <c r="P241">
        <f t="shared" si="100"/>
        <v>2.1771058315334773</v>
      </c>
      <c r="Q241">
        <f t="shared" si="101"/>
        <v>50.400000000000006</v>
      </c>
      <c r="R241">
        <f t="shared" si="102"/>
        <v>216</v>
      </c>
      <c r="S241">
        <f t="shared" si="103"/>
        <v>190.07999999999998</v>
      </c>
      <c r="T241">
        <f t="shared" si="104"/>
        <v>25.92</v>
      </c>
      <c r="U241">
        <f>I241*E241/'[1]Inverter Analysis'!$L$2</f>
        <v>130.43560015846214</v>
      </c>
      <c r="V241">
        <f t="shared" si="105"/>
        <v>370.37037037037038</v>
      </c>
      <c r="W241">
        <f t="shared" si="106"/>
        <v>420.8754208754209</v>
      </c>
      <c r="X241">
        <f t="shared" si="107"/>
        <v>264.5502645502645</v>
      </c>
      <c r="Y241">
        <f t="shared" si="108"/>
        <v>1.0628167193823761</v>
      </c>
      <c r="Z241">
        <f t="shared" si="109"/>
        <v>0.70115569919999998</v>
      </c>
    </row>
    <row r="242" spans="1:26" hidden="1">
      <c r="A242">
        <v>11</v>
      </c>
      <c r="B242">
        <v>3</v>
      </c>
      <c r="C242">
        <v>6</v>
      </c>
      <c r="D242">
        <f t="shared" si="88"/>
        <v>420</v>
      </c>
      <c r="E242">
        <f t="shared" si="89"/>
        <v>180</v>
      </c>
      <c r="F242">
        <f t="shared" si="90"/>
        <v>13.662000000000001</v>
      </c>
      <c r="G242">
        <f t="shared" si="91"/>
        <v>0.13200000000000001</v>
      </c>
      <c r="H242">
        <f t="shared" si="92"/>
        <v>49.896000000000001</v>
      </c>
      <c r="I242">
        <f t="shared" si="93"/>
        <v>277.2</v>
      </c>
      <c r="J242">
        <f t="shared" si="94"/>
        <v>198</v>
      </c>
      <c r="K242">
        <f t="shared" si="95"/>
        <v>35.64</v>
      </c>
      <c r="L242">
        <f t="shared" si="96"/>
        <v>3.2848200000000003</v>
      </c>
      <c r="M242">
        <f t="shared" si="97"/>
        <v>3.1600799999999998</v>
      </c>
      <c r="N242">
        <f t="shared" si="98"/>
        <v>2.2868999999999997</v>
      </c>
      <c r="O242">
        <f t="shared" si="99"/>
        <v>2.3186964705882356</v>
      </c>
      <c r="P242">
        <f t="shared" si="100"/>
        <v>1.995680345572354</v>
      </c>
      <c r="Q242">
        <f t="shared" si="101"/>
        <v>46.199999999999996</v>
      </c>
      <c r="R242">
        <f t="shared" si="102"/>
        <v>198</v>
      </c>
      <c r="S242">
        <f t="shared" si="103"/>
        <v>174.24</v>
      </c>
      <c r="T242">
        <f t="shared" si="104"/>
        <v>23.76</v>
      </c>
      <c r="U242">
        <f>I242*E242/'[1]Inverter Analysis'!$L$2</f>
        <v>119.56596681192362</v>
      </c>
      <c r="V242">
        <f t="shared" si="105"/>
        <v>404.04040404040404</v>
      </c>
      <c r="W242">
        <f t="shared" si="106"/>
        <v>459.1368227731864</v>
      </c>
      <c r="X242">
        <f t="shared" si="107"/>
        <v>288.60028860028859</v>
      </c>
      <c r="Y242">
        <f t="shared" si="108"/>
        <v>1.2648397321575382</v>
      </c>
      <c r="Z242">
        <f t="shared" si="109"/>
        <v>0.54006842340000005</v>
      </c>
    </row>
    <row r="243" spans="1:26" hidden="1">
      <c r="A243">
        <v>10</v>
      </c>
      <c r="B243">
        <v>3</v>
      </c>
      <c r="C243">
        <v>6</v>
      </c>
      <c r="D243">
        <f t="shared" si="88"/>
        <v>420</v>
      </c>
      <c r="E243">
        <f t="shared" si="89"/>
        <v>180</v>
      </c>
      <c r="F243">
        <f t="shared" si="90"/>
        <v>12.42</v>
      </c>
      <c r="G243">
        <f t="shared" si="91"/>
        <v>0.12</v>
      </c>
      <c r="H243">
        <f t="shared" si="92"/>
        <v>45.36</v>
      </c>
      <c r="I243">
        <f t="shared" si="93"/>
        <v>252</v>
      </c>
      <c r="J243">
        <f t="shared" si="94"/>
        <v>180</v>
      </c>
      <c r="K243">
        <f t="shared" si="95"/>
        <v>32.4</v>
      </c>
      <c r="L243">
        <f t="shared" si="96"/>
        <v>2.9862000000000002</v>
      </c>
      <c r="M243">
        <f t="shared" si="97"/>
        <v>2.8727999999999998</v>
      </c>
      <c r="N243">
        <f t="shared" si="98"/>
        <v>2.0790000000000002</v>
      </c>
      <c r="O243">
        <f t="shared" si="99"/>
        <v>2.1079058823529415</v>
      </c>
      <c r="P243">
        <f t="shared" si="100"/>
        <v>1.8142548596112311</v>
      </c>
      <c r="Q243">
        <f t="shared" si="101"/>
        <v>42</v>
      </c>
      <c r="R243">
        <f t="shared" si="102"/>
        <v>180</v>
      </c>
      <c r="S243">
        <f t="shared" si="103"/>
        <v>158.4</v>
      </c>
      <c r="T243">
        <f t="shared" si="104"/>
        <v>21.599999999999998</v>
      </c>
      <c r="U243">
        <f>I243*E243/'[1]Inverter Analysis'!$L$2</f>
        <v>108.69633346538509</v>
      </c>
      <c r="V243">
        <f t="shared" si="105"/>
        <v>444.44444444444446</v>
      </c>
      <c r="W243">
        <f t="shared" si="106"/>
        <v>505.05050505050502</v>
      </c>
      <c r="X243">
        <f t="shared" si="107"/>
        <v>317.46031746031747</v>
      </c>
      <c r="Y243">
        <f t="shared" si="108"/>
        <v>1.5304560759106212</v>
      </c>
      <c r="Z243">
        <f t="shared" si="109"/>
        <v>0.40576140000000005</v>
      </c>
    </row>
    <row r="244" spans="1:26" hidden="1">
      <c r="A244">
        <v>16</v>
      </c>
      <c r="B244">
        <v>2</v>
      </c>
      <c r="C244">
        <v>6</v>
      </c>
      <c r="D244">
        <f t="shared" si="88"/>
        <v>280</v>
      </c>
      <c r="E244">
        <f t="shared" si="89"/>
        <v>120</v>
      </c>
      <c r="F244">
        <f t="shared" si="90"/>
        <v>13.247999999999999</v>
      </c>
      <c r="G244">
        <f t="shared" si="91"/>
        <v>0.28800000000000003</v>
      </c>
      <c r="H244">
        <f t="shared" si="92"/>
        <v>48.384000000000007</v>
      </c>
      <c r="I244">
        <f t="shared" si="93"/>
        <v>403.20000000000005</v>
      </c>
      <c r="J244">
        <f t="shared" si="94"/>
        <v>288</v>
      </c>
      <c r="K244">
        <f t="shared" si="95"/>
        <v>34.56</v>
      </c>
      <c r="L244">
        <f t="shared" si="96"/>
        <v>3.1852800000000006</v>
      </c>
      <c r="M244">
        <f t="shared" si="97"/>
        <v>3.0643200000000004</v>
      </c>
      <c r="N244">
        <f t="shared" si="98"/>
        <v>2.2176000000000005</v>
      </c>
      <c r="O244">
        <f t="shared" si="99"/>
        <v>2.2484329411764712</v>
      </c>
      <c r="P244">
        <f t="shared" si="100"/>
        <v>1.9352051835853132</v>
      </c>
      <c r="Q244">
        <f t="shared" si="101"/>
        <v>67.2</v>
      </c>
      <c r="R244">
        <f t="shared" si="102"/>
        <v>192</v>
      </c>
      <c r="S244">
        <f t="shared" si="103"/>
        <v>253.44</v>
      </c>
      <c r="T244">
        <f t="shared" si="104"/>
        <v>34.56</v>
      </c>
      <c r="U244">
        <f>I244*E244/'[1]Inverter Analysis'!$L$2</f>
        <v>115.9427556964108</v>
      </c>
      <c r="V244">
        <f t="shared" si="105"/>
        <v>277.77777777777777</v>
      </c>
      <c r="W244">
        <f t="shared" si="106"/>
        <v>315.65656565656565</v>
      </c>
      <c r="X244">
        <f t="shared" si="107"/>
        <v>198.4126984126984</v>
      </c>
      <c r="Y244">
        <f t="shared" si="108"/>
        <v>0.59783440465258653</v>
      </c>
      <c r="Z244">
        <f t="shared" si="109"/>
        <v>1.1079991295999998</v>
      </c>
    </row>
    <row r="245" spans="1:26" hidden="1">
      <c r="A245">
        <v>15</v>
      </c>
      <c r="B245">
        <v>2</v>
      </c>
      <c r="C245">
        <v>6</v>
      </c>
      <c r="D245">
        <f t="shared" si="88"/>
        <v>280</v>
      </c>
      <c r="E245">
        <f t="shared" si="89"/>
        <v>120</v>
      </c>
      <c r="F245">
        <f t="shared" si="90"/>
        <v>12.42</v>
      </c>
      <c r="G245">
        <f t="shared" si="91"/>
        <v>0.27</v>
      </c>
      <c r="H245">
        <f t="shared" si="92"/>
        <v>45.36</v>
      </c>
      <c r="I245">
        <f t="shared" si="93"/>
        <v>378</v>
      </c>
      <c r="J245">
        <f t="shared" si="94"/>
        <v>270</v>
      </c>
      <c r="K245">
        <f t="shared" si="95"/>
        <v>32.4</v>
      </c>
      <c r="L245">
        <f t="shared" si="96"/>
        <v>2.9862000000000002</v>
      </c>
      <c r="M245">
        <f t="shared" si="97"/>
        <v>2.8727999999999998</v>
      </c>
      <c r="N245">
        <f t="shared" si="98"/>
        <v>2.0790000000000002</v>
      </c>
      <c r="O245">
        <f t="shared" si="99"/>
        <v>2.1079058823529415</v>
      </c>
      <c r="P245">
        <f t="shared" si="100"/>
        <v>1.8142548596112311</v>
      </c>
      <c r="Q245">
        <f t="shared" si="101"/>
        <v>63</v>
      </c>
      <c r="R245">
        <f t="shared" si="102"/>
        <v>180</v>
      </c>
      <c r="S245">
        <f t="shared" si="103"/>
        <v>237.6</v>
      </c>
      <c r="T245">
        <f t="shared" si="104"/>
        <v>32.400000000000006</v>
      </c>
      <c r="U245">
        <f>I245*E245/'[1]Inverter Analysis'!$L$2</f>
        <v>108.69633346538509</v>
      </c>
      <c r="V245">
        <f t="shared" si="105"/>
        <v>296.2962962962963</v>
      </c>
      <c r="W245">
        <f t="shared" si="106"/>
        <v>336.70033670033672</v>
      </c>
      <c r="X245">
        <f t="shared" si="107"/>
        <v>211.64021164021165</v>
      </c>
      <c r="Y245">
        <f t="shared" si="108"/>
        <v>0.68020270040472075</v>
      </c>
      <c r="Z245">
        <f t="shared" si="109"/>
        <v>0.91296314999999972</v>
      </c>
    </row>
    <row r="246" spans="1:26" hidden="1">
      <c r="A246">
        <v>14</v>
      </c>
      <c r="B246">
        <v>2</v>
      </c>
      <c r="C246">
        <v>6</v>
      </c>
      <c r="D246">
        <f t="shared" si="88"/>
        <v>280</v>
      </c>
      <c r="E246">
        <f t="shared" si="89"/>
        <v>120</v>
      </c>
      <c r="F246">
        <f t="shared" si="90"/>
        <v>11.592000000000001</v>
      </c>
      <c r="G246">
        <f t="shared" si="91"/>
        <v>0.252</v>
      </c>
      <c r="H246">
        <f t="shared" si="92"/>
        <v>42.335999999999999</v>
      </c>
      <c r="I246">
        <f t="shared" si="93"/>
        <v>352.8</v>
      </c>
      <c r="J246">
        <f t="shared" si="94"/>
        <v>252</v>
      </c>
      <c r="K246">
        <f t="shared" si="95"/>
        <v>30.24</v>
      </c>
      <c r="L246">
        <f t="shared" si="96"/>
        <v>2.7871200000000003</v>
      </c>
      <c r="M246">
        <f t="shared" si="97"/>
        <v>2.6812799999999997</v>
      </c>
      <c r="N246">
        <f t="shared" si="98"/>
        <v>1.9404000000000001</v>
      </c>
      <c r="O246">
        <f t="shared" si="99"/>
        <v>1.9673788235294121</v>
      </c>
      <c r="P246">
        <f t="shared" si="100"/>
        <v>1.693304535637149</v>
      </c>
      <c r="Q246">
        <f t="shared" si="101"/>
        <v>58.800000000000004</v>
      </c>
      <c r="R246">
        <f t="shared" si="102"/>
        <v>168</v>
      </c>
      <c r="S246">
        <f t="shared" si="103"/>
        <v>221.76</v>
      </c>
      <c r="T246">
        <f t="shared" si="104"/>
        <v>30.240000000000002</v>
      </c>
      <c r="U246">
        <f>I246*E246/'[1]Inverter Analysis'!$L$2</f>
        <v>101.44991123435943</v>
      </c>
      <c r="V246">
        <f t="shared" si="105"/>
        <v>317.46031746031747</v>
      </c>
      <c r="W246">
        <f t="shared" si="106"/>
        <v>360.75036075036076</v>
      </c>
      <c r="X246">
        <f t="shared" si="107"/>
        <v>226.75736961451247</v>
      </c>
      <c r="Y246">
        <f t="shared" si="108"/>
        <v>0.78084493668909261</v>
      </c>
      <c r="Z246">
        <f t="shared" si="109"/>
        <v>0.74227285440000002</v>
      </c>
    </row>
    <row r="247" spans="1:26" hidden="1">
      <c r="A247">
        <v>13</v>
      </c>
      <c r="B247">
        <v>2</v>
      </c>
      <c r="C247">
        <v>6</v>
      </c>
      <c r="D247">
        <f t="shared" si="88"/>
        <v>280</v>
      </c>
      <c r="E247">
        <f t="shared" si="89"/>
        <v>120</v>
      </c>
      <c r="F247">
        <f t="shared" si="90"/>
        <v>10.763999999999999</v>
      </c>
      <c r="G247">
        <f t="shared" si="91"/>
        <v>0.23399999999999999</v>
      </c>
      <c r="H247">
        <f t="shared" si="92"/>
        <v>39.311999999999998</v>
      </c>
      <c r="I247">
        <f t="shared" si="93"/>
        <v>327.60000000000002</v>
      </c>
      <c r="J247">
        <f t="shared" si="94"/>
        <v>234</v>
      </c>
      <c r="K247">
        <f t="shared" si="95"/>
        <v>28.08</v>
      </c>
      <c r="L247">
        <f t="shared" si="96"/>
        <v>2.5880400000000003</v>
      </c>
      <c r="M247">
        <f t="shared" si="97"/>
        <v>2.4897600000000004</v>
      </c>
      <c r="N247">
        <f t="shared" si="98"/>
        <v>1.8018000000000003</v>
      </c>
      <c r="O247">
        <f t="shared" si="99"/>
        <v>1.8268517647058826</v>
      </c>
      <c r="P247">
        <f t="shared" si="100"/>
        <v>1.5723542116630671</v>
      </c>
      <c r="Q247">
        <f t="shared" si="101"/>
        <v>54.6</v>
      </c>
      <c r="R247">
        <f t="shared" si="102"/>
        <v>156</v>
      </c>
      <c r="S247">
        <f t="shared" si="103"/>
        <v>205.92000000000002</v>
      </c>
      <c r="T247">
        <f t="shared" si="104"/>
        <v>28.08</v>
      </c>
      <c r="U247">
        <f>I247*E247/'[1]Inverter Analysis'!$L$2</f>
        <v>94.203489003333758</v>
      </c>
      <c r="V247">
        <f t="shared" si="105"/>
        <v>341.88034188034186</v>
      </c>
      <c r="W247">
        <f t="shared" si="106"/>
        <v>388.50038850038845</v>
      </c>
      <c r="X247">
        <f t="shared" si="107"/>
        <v>244.20024420024419</v>
      </c>
      <c r="Y247">
        <f t="shared" si="108"/>
        <v>0.90559531118971659</v>
      </c>
      <c r="Z247">
        <f t="shared" si="109"/>
        <v>0.59430519720000008</v>
      </c>
    </row>
    <row r="248" spans="1:26" hidden="1">
      <c r="A248">
        <v>12</v>
      </c>
      <c r="B248">
        <v>2</v>
      </c>
      <c r="C248">
        <v>6</v>
      </c>
      <c r="D248">
        <f t="shared" si="88"/>
        <v>280</v>
      </c>
      <c r="E248">
        <f t="shared" si="89"/>
        <v>120</v>
      </c>
      <c r="F248">
        <f t="shared" si="90"/>
        <v>9.9359999999999999</v>
      </c>
      <c r="G248">
        <f t="shared" si="91"/>
        <v>0.21600000000000003</v>
      </c>
      <c r="H248">
        <f t="shared" si="92"/>
        <v>36.288000000000004</v>
      </c>
      <c r="I248">
        <f t="shared" si="93"/>
        <v>302.40000000000003</v>
      </c>
      <c r="J248">
        <f t="shared" si="94"/>
        <v>216</v>
      </c>
      <c r="K248">
        <f t="shared" si="95"/>
        <v>25.92</v>
      </c>
      <c r="L248">
        <f t="shared" si="96"/>
        <v>2.3889600000000004</v>
      </c>
      <c r="M248">
        <f t="shared" si="97"/>
        <v>2.2982400000000003</v>
      </c>
      <c r="N248">
        <f t="shared" si="98"/>
        <v>1.6632000000000002</v>
      </c>
      <c r="O248">
        <f t="shared" si="99"/>
        <v>1.6863247058823534</v>
      </c>
      <c r="P248">
        <f t="shared" si="100"/>
        <v>1.4514038876889852</v>
      </c>
      <c r="Q248">
        <f t="shared" si="101"/>
        <v>50.400000000000006</v>
      </c>
      <c r="R248">
        <f t="shared" si="102"/>
        <v>144</v>
      </c>
      <c r="S248">
        <f t="shared" si="103"/>
        <v>190.07999999999998</v>
      </c>
      <c r="T248">
        <f t="shared" si="104"/>
        <v>25.92</v>
      </c>
      <c r="U248">
        <f>I248*E248/'[1]Inverter Analysis'!$L$2</f>
        <v>86.957066772308096</v>
      </c>
      <c r="V248">
        <f t="shared" si="105"/>
        <v>370.37037037037038</v>
      </c>
      <c r="W248">
        <f t="shared" si="106"/>
        <v>420.8754208754209</v>
      </c>
      <c r="X248">
        <f t="shared" si="107"/>
        <v>264.5502645502645</v>
      </c>
      <c r="Y248">
        <f t="shared" si="108"/>
        <v>1.0628167193823761</v>
      </c>
      <c r="Z248">
        <f t="shared" si="109"/>
        <v>0.46743713279999993</v>
      </c>
    </row>
    <row r="249" spans="1:26" hidden="1">
      <c r="A249">
        <v>11</v>
      </c>
      <c r="B249">
        <v>2</v>
      </c>
      <c r="C249">
        <v>6</v>
      </c>
      <c r="D249">
        <f t="shared" si="88"/>
        <v>280</v>
      </c>
      <c r="E249">
        <f t="shared" si="89"/>
        <v>120</v>
      </c>
      <c r="F249">
        <f t="shared" si="90"/>
        <v>9.1080000000000005</v>
      </c>
      <c r="G249">
        <f t="shared" si="91"/>
        <v>0.19800000000000001</v>
      </c>
      <c r="H249">
        <f t="shared" si="92"/>
        <v>33.264000000000003</v>
      </c>
      <c r="I249">
        <f t="shared" si="93"/>
        <v>277.2</v>
      </c>
      <c r="J249">
        <f t="shared" si="94"/>
        <v>198</v>
      </c>
      <c r="K249">
        <f t="shared" si="95"/>
        <v>23.76</v>
      </c>
      <c r="L249">
        <f t="shared" si="96"/>
        <v>2.18988</v>
      </c>
      <c r="M249">
        <f t="shared" si="97"/>
        <v>2.1067199999999997</v>
      </c>
      <c r="N249">
        <f t="shared" si="98"/>
        <v>1.5246</v>
      </c>
      <c r="O249">
        <f t="shared" si="99"/>
        <v>1.5457976470588237</v>
      </c>
      <c r="P249">
        <f t="shared" si="100"/>
        <v>1.3304535637149026</v>
      </c>
      <c r="Q249">
        <f t="shared" si="101"/>
        <v>46.199999999999996</v>
      </c>
      <c r="R249">
        <f t="shared" si="102"/>
        <v>132</v>
      </c>
      <c r="S249">
        <f t="shared" si="103"/>
        <v>174.24</v>
      </c>
      <c r="T249">
        <f t="shared" si="104"/>
        <v>23.76</v>
      </c>
      <c r="U249">
        <f>I249*E249/'[1]Inverter Analysis'!$L$2</f>
        <v>79.710644541282406</v>
      </c>
      <c r="V249">
        <f t="shared" si="105"/>
        <v>404.04040404040404</v>
      </c>
      <c r="W249">
        <f t="shared" si="106"/>
        <v>459.1368227731864</v>
      </c>
      <c r="X249">
        <f t="shared" si="107"/>
        <v>288.60028860028859</v>
      </c>
      <c r="Y249">
        <f t="shared" si="108"/>
        <v>1.2648397321575382</v>
      </c>
      <c r="Z249">
        <f t="shared" si="109"/>
        <v>0.36004561560000009</v>
      </c>
    </row>
    <row r="250" spans="1:26" hidden="1">
      <c r="A250">
        <v>10</v>
      </c>
      <c r="B250">
        <v>2</v>
      </c>
      <c r="C250">
        <v>6</v>
      </c>
      <c r="D250">
        <f t="shared" si="88"/>
        <v>280</v>
      </c>
      <c r="E250">
        <f t="shared" si="89"/>
        <v>120</v>
      </c>
      <c r="F250">
        <f t="shared" si="90"/>
        <v>8.2799999999999994</v>
      </c>
      <c r="G250">
        <f t="shared" si="91"/>
        <v>0.18</v>
      </c>
      <c r="H250">
        <f t="shared" si="92"/>
        <v>30.24</v>
      </c>
      <c r="I250">
        <f t="shared" si="93"/>
        <v>252</v>
      </c>
      <c r="J250">
        <f t="shared" si="94"/>
        <v>180</v>
      </c>
      <c r="K250">
        <f t="shared" si="95"/>
        <v>21.6</v>
      </c>
      <c r="L250">
        <f t="shared" si="96"/>
        <v>1.9908000000000001</v>
      </c>
      <c r="M250">
        <f t="shared" si="97"/>
        <v>1.9151999999999998</v>
      </c>
      <c r="N250">
        <f t="shared" si="98"/>
        <v>1.3859999999999999</v>
      </c>
      <c r="O250">
        <f t="shared" si="99"/>
        <v>1.4052705882352943</v>
      </c>
      <c r="P250">
        <f t="shared" si="100"/>
        <v>1.2095032397408207</v>
      </c>
      <c r="Q250">
        <f t="shared" si="101"/>
        <v>42</v>
      </c>
      <c r="R250">
        <f t="shared" si="102"/>
        <v>120</v>
      </c>
      <c r="S250">
        <f t="shared" si="103"/>
        <v>158.4</v>
      </c>
      <c r="T250">
        <f t="shared" si="104"/>
        <v>21.599999999999998</v>
      </c>
      <c r="U250">
        <f>I250*E250/'[1]Inverter Analysis'!$L$2</f>
        <v>72.46422231025673</v>
      </c>
      <c r="V250">
        <f t="shared" si="105"/>
        <v>444.44444444444446</v>
      </c>
      <c r="W250">
        <f t="shared" si="106"/>
        <v>505.05050505050502</v>
      </c>
      <c r="X250">
        <f t="shared" si="107"/>
        <v>317.46031746031747</v>
      </c>
      <c r="Y250">
        <f t="shared" si="108"/>
        <v>1.5304560759106212</v>
      </c>
      <c r="Z250">
        <f t="shared" si="109"/>
        <v>0.27050760000000001</v>
      </c>
    </row>
  </sheetData>
  <autoFilter ref="A5:Z250" xr:uid="{98BED2EC-4108-47BD-8BDB-0B1ED71A6BD4}">
    <filterColumn colId="0">
      <filters>
        <filter val="14"/>
      </filters>
    </filterColumn>
    <filterColumn colId="1">
      <filters>
        <filter val="3"/>
      </filters>
    </filterColumn>
    <sortState xmlns:xlrd2="http://schemas.microsoft.com/office/spreadsheetml/2017/richdata2" ref="A6:Z201">
      <sortCondition descending="1" ref="C5"/>
    </sortState>
  </autoFilter>
  <mergeCells count="1">
    <mergeCell ref="Q1:S1"/>
  </mergeCells>
  <conditionalFormatting sqref="H6:H1048576">
    <cfRule type="cellIs" dxfId="23" priority="2" operator="between">
      <formula>70</formula>
      <formula>85</formula>
    </cfRule>
    <cfRule type="cellIs" dxfId="22" priority="3" operator="lessThan">
      <formula>70</formula>
    </cfRule>
    <cfRule type="cellIs" dxfId="21" priority="4" operator="greaterThan">
      <formula>85</formula>
    </cfRule>
  </conditionalFormatting>
  <conditionalFormatting sqref="I6:I344">
    <cfRule type="cellIs" dxfId="20" priority="1" operator="greaterThan">
      <formula>600</formula>
    </cfRule>
  </conditionalFormatting>
  <conditionalFormatting sqref="I5:K1048576">
    <cfRule type="cellIs" dxfId="19" priority="7" operator="between">
      <formula>400</formula>
      <formula>600</formula>
    </cfRule>
    <cfRule type="cellIs" dxfId="18" priority="8" operator="lessThan">
      <formula>400</formula>
    </cfRule>
  </conditionalFormatting>
  <conditionalFormatting sqref="Q6:Q250">
    <cfRule type="cellIs" dxfId="17" priority="5" operator="lessThan">
      <formula>60</formula>
    </cfRule>
    <cfRule type="cellIs" dxfId="16" priority="6" operator="greaterThan">
      <formula>60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403A-E40E-452F-9BD1-233309246C03}">
  <dimension ref="A1:Z250"/>
  <sheetViews>
    <sheetView workbookViewId="0">
      <selection activeCell="O28" sqref="O28"/>
    </sheetView>
  </sheetViews>
  <sheetFormatPr defaultRowHeight="15"/>
  <sheetData>
    <row r="1" spans="1:26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6" t="s">
        <v>36</v>
      </c>
      <c r="R1" s="26"/>
      <c r="S1" s="26"/>
    </row>
    <row r="2" spans="1:26">
      <c r="A2" s="1" t="s">
        <v>37</v>
      </c>
      <c r="B2" s="1" t="s">
        <v>38</v>
      </c>
      <c r="C2" s="1" t="s">
        <v>39</v>
      </c>
      <c r="D2" s="1"/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3</v>
      </c>
      <c r="K2" s="1" t="s">
        <v>45</v>
      </c>
      <c r="L2" s="1" t="s">
        <v>46</v>
      </c>
      <c r="M2" s="1" t="s">
        <v>47</v>
      </c>
      <c r="N2" s="1" t="s">
        <v>49</v>
      </c>
      <c r="O2" s="1" t="s">
        <v>75</v>
      </c>
      <c r="P2" s="1" t="s">
        <v>76</v>
      </c>
      <c r="Q2" s="1" t="s">
        <v>51</v>
      </c>
      <c r="R2" s="1" t="s">
        <v>52</v>
      </c>
      <c r="S2" s="1" t="s">
        <v>53</v>
      </c>
    </row>
    <row r="3" spans="1:26">
      <c r="A3" s="2" t="s">
        <v>95</v>
      </c>
      <c r="B3" s="2" t="s">
        <v>55</v>
      </c>
      <c r="C3" s="2">
        <v>21700</v>
      </c>
      <c r="D3" s="2"/>
      <c r="E3" s="2">
        <v>2024</v>
      </c>
      <c r="F3" s="2" t="s">
        <v>56</v>
      </c>
      <c r="G3" s="2" t="s">
        <v>57</v>
      </c>
      <c r="H3">
        <v>4000</v>
      </c>
      <c r="I3">
        <v>45</v>
      </c>
      <c r="J3" s="2">
        <v>160</v>
      </c>
      <c r="K3" s="2">
        <v>3</v>
      </c>
      <c r="L3" s="2">
        <v>4.2</v>
      </c>
      <c r="M3" s="2">
        <v>2.5</v>
      </c>
      <c r="N3">
        <v>3629</v>
      </c>
      <c r="O3">
        <v>3675</v>
      </c>
      <c r="P3">
        <v>2783</v>
      </c>
      <c r="Q3">
        <v>70</v>
      </c>
      <c r="R3">
        <v>4.4999999999999997E-3</v>
      </c>
      <c r="S3" s="4">
        <v>5</v>
      </c>
    </row>
    <row r="4" spans="1:26">
      <c r="A4" s="1" t="s">
        <v>58</v>
      </c>
    </row>
    <row r="5" spans="1:26">
      <c r="A5" s="3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80</v>
      </c>
      <c r="N5" s="1" t="s">
        <v>81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20</v>
      </c>
      <c r="Y5" s="1" t="s">
        <v>22</v>
      </c>
      <c r="Z5" s="1" t="s">
        <v>23</v>
      </c>
    </row>
    <row r="6" spans="1:26">
      <c r="A6" s="8">
        <v>16</v>
      </c>
      <c r="B6" s="1">
        <v>6</v>
      </c>
      <c r="C6" s="1">
        <v>12</v>
      </c>
      <c r="D6">
        <f>B6*$J$3</f>
        <v>960</v>
      </c>
      <c r="E6">
        <f>B6*$I$3</f>
        <v>270</v>
      </c>
      <c r="F6">
        <f>A6*B6*C6*$Q$3/1000</f>
        <v>80.64</v>
      </c>
      <c r="G6">
        <f>((B6*$R$3^(-1))^(-1))*A6*C6</f>
        <v>0.14399999999999999</v>
      </c>
      <c r="H6">
        <f>E6*I6/1000</f>
        <v>217.72800000000004</v>
      </c>
      <c r="I6">
        <f>A6*C6*4.2</f>
        <v>806.40000000000009</v>
      </c>
      <c r="J6">
        <f>C6*A6*$K$3</f>
        <v>576</v>
      </c>
      <c r="K6">
        <f>E6*J6/1000</f>
        <v>155.52000000000001</v>
      </c>
      <c r="L6">
        <f>$N$3/1000*I6*B6/1000</f>
        <v>17.558553600000003</v>
      </c>
      <c r="M6">
        <f>$O$3/1000*I6*B6/1000</f>
        <v>17.781119999999998</v>
      </c>
      <c r="N6">
        <f>$P$3/1000*I6*B6/1000</f>
        <v>13.465267200000001</v>
      </c>
      <c r="O6">
        <f>L6*(($L$3-$K$3)/($L$3-$M$3))</f>
        <v>12.394273129411769</v>
      </c>
      <c r="P6">
        <f>$H$3/1000*B6*I6/277.8/C6</f>
        <v>5.8056155507559408</v>
      </c>
      <c r="Q6">
        <f>I6/C6</f>
        <v>67.2</v>
      </c>
      <c r="R6">
        <f>(A6*B6*C6)</f>
        <v>1152</v>
      </c>
      <c r="S6">
        <f>J6-(G6*E6)</f>
        <v>537.12</v>
      </c>
      <c r="T6">
        <f>G6*E6</f>
        <v>38.879999999999995</v>
      </c>
      <c r="U6">
        <f>I6*E6/'[1]Inverter Analysis'!$L$2</f>
        <v>521.74240063384855</v>
      </c>
      <c r="V6">
        <f>80000/J6</f>
        <v>138.88888888888889</v>
      </c>
      <c r="W6">
        <f>80000/S6</f>
        <v>148.94250819183796</v>
      </c>
      <c r="X6">
        <f>80000/I6</f>
        <v>99.206349206349202</v>
      </c>
      <c r="Y6">
        <f>(MAX(V6:X6)^2)*$R$3/1000</f>
        <v>9.9827418359140718E-2</v>
      </c>
      <c r="Z6">
        <f>($S$3*F6/(Y6*1000))*10</f>
        <v>40.389705215999996</v>
      </c>
    </row>
    <row r="7" spans="1:26">
      <c r="A7" s="8">
        <v>15</v>
      </c>
      <c r="B7" s="1">
        <v>6</v>
      </c>
      <c r="C7" s="1">
        <v>12</v>
      </c>
      <c r="D7">
        <f t="shared" ref="D7:D70" si="0">B7*$J$3</f>
        <v>960</v>
      </c>
      <c r="E7">
        <f t="shared" ref="E7:E70" si="1">B7*$I$3</f>
        <v>270</v>
      </c>
      <c r="F7">
        <f t="shared" ref="F7:F70" si="2">A7*B7*C7*$Q$3/1000</f>
        <v>75.599999999999994</v>
      </c>
      <c r="G7">
        <f t="shared" ref="G7:G70" si="3">((B7*$R$3^(-1))^(-1))*A7*C7</f>
        <v>0.13499999999999998</v>
      </c>
      <c r="H7">
        <f t="shared" ref="H7:H70" si="4">E7*I7/1000</f>
        <v>204.12</v>
      </c>
      <c r="I7">
        <f t="shared" ref="I7:I70" si="5">A7*C7*4.2</f>
        <v>756</v>
      </c>
      <c r="J7">
        <f t="shared" ref="J7:J70" si="6">C7*A7*$K$3</f>
        <v>540</v>
      </c>
      <c r="K7">
        <f t="shared" ref="K7:K70" si="7">E7*J7/1000</f>
        <v>145.80000000000001</v>
      </c>
      <c r="L7">
        <f t="shared" ref="L7:L70" si="8">$N$3/1000*I7*B7/1000</f>
        <v>16.461144000000001</v>
      </c>
      <c r="M7">
        <f t="shared" ref="M7:M70" si="9">$O$3/1000*I7*B7/1000</f>
        <v>16.669799999999999</v>
      </c>
      <c r="N7">
        <f t="shared" ref="N7:N70" si="10">$P$3/1000*I7*B7/1000</f>
        <v>12.623687999999998</v>
      </c>
      <c r="O7">
        <f t="shared" ref="O7:O70" si="11">L7*(($L$3-$K$3)/($L$3-$M$3))</f>
        <v>11.619631058823531</v>
      </c>
      <c r="P7">
        <f t="shared" ref="P7:P70" si="12">$H$3/1000*B7*I7/277.8/C7</f>
        <v>5.4427645788336934</v>
      </c>
      <c r="Q7">
        <f t="shared" ref="Q7:Q70" si="13">I7/C7</f>
        <v>63</v>
      </c>
      <c r="R7">
        <f t="shared" ref="R7:R70" si="14">(A7*B7*C7)</f>
        <v>1080</v>
      </c>
      <c r="S7">
        <f t="shared" ref="S7:S70" si="15">J7-(G7*E7)</f>
        <v>503.55</v>
      </c>
      <c r="T7">
        <f t="shared" ref="T7:T70" si="16">G7*E7</f>
        <v>36.449999999999996</v>
      </c>
      <c r="U7">
        <f>I7*E7/'[1]Inverter Analysis'!$L$2</f>
        <v>489.13350059423294</v>
      </c>
      <c r="V7">
        <f t="shared" ref="V7:V70" si="17">80000/J7</f>
        <v>148.14814814814815</v>
      </c>
      <c r="W7">
        <f t="shared" ref="W7:W70" si="18">80000/S7</f>
        <v>158.87200873796047</v>
      </c>
      <c r="X7">
        <f t="shared" ref="X7:X70" si="19">80000/I7</f>
        <v>105.82010582010582</v>
      </c>
      <c r="Y7">
        <f t="shared" ref="Y7:Y70" si="20">(MAX(V7:X7)^2)*$R$3/1000</f>
        <v>0.11358141822195562</v>
      </c>
      <c r="Z7">
        <f t="shared" ref="Z7:Z70" si="21">($S$3*F7/(Y7*1000))*10</f>
        <v>33.28009157812501</v>
      </c>
    </row>
    <row r="8" spans="1:26">
      <c r="A8">
        <v>14</v>
      </c>
      <c r="B8" s="1">
        <v>6</v>
      </c>
      <c r="C8" s="1">
        <v>12</v>
      </c>
      <c r="D8">
        <f t="shared" si="0"/>
        <v>960</v>
      </c>
      <c r="E8">
        <f t="shared" si="1"/>
        <v>270</v>
      </c>
      <c r="F8">
        <f t="shared" si="2"/>
        <v>70.56</v>
      </c>
      <c r="G8">
        <f t="shared" si="3"/>
        <v>0.126</v>
      </c>
      <c r="H8">
        <f t="shared" si="4"/>
        <v>190.512</v>
      </c>
      <c r="I8">
        <f t="shared" si="5"/>
        <v>705.6</v>
      </c>
      <c r="J8">
        <f t="shared" si="6"/>
        <v>504</v>
      </c>
      <c r="K8">
        <f t="shared" si="7"/>
        <v>136.08000000000001</v>
      </c>
      <c r="L8">
        <f t="shared" si="8"/>
        <v>15.363734400000002</v>
      </c>
      <c r="M8">
        <f t="shared" si="9"/>
        <v>15.558479999999999</v>
      </c>
      <c r="N8">
        <f t="shared" si="10"/>
        <v>11.7821088</v>
      </c>
      <c r="O8">
        <f t="shared" si="11"/>
        <v>10.844988988235297</v>
      </c>
      <c r="P8">
        <f t="shared" si="12"/>
        <v>5.0799136069114477</v>
      </c>
      <c r="Q8">
        <f t="shared" si="13"/>
        <v>58.800000000000004</v>
      </c>
      <c r="R8">
        <f t="shared" si="14"/>
        <v>1008</v>
      </c>
      <c r="S8">
        <f t="shared" si="15"/>
        <v>469.98</v>
      </c>
      <c r="T8">
        <f t="shared" si="16"/>
        <v>34.020000000000003</v>
      </c>
      <c r="U8">
        <f>I8*E8/'[1]Inverter Analysis'!$L$2</f>
        <v>456.52460055461745</v>
      </c>
      <c r="V8">
        <f t="shared" si="17"/>
        <v>158.73015873015873</v>
      </c>
      <c r="W8">
        <f t="shared" si="18"/>
        <v>170.22000936210051</v>
      </c>
      <c r="X8">
        <f t="shared" si="19"/>
        <v>113.37868480725623</v>
      </c>
      <c r="Y8">
        <f t="shared" si="20"/>
        <v>0.13038683214255112</v>
      </c>
      <c r="Z8">
        <f t="shared" si="21"/>
        <v>27.057947049000003</v>
      </c>
    </row>
    <row r="9" spans="1:26">
      <c r="A9">
        <v>13</v>
      </c>
      <c r="B9" s="1">
        <v>6</v>
      </c>
      <c r="C9" s="1">
        <v>12</v>
      </c>
      <c r="D9">
        <f t="shared" si="0"/>
        <v>960</v>
      </c>
      <c r="E9">
        <f t="shared" si="1"/>
        <v>270</v>
      </c>
      <c r="F9">
        <f t="shared" si="2"/>
        <v>65.52</v>
      </c>
      <c r="G9">
        <f t="shared" si="3"/>
        <v>0.11699999999999998</v>
      </c>
      <c r="H9">
        <f t="shared" si="4"/>
        <v>176.904</v>
      </c>
      <c r="I9">
        <f t="shared" si="5"/>
        <v>655.20000000000005</v>
      </c>
      <c r="J9">
        <f t="shared" si="6"/>
        <v>468</v>
      </c>
      <c r="K9">
        <f t="shared" si="7"/>
        <v>126.36</v>
      </c>
      <c r="L9">
        <f t="shared" si="8"/>
        <v>14.2663248</v>
      </c>
      <c r="M9">
        <f t="shared" si="9"/>
        <v>14.44716</v>
      </c>
      <c r="N9">
        <f t="shared" si="10"/>
        <v>10.940529600000001</v>
      </c>
      <c r="O9">
        <f t="shared" si="11"/>
        <v>10.070346917647059</v>
      </c>
      <c r="P9">
        <f t="shared" si="12"/>
        <v>4.7170626349892011</v>
      </c>
      <c r="Q9">
        <f t="shared" si="13"/>
        <v>54.6</v>
      </c>
      <c r="R9">
        <f t="shared" si="14"/>
        <v>936</v>
      </c>
      <c r="S9">
        <f t="shared" si="15"/>
        <v>436.41</v>
      </c>
      <c r="T9">
        <f t="shared" si="16"/>
        <v>31.589999999999993</v>
      </c>
      <c r="U9">
        <f>I9*E9/'[1]Inverter Analysis'!$L$2</f>
        <v>423.9157005150019</v>
      </c>
      <c r="V9">
        <f t="shared" si="17"/>
        <v>170.94017094017093</v>
      </c>
      <c r="W9">
        <f t="shared" si="18"/>
        <v>183.31385623610822</v>
      </c>
      <c r="X9">
        <f t="shared" si="19"/>
        <v>122.10012210012209</v>
      </c>
      <c r="Y9">
        <f t="shared" si="20"/>
        <v>0.15121786449668648</v>
      </c>
      <c r="Z9">
        <f t="shared" si="21"/>
        <v>21.664107021375006</v>
      </c>
    </row>
    <row r="10" spans="1:26">
      <c r="A10">
        <v>12</v>
      </c>
      <c r="B10" s="1">
        <v>6</v>
      </c>
      <c r="C10" s="1">
        <v>12</v>
      </c>
      <c r="D10">
        <f t="shared" si="0"/>
        <v>960</v>
      </c>
      <c r="E10">
        <f t="shared" si="1"/>
        <v>270</v>
      </c>
      <c r="F10">
        <f t="shared" si="2"/>
        <v>60.48</v>
      </c>
      <c r="G10">
        <f t="shared" si="3"/>
        <v>0.10799999999999998</v>
      </c>
      <c r="H10">
        <f t="shared" si="4"/>
        <v>163.29600000000002</v>
      </c>
      <c r="I10">
        <f t="shared" si="5"/>
        <v>604.80000000000007</v>
      </c>
      <c r="J10">
        <f t="shared" si="6"/>
        <v>432</v>
      </c>
      <c r="K10">
        <f t="shared" si="7"/>
        <v>116.64</v>
      </c>
      <c r="L10">
        <f t="shared" si="8"/>
        <v>13.168915200000002</v>
      </c>
      <c r="M10">
        <f t="shared" si="9"/>
        <v>13.335840000000003</v>
      </c>
      <c r="N10">
        <f t="shared" si="10"/>
        <v>10.0989504</v>
      </c>
      <c r="O10">
        <f t="shared" si="11"/>
        <v>9.2957048470588255</v>
      </c>
      <c r="P10">
        <f t="shared" si="12"/>
        <v>4.3542116630669545</v>
      </c>
      <c r="Q10">
        <f t="shared" si="13"/>
        <v>50.400000000000006</v>
      </c>
      <c r="R10">
        <f t="shared" si="14"/>
        <v>864</v>
      </c>
      <c r="S10">
        <f t="shared" si="15"/>
        <v>402.84000000000003</v>
      </c>
      <c r="T10">
        <f t="shared" si="16"/>
        <v>29.159999999999997</v>
      </c>
      <c r="U10">
        <f>I10*E10/'[1]Inverter Analysis'!$L$2</f>
        <v>391.30680047538641</v>
      </c>
      <c r="V10">
        <f t="shared" si="17"/>
        <v>185.18518518518519</v>
      </c>
      <c r="W10">
        <f t="shared" si="18"/>
        <v>198.59001092245057</v>
      </c>
      <c r="X10">
        <f t="shared" si="19"/>
        <v>132.27513227513225</v>
      </c>
      <c r="Y10">
        <f t="shared" si="20"/>
        <v>0.17747096597180567</v>
      </c>
      <c r="Z10">
        <f t="shared" si="21"/>
        <v>17.039406888000002</v>
      </c>
    </row>
    <row r="11" spans="1:26">
      <c r="A11">
        <v>11</v>
      </c>
      <c r="B11" s="1">
        <v>6</v>
      </c>
      <c r="C11" s="1">
        <v>12</v>
      </c>
      <c r="D11">
        <f t="shared" si="0"/>
        <v>960</v>
      </c>
      <c r="E11">
        <f t="shared" si="1"/>
        <v>270</v>
      </c>
      <c r="F11">
        <f t="shared" si="2"/>
        <v>55.44</v>
      </c>
      <c r="G11">
        <f t="shared" si="3"/>
        <v>9.8999999999999977E-2</v>
      </c>
      <c r="H11">
        <f t="shared" si="4"/>
        <v>149.68799999999999</v>
      </c>
      <c r="I11">
        <f t="shared" si="5"/>
        <v>554.4</v>
      </c>
      <c r="J11">
        <f t="shared" si="6"/>
        <v>396</v>
      </c>
      <c r="K11">
        <f t="shared" si="7"/>
        <v>106.92</v>
      </c>
      <c r="L11">
        <f t="shared" si="8"/>
        <v>12.0715056</v>
      </c>
      <c r="M11">
        <f t="shared" si="9"/>
        <v>12.224519999999998</v>
      </c>
      <c r="N11">
        <f t="shared" si="10"/>
        <v>9.2573711999999997</v>
      </c>
      <c r="O11">
        <f t="shared" si="11"/>
        <v>8.521062776470588</v>
      </c>
      <c r="P11">
        <f t="shared" si="12"/>
        <v>3.9913606911447079</v>
      </c>
      <c r="Q11">
        <f t="shared" si="13"/>
        <v>46.199999999999996</v>
      </c>
      <c r="R11">
        <f t="shared" si="14"/>
        <v>792</v>
      </c>
      <c r="S11">
        <f t="shared" si="15"/>
        <v>369.27</v>
      </c>
      <c r="T11">
        <f t="shared" si="16"/>
        <v>26.729999999999993</v>
      </c>
      <c r="U11">
        <f>I11*E11/'[1]Inverter Analysis'!$L$2</f>
        <v>358.69790043577086</v>
      </c>
      <c r="V11">
        <f t="shared" si="17"/>
        <v>202.02020202020202</v>
      </c>
      <c r="W11">
        <f t="shared" si="18"/>
        <v>216.64364827903702</v>
      </c>
      <c r="X11">
        <f t="shared" si="19"/>
        <v>144.3001443001443</v>
      </c>
      <c r="Y11">
        <f t="shared" si="20"/>
        <v>0.21120511652842996</v>
      </c>
      <c r="Z11">
        <f t="shared" si="21"/>
        <v>13.124682041625</v>
      </c>
    </row>
    <row r="12" spans="1:26">
      <c r="A12">
        <v>10</v>
      </c>
      <c r="B12" s="1">
        <v>6</v>
      </c>
      <c r="C12" s="1">
        <v>12</v>
      </c>
      <c r="D12">
        <f t="shared" si="0"/>
        <v>960</v>
      </c>
      <c r="E12">
        <f t="shared" si="1"/>
        <v>270</v>
      </c>
      <c r="F12">
        <f t="shared" si="2"/>
        <v>50.4</v>
      </c>
      <c r="G12">
        <f t="shared" si="3"/>
        <v>8.9999999999999983E-2</v>
      </c>
      <c r="H12">
        <f t="shared" si="4"/>
        <v>136.08000000000001</v>
      </c>
      <c r="I12">
        <f t="shared" si="5"/>
        <v>504</v>
      </c>
      <c r="J12">
        <f t="shared" si="6"/>
        <v>360</v>
      </c>
      <c r="K12">
        <f t="shared" si="7"/>
        <v>97.2</v>
      </c>
      <c r="L12">
        <f t="shared" si="8"/>
        <v>10.974096000000001</v>
      </c>
      <c r="M12">
        <f t="shared" si="9"/>
        <v>11.113199999999999</v>
      </c>
      <c r="N12">
        <f t="shared" si="10"/>
        <v>8.4157920000000015</v>
      </c>
      <c r="O12">
        <f t="shared" si="11"/>
        <v>7.746420705882354</v>
      </c>
      <c r="P12">
        <f t="shared" si="12"/>
        <v>3.6285097192224622</v>
      </c>
      <c r="Q12">
        <f t="shared" si="13"/>
        <v>42</v>
      </c>
      <c r="R12">
        <f t="shared" si="14"/>
        <v>720</v>
      </c>
      <c r="S12">
        <f t="shared" si="15"/>
        <v>335.7</v>
      </c>
      <c r="T12">
        <f t="shared" si="16"/>
        <v>24.299999999999994</v>
      </c>
      <c r="U12">
        <f>I12*E12/'[1]Inverter Analysis'!$L$2</f>
        <v>326.08900039615531</v>
      </c>
      <c r="V12">
        <f t="shared" si="17"/>
        <v>222.22222222222223</v>
      </c>
      <c r="W12">
        <f t="shared" si="18"/>
        <v>238.30801310694073</v>
      </c>
      <c r="X12">
        <f t="shared" si="19"/>
        <v>158.73015873015873</v>
      </c>
      <c r="Y12">
        <f t="shared" si="20"/>
        <v>0.25555819099940025</v>
      </c>
      <c r="Z12">
        <f t="shared" si="21"/>
        <v>9.8607678749999987</v>
      </c>
    </row>
    <row r="13" spans="1:26">
      <c r="A13" s="8">
        <v>16</v>
      </c>
      <c r="B13" s="9">
        <v>5</v>
      </c>
      <c r="C13" s="9">
        <v>12</v>
      </c>
      <c r="D13">
        <f t="shared" si="0"/>
        <v>800</v>
      </c>
      <c r="E13">
        <f t="shared" si="1"/>
        <v>225</v>
      </c>
      <c r="F13">
        <f t="shared" si="2"/>
        <v>67.2</v>
      </c>
      <c r="G13">
        <f t="shared" si="3"/>
        <v>0.17280000000000001</v>
      </c>
      <c r="H13">
        <f t="shared" si="4"/>
        <v>181.44000000000003</v>
      </c>
      <c r="I13">
        <f t="shared" si="5"/>
        <v>806.40000000000009</v>
      </c>
      <c r="J13">
        <f t="shared" si="6"/>
        <v>576</v>
      </c>
      <c r="K13">
        <f t="shared" si="7"/>
        <v>129.6</v>
      </c>
      <c r="L13">
        <f t="shared" si="8"/>
        <v>14.632128000000002</v>
      </c>
      <c r="M13">
        <f t="shared" si="9"/>
        <v>14.817600000000001</v>
      </c>
      <c r="N13">
        <f t="shared" si="10"/>
        <v>11.221056000000001</v>
      </c>
      <c r="O13">
        <f t="shared" si="11"/>
        <v>10.328560941176473</v>
      </c>
      <c r="P13">
        <f t="shared" si="12"/>
        <v>4.8380129589632839</v>
      </c>
      <c r="Q13">
        <f t="shared" si="13"/>
        <v>67.2</v>
      </c>
      <c r="R13">
        <f t="shared" si="14"/>
        <v>960</v>
      </c>
      <c r="S13">
        <f t="shared" si="15"/>
        <v>537.12</v>
      </c>
      <c r="T13">
        <f t="shared" si="16"/>
        <v>38.880000000000003</v>
      </c>
      <c r="U13">
        <f>I13*E13/'[1]Inverter Analysis'!$L$2</f>
        <v>434.78533386154049</v>
      </c>
      <c r="V13">
        <f t="shared" si="17"/>
        <v>138.88888888888889</v>
      </c>
      <c r="W13">
        <f t="shared" si="18"/>
        <v>148.94250819183796</v>
      </c>
      <c r="X13">
        <f t="shared" si="19"/>
        <v>99.206349206349202</v>
      </c>
      <c r="Y13">
        <f t="shared" si="20"/>
        <v>9.9827418359140718E-2</v>
      </c>
      <c r="Z13">
        <f t="shared" si="21"/>
        <v>33.658087680000001</v>
      </c>
    </row>
    <row r="14" spans="1:26">
      <c r="A14" s="8">
        <v>15</v>
      </c>
      <c r="B14" s="9">
        <v>5</v>
      </c>
      <c r="C14" s="9">
        <v>12</v>
      </c>
      <c r="D14">
        <f t="shared" si="0"/>
        <v>800</v>
      </c>
      <c r="E14">
        <f t="shared" si="1"/>
        <v>225</v>
      </c>
      <c r="F14">
        <f t="shared" si="2"/>
        <v>63</v>
      </c>
      <c r="G14">
        <f t="shared" si="3"/>
        <v>0.16200000000000001</v>
      </c>
      <c r="H14">
        <f t="shared" si="4"/>
        <v>170.1</v>
      </c>
      <c r="I14">
        <f t="shared" si="5"/>
        <v>756</v>
      </c>
      <c r="J14">
        <f t="shared" si="6"/>
        <v>540</v>
      </c>
      <c r="K14">
        <f t="shared" si="7"/>
        <v>121.5</v>
      </c>
      <c r="L14">
        <f t="shared" si="8"/>
        <v>13.717619999999998</v>
      </c>
      <c r="M14">
        <f t="shared" si="9"/>
        <v>13.891499999999999</v>
      </c>
      <c r="N14">
        <f t="shared" si="10"/>
        <v>10.519740000000001</v>
      </c>
      <c r="O14">
        <f t="shared" si="11"/>
        <v>9.6830258823529398</v>
      </c>
      <c r="P14">
        <f t="shared" si="12"/>
        <v>4.5356371490280774</v>
      </c>
      <c r="Q14">
        <f t="shared" si="13"/>
        <v>63</v>
      </c>
      <c r="R14">
        <f t="shared" si="14"/>
        <v>900</v>
      </c>
      <c r="S14">
        <f t="shared" si="15"/>
        <v>503.55</v>
      </c>
      <c r="T14">
        <f t="shared" si="16"/>
        <v>36.450000000000003</v>
      </c>
      <c r="U14">
        <f>I14*E14/'[1]Inverter Analysis'!$L$2</f>
        <v>407.61125049519416</v>
      </c>
      <c r="V14">
        <f t="shared" si="17"/>
        <v>148.14814814814815</v>
      </c>
      <c r="W14">
        <f t="shared" si="18"/>
        <v>158.87200873796047</v>
      </c>
      <c r="X14">
        <f t="shared" si="19"/>
        <v>105.82010582010582</v>
      </c>
      <c r="Y14">
        <f t="shared" si="20"/>
        <v>0.11358141822195562</v>
      </c>
      <c r="Z14">
        <f t="shared" si="21"/>
        <v>27.733409648437508</v>
      </c>
    </row>
    <row r="15" spans="1:26">
      <c r="A15">
        <v>14</v>
      </c>
      <c r="B15" s="9">
        <v>5</v>
      </c>
      <c r="C15">
        <v>12</v>
      </c>
      <c r="D15">
        <f t="shared" si="0"/>
        <v>800</v>
      </c>
      <c r="E15">
        <f t="shared" si="1"/>
        <v>225</v>
      </c>
      <c r="F15">
        <f t="shared" si="2"/>
        <v>58.8</v>
      </c>
      <c r="G15">
        <f t="shared" si="3"/>
        <v>0.1512</v>
      </c>
      <c r="H15">
        <f t="shared" si="4"/>
        <v>158.76</v>
      </c>
      <c r="I15">
        <f t="shared" si="5"/>
        <v>705.6</v>
      </c>
      <c r="J15">
        <f t="shared" si="6"/>
        <v>504</v>
      </c>
      <c r="K15">
        <f t="shared" si="7"/>
        <v>113.4</v>
      </c>
      <c r="L15">
        <f t="shared" si="8"/>
        <v>12.803112</v>
      </c>
      <c r="M15">
        <f t="shared" si="9"/>
        <v>12.965399999999999</v>
      </c>
      <c r="N15">
        <f t="shared" si="10"/>
        <v>9.8184239999999985</v>
      </c>
      <c r="O15">
        <f t="shared" si="11"/>
        <v>9.0374908235294136</v>
      </c>
      <c r="P15">
        <f t="shared" si="12"/>
        <v>4.2332613390928726</v>
      </c>
      <c r="Q15">
        <f t="shared" si="13"/>
        <v>58.800000000000004</v>
      </c>
      <c r="R15">
        <f t="shared" si="14"/>
        <v>840</v>
      </c>
      <c r="S15">
        <f t="shared" si="15"/>
        <v>469.98</v>
      </c>
      <c r="T15">
        <f t="shared" si="16"/>
        <v>34.020000000000003</v>
      </c>
      <c r="U15">
        <f>I15*E15/'[1]Inverter Analysis'!$L$2</f>
        <v>380.43716712884788</v>
      </c>
      <c r="V15">
        <f t="shared" si="17"/>
        <v>158.73015873015873</v>
      </c>
      <c r="W15">
        <f t="shared" si="18"/>
        <v>170.22000936210051</v>
      </c>
      <c r="X15">
        <f t="shared" si="19"/>
        <v>113.37868480725623</v>
      </c>
      <c r="Y15">
        <f t="shared" si="20"/>
        <v>0.13038683214255112</v>
      </c>
      <c r="Z15">
        <f t="shared" si="21"/>
        <v>22.548289207500002</v>
      </c>
    </row>
    <row r="16" spans="1:26">
      <c r="A16">
        <v>13</v>
      </c>
      <c r="B16" s="9">
        <v>5</v>
      </c>
      <c r="C16">
        <v>12</v>
      </c>
      <c r="D16">
        <f t="shared" si="0"/>
        <v>800</v>
      </c>
      <c r="E16">
        <f t="shared" si="1"/>
        <v>225</v>
      </c>
      <c r="F16">
        <f t="shared" si="2"/>
        <v>54.6</v>
      </c>
      <c r="G16">
        <f t="shared" si="3"/>
        <v>0.1404</v>
      </c>
      <c r="H16">
        <f t="shared" si="4"/>
        <v>147.41999999999999</v>
      </c>
      <c r="I16">
        <f t="shared" si="5"/>
        <v>655.20000000000005</v>
      </c>
      <c r="J16">
        <f t="shared" si="6"/>
        <v>468</v>
      </c>
      <c r="K16">
        <f t="shared" si="7"/>
        <v>105.3</v>
      </c>
      <c r="L16">
        <f t="shared" si="8"/>
        <v>11.888603999999999</v>
      </c>
      <c r="M16">
        <f t="shared" si="9"/>
        <v>12.039300000000001</v>
      </c>
      <c r="N16">
        <f t="shared" si="10"/>
        <v>9.117108</v>
      </c>
      <c r="O16">
        <f t="shared" si="11"/>
        <v>8.391955764705882</v>
      </c>
      <c r="P16">
        <f t="shared" si="12"/>
        <v>3.930885529157667</v>
      </c>
      <c r="Q16">
        <f t="shared" si="13"/>
        <v>54.6</v>
      </c>
      <c r="R16">
        <f t="shared" si="14"/>
        <v>780</v>
      </c>
      <c r="S16">
        <f t="shared" si="15"/>
        <v>436.41</v>
      </c>
      <c r="T16">
        <f t="shared" si="16"/>
        <v>31.59</v>
      </c>
      <c r="U16">
        <f>I16*E16/'[1]Inverter Analysis'!$L$2</f>
        <v>353.26308376250159</v>
      </c>
      <c r="V16">
        <f t="shared" si="17"/>
        <v>170.94017094017093</v>
      </c>
      <c r="W16">
        <f t="shared" si="18"/>
        <v>183.31385623610822</v>
      </c>
      <c r="X16">
        <f t="shared" si="19"/>
        <v>122.10012210012209</v>
      </c>
      <c r="Y16">
        <f t="shared" si="20"/>
        <v>0.15121786449668648</v>
      </c>
      <c r="Z16">
        <f t="shared" si="21"/>
        <v>18.053422517812507</v>
      </c>
    </row>
    <row r="17" spans="1:26">
      <c r="A17">
        <v>12</v>
      </c>
      <c r="B17" s="9">
        <v>5</v>
      </c>
      <c r="C17">
        <v>12</v>
      </c>
      <c r="D17">
        <f t="shared" si="0"/>
        <v>800</v>
      </c>
      <c r="E17">
        <f t="shared" si="1"/>
        <v>225</v>
      </c>
      <c r="F17">
        <f t="shared" si="2"/>
        <v>50.4</v>
      </c>
      <c r="G17">
        <f t="shared" si="3"/>
        <v>0.12959999999999999</v>
      </c>
      <c r="H17">
        <f t="shared" si="4"/>
        <v>136.08000000000004</v>
      </c>
      <c r="I17">
        <f t="shared" si="5"/>
        <v>604.80000000000007</v>
      </c>
      <c r="J17">
        <f t="shared" si="6"/>
        <v>432</v>
      </c>
      <c r="K17">
        <f t="shared" si="7"/>
        <v>97.2</v>
      </c>
      <c r="L17">
        <f t="shared" si="8"/>
        <v>10.974096000000001</v>
      </c>
      <c r="M17">
        <f t="shared" si="9"/>
        <v>11.113200000000001</v>
      </c>
      <c r="N17">
        <f t="shared" si="10"/>
        <v>8.4157919999999997</v>
      </c>
      <c r="O17">
        <f t="shared" si="11"/>
        <v>7.746420705882354</v>
      </c>
      <c r="P17">
        <f t="shared" si="12"/>
        <v>3.6285097192224627</v>
      </c>
      <c r="Q17">
        <f t="shared" si="13"/>
        <v>50.400000000000006</v>
      </c>
      <c r="R17">
        <f t="shared" si="14"/>
        <v>720</v>
      </c>
      <c r="S17">
        <f t="shared" si="15"/>
        <v>402.84</v>
      </c>
      <c r="T17">
        <f t="shared" si="16"/>
        <v>29.16</v>
      </c>
      <c r="U17">
        <f>I17*E17/'[1]Inverter Analysis'!$L$2</f>
        <v>326.08900039615537</v>
      </c>
      <c r="V17">
        <f t="shared" si="17"/>
        <v>185.18518518518519</v>
      </c>
      <c r="W17">
        <f t="shared" si="18"/>
        <v>198.5900109224506</v>
      </c>
      <c r="X17">
        <f t="shared" si="19"/>
        <v>132.27513227513225</v>
      </c>
      <c r="Y17">
        <f t="shared" si="20"/>
        <v>0.1774709659718057</v>
      </c>
      <c r="Z17">
        <f t="shared" si="21"/>
        <v>14.199505740000003</v>
      </c>
    </row>
    <row r="18" spans="1:26">
      <c r="A18">
        <v>11</v>
      </c>
      <c r="B18" s="9">
        <v>5</v>
      </c>
      <c r="C18">
        <v>12</v>
      </c>
      <c r="D18">
        <f t="shared" si="0"/>
        <v>800</v>
      </c>
      <c r="E18">
        <f t="shared" si="1"/>
        <v>225</v>
      </c>
      <c r="F18">
        <f t="shared" si="2"/>
        <v>46.2</v>
      </c>
      <c r="G18">
        <f t="shared" si="3"/>
        <v>0.11879999999999999</v>
      </c>
      <c r="H18">
        <f t="shared" si="4"/>
        <v>124.74</v>
      </c>
      <c r="I18">
        <f t="shared" si="5"/>
        <v>554.4</v>
      </c>
      <c r="J18">
        <f t="shared" si="6"/>
        <v>396</v>
      </c>
      <c r="K18">
        <f t="shared" si="7"/>
        <v>89.1</v>
      </c>
      <c r="L18">
        <f t="shared" si="8"/>
        <v>10.059588</v>
      </c>
      <c r="M18">
        <f t="shared" si="9"/>
        <v>10.187099999999999</v>
      </c>
      <c r="N18">
        <f t="shared" si="10"/>
        <v>7.7144759999999994</v>
      </c>
      <c r="O18">
        <f t="shared" si="11"/>
        <v>7.1008856470588242</v>
      </c>
      <c r="P18">
        <f t="shared" si="12"/>
        <v>3.3261339092872571</v>
      </c>
      <c r="Q18">
        <f t="shared" si="13"/>
        <v>46.199999999999996</v>
      </c>
      <c r="R18">
        <f t="shared" si="14"/>
        <v>660</v>
      </c>
      <c r="S18">
        <f t="shared" si="15"/>
        <v>369.27</v>
      </c>
      <c r="T18">
        <f t="shared" si="16"/>
        <v>26.729999999999997</v>
      </c>
      <c r="U18">
        <f>I18*E18/'[1]Inverter Analysis'!$L$2</f>
        <v>298.91491702980903</v>
      </c>
      <c r="V18">
        <f t="shared" si="17"/>
        <v>202.02020202020202</v>
      </c>
      <c r="W18">
        <f t="shared" si="18"/>
        <v>216.64364827903702</v>
      </c>
      <c r="X18">
        <f t="shared" si="19"/>
        <v>144.3001443001443</v>
      </c>
      <c r="Y18">
        <f t="shared" si="20"/>
        <v>0.21120511652842996</v>
      </c>
      <c r="Z18">
        <f t="shared" si="21"/>
        <v>10.9372350346875</v>
      </c>
    </row>
    <row r="19" spans="1:26">
      <c r="A19">
        <v>10</v>
      </c>
      <c r="B19" s="9">
        <v>5</v>
      </c>
      <c r="C19">
        <v>12</v>
      </c>
      <c r="D19">
        <f t="shared" si="0"/>
        <v>800</v>
      </c>
      <c r="E19">
        <f t="shared" si="1"/>
        <v>225</v>
      </c>
      <c r="F19">
        <f t="shared" si="2"/>
        <v>42</v>
      </c>
      <c r="G19">
        <f t="shared" si="3"/>
        <v>0.10799999999999998</v>
      </c>
      <c r="H19">
        <f t="shared" si="4"/>
        <v>113.4</v>
      </c>
      <c r="I19">
        <f t="shared" si="5"/>
        <v>504</v>
      </c>
      <c r="J19">
        <f t="shared" si="6"/>
        <v>360</v>
      </c>
      <c r="K19">
        <f t="shared" si="7"/>
        <v>81</v>
      </c>
      <c r="L19">
        <f t="shared" si="8"/>
        <v>9.1450800000000001</v>
      </c>
      <c r="M19">
        <f t="shared" si="9"/>
        <v>9.2609999999999992</v>
      </c>
      <c r="N19">
        <f t="shared" si="10"/>
        <v>7.0131600000000001</v>
      </c>
      <c r="O19">
        <f t="shared" si="11"/>
        <v>6.4553505882352944</v>
      </c>
      <c r="P19">
        <f t="shared" si="12"/>
        <v>3.0237580993520514</v>
      </c>
      <c r="Q19">
        <f t="shared" si="13"/>
        <v>42</v>
      </c>
      <c r="R19">
        <f t="shared" si="14"/>
        <v>600</v>
      </c>
      <c r="S19">
        <f t="shared" si="15"/>
        <v>335.7</v>
      </c>
      <c r="T19">
        <f t="shared" si="16"/>
        <v>24.299999999999997</v>
      </c>
      <c r="U19">
        <f>I19*E19/'[1]Inverter Analysis'!$L$2</f>
        <v>271.74083366346275</v>
      </c>
      <c r="V19">
        <f t="shared" si="17"/>
        <v>222.22222222222223</v>
      </c>
      <c r="W19">
        <f t="shared" si="18"/>
        <v>238.30801310694073</v>
      </c>
      <c r="X19">
        <f t="shared" si="19"/>
        <v>158.73015873015873</v>
      </c>
      <c r="Y19">
        <f t="shared" si="20"/>
        <v>0.25555819099940025</v>
      </c>
      <c r="Z19">
        <f t="shared" si="21"/>
        <v>8.2173065624999992</v>
      </c>
    </row>
    <row r="20" spans="1:26">
      <c r="A20">
        <v>16</v>
      </c>
      <c r="B20">
        <v>4</v>
      </c>
      <c r="C20">
        <v>12</v>
      </c>
      <c r="D20">
        <f t="shared" si="0"/>
        <v>640</v>
      </c>
      <c r="E20">
        <f t="shared" si="1"/>
        <v>180</v>
      </c>
      <c r="F20">
        <f t="shared" si="2"/>
        <v>53.76</v>
      </c>
      <c r="G20">
        <f t="shared" si="3"/>
        <v>0.21599999999999997</v>
      </c>
      <c r="H20">
        <f t="shared" si="4"/>
        <v>145.15200000000002</v>
      </c>
      <c r="I20">
        <f t="shared" si="5"/>
        <v>806.40000000000009</v>
      </c>
      <c r="J20">
        <f t="shared" si="6"/>
        <v>576</v>
      </c>
      <c r="K20">
        <f t="shared" si="7"/>
        <v>103.68</v>
      </c>
      <c r="L20">
        <f t="shared" si="8"/>
        <v>11.705702400000002</v>
      </c>
      <c r="M20">
        <f t="shared" si="9"/>
        <v>11.85408</v>
      </c>
      <c r="N20">
        <f t="shared" si="10"/>
        <v>8.9768448000000003</v>
      </c>
      <c r="O20">
        <f t="shared" si="11"/>
        <v>8.2628487529411778</v>
      </c>
      <c r="P20">
        <f t="shared" si="12"/>
        <v>3.8704103671706265</v>
      </c>
      <c r="Q20">
        <f t="shared" si="13"/>
        <v>67.2</v>
      </c>
      <c r="R20">
        <f t="shared" si="14"/>
        <v>768</v>
      </c>
      <c r="S20">
        <f t="shared" si="15"/>
        <v>537.12</v>
      </c>
      <c r="T20">
        <f t="shared" si="16"/>
        <v>38.879999999999995</v>
      </c>
      <c r="U20">
        <f>I20*E20/'[1]Inverter Analysis'!$L$2</f>
        <v>347.82826708923238</v>
      </c>
      <c r="V20">
        <f t="shared" si="17"/>
        <v>138.88888888888889</v>
      </c>
      <c r="W20">
        <f t="shared" si="18"/>
        <v>148.94250819183796</v>
      </c>
      <c r="X20">
        <f t="shared" si="19"/>
        <v>99.206349206349202</v>
      </c>
      <c r="Y20">
        <f t="shared" si="20"/>
        <v>9.9827418359140718E-2</v>
      </c>
      <c r="Z20">
        <f t="shared" si="21"/>
        <v>26.926470144</v>
      </c>
    </row>
    <row r="21" spans="1:26">
      <c r="A21">
        <v>15</v>
      </c>
      <c r="B21">
        <v>4</v>
      </c>
      <c r="C21">
        <v>12</v>
      </c>
      <c r="D21">
        <f t="shared" si="0"/>
        <v>640</v>
      </c>
      <c r="E21">
        <f t="shared" si="1"/>
        <v>180</v>
      </c>
      <c r="F21">
        <f t="shared" si="2"/>
        <v>50.4</v>
      </c>
      <c r="G21">
        <f t="shared" si="3"/>
        <v>0.20249999999999996</v>
      </c>
      <c r="H21">
        <f t="shared" si="4"/>
        <v>136.08000000000001</v>
      </c>
      <c r="I21">
        <f t="shared" si="5"/>
        <v>756</v>
      </c>
      <c r="J21">
        <f t="shared" si="6"/>
        <v>540</v>
      </c>
      <c r="K21">
        <f t="shared" si="7"/>
        <v>97.2</v>
      </c>
      <c r="L21">
        <f t="shared" si="8"/>
        <v>10.974095999999999</v>
      </c>
      <c r="M21">
        <f t="shared" si="9"/>
        <v>11.113199999999999</v>
      </c>
      <c r="N21">
        <f t="shared" si="10"/>
        <v>8.4157919999999997</v>
      </c>
      <c r="O21">
        <f t="shared" si="11"/>
        <v>7.7464207058823531</v>
      </c>
      <c r="P21">
        <f t="shared" si="12"/>
        <v>3.6285097192224622</v>
      </c>
      <c r="Q21">
        <f t="shared" si="13"/>
        <v>63</v>
      </c>
      <c r="R21">
        <f t="shared" si="14"/>
        <v>720</v>
      </c>
      <c r="S21">
        <f t="shared" si="15"/>
        <v>503.55</v>
      </c>
      <c r="T21">
        <f t="shared" si="16"/>
        <v>36.449999999999996</v>
      </c>
      <c r="U21">
        <f>I21*E21/'[1]Inverter Analysis'!$L$2</f>
        <v>326.08900039615531</v>
      </c>
      <c r="V21">
        <f t="shared" si="17"/>
        <v>148.14814814814815</v>
      </c>
      <c r="W21">
        <f t="shared" si="18"/>
        <v>158.87200873796047</v>
      </c>
      <c r="X21">
        <f t="shared" si="19"/>
        <v>105.82010582010582</v>
      </c>
      <c r="Y21">
        <f t="shared" si="20"/>
        <v>0.11358141822195562</v>
      </c>
      <c r="Z21">
        <f t="shared" si="21"/>
        <v>22.186727718750006</v>
      </c>
    </row>
    <row r="22" spans="1:26">
      <c r="A22">
        <v>14</v>
      </c>
      <c r="B22">
        <v>4</v>
      </c>
      <c r="C22">
        <v>12</v>
      </c>
      <c r="D22">
        <f t="shared" si="0"/>
        <v>640</v>
      </c>
      <c r="E22">
        <f t="shared" si="1"/>
        <v>180</v>
      </c>
      <c r="F22">
        <f t="shared" si="2"/>
        <v>47.04</v>
      </c>
      <c r="G22">
        <f t="shared" si="3"/>
        <v>0.189</v>
      </c>
      <c r="H22">
        <f t="shared" si="4"/>
        <v>127.008</v>
      </c>
      <c r="I22">
        <f t="shared" si="5"/>
        <v>705.6</v>
      </c>
      <c r="J22">
        <f t="shared" si="6"/>
        <v>504</v>
      </c>
      <c r="K22">
        <f t="shared" si="7"/>
        <v>90.72</v>
      </c>
      <c r="L22">
        <f t="shared" si="8"/>
        <v>10.242489600000001</v>
      </c>
      <c r="M22">
        <f t="shared" si="9"/>
        <v>10.37232</v>
      </c>
      <c r="N22">
        <f t="shared" si="10"/>
        <v>7.8547392</v>
      </c>
      <c r="O22">
        <f t="shared" si="11"/>
        <v>7.2299926588235301</v>
      </c>
      <c r="P22">
        <f t="shared" si="12"/>
        <v>3.386609071274298</v>
      </c>
      <c r="Q22">
        <f t="shared" si="13"/>
        <v>58.800000000000004</v>
      </c>
      <c r="R22">
        <f t="shared" si="14"/>
        <v>672</v>
      </c>
      <c r="S22">
        <f t="shared" si="15"/>
        <v>469.98</v>
      </c>
      <c r="T22">
        <f t="shared" si="16"/>
        <v>34.020000000000003</v>
      </c>
      <c r="U22">
        <f>I22*E22/'[1]Inverter Analysis'!$L$2</f>
        <v>304.3497337030783</v>
      </c>
      <c r="V22">
        <f t="shared" si="17"/>
        <v>158.73015873015873</v>
      </c>
      <c r="W22">
        <f t="shared" si="18"/>
        <v>170.22000936210051</v>
      </c>
      <c r="X22">
        <f t="shared" si="19"/>
        <v>113.37868480725623</v>
      </c>
      <c r="Y22">
        <f t="shared" si="20"/>
        <v>0.13038683214255112</v>
      </c>
      <c r="Z22">
        <f t="shared" si="21"/>
        <v>18.038631366000001</v>
      </c>
    </row>
    <row r="23" spans="1:26">
      <c r="A23">
        <v>13</v>
      </c>
      <c r="B23">
        <v>4</v>
      </c>
      <c r="C23">
        <v>12</v>
      </c>
      <c r="D23">
        <f t="shared" si="0"/>
        <v>640</v>
      </c>
      <c r="E23">
        <f t="shared" si="1"/>
        <v>180</v>
      </c>
      <c r="F23">
        <f t="shared" si="2"/>
        <v>43.68</v>
      </c>
      <c r="G23">
        <f t="shared" si="3"/>
        <v>0.17549999999999999</v>
      </c>
      <c r="H23">
        <f t="shared" si="4"/>
        <v>117.93600000000002</v>
      </c>
      <c r="I23">
        <f t="shared" si="5"/>
        <v>655.20000000000005</v>
      </c>
      <c r="J23">
        <f t="shared" si="6"/>
        <v>468</v>
      </c>
      <c r="K23">
        <f t="shared" si="7"/>
        <v>84.24</v>
      </c>
      <c r="L23">
        <f t="shared" si="8"/>
        <v>9.5108832000000003</v>
      </c>
      <c r="M23">
        <f t="shared" si="9"/>
        <v>9.6314400000000013</v>
      </c>
      <c r="N23">
        <f t="shared" si="10"/>
        <v>7.2936864000000003</v>
      </c>
      <c r="O23">
        <f t="shared" si="11"/>
        <v>6.7135646117647063</v>
      </c>
      <c r="P23">
        <f t="shared" si="12"/>
        <v>3.1447084233261342</v>
      </c>
      <c r="Q23">
        <f t="shared" si="13"/>
        <v>54.6</v>
      </c>
      <c r="R23">
        <f t="shared" si="14"/>
        <v>624</v>
      </c>
      <c r="S23">
        <f t="shared" si="15"/>
        <v>436.41</v>
      </c>
      <c r="T23">
        <f t="shared" si="16"/>
        <v>31.589999999999996</v>
      </c>
      <c r="U23">
        <f>I23*E23/'[1]Inverter Analysis'!$L$2</f>
        <v>282.61046701000129</v>
      </c>
      <c r="V23">
        <f t="shared" si="17"/>
        <v>170.94017094017093</v>
      </c>
      <c r="W23">
        <f t="shared" si="18"/>
        <v>183.31385623610822</v>
      </c>
      <c r="X23">
        <f t="shared" si="19"/>
        <v>122.10012210012209</v>
      </c>
      <c r="Y23">
        <f t="shared" si="20"/>
        <v>0.15121786449668648</v>
      </c>
      <c r="Z23">
        <f t="shared" si="21"/>
        <v>14.442738014250004</v>
      </c>
    </row>
    <row r="24" spans="1:26">
      <c r="A24">
        <v>12</v>
      </c>
      <c r="B24">
        <v>4</v>
      </c>
      <c r="C24">
        <v>12</v>
      </c>
      <c r="D24">
        <f t="shared" si="0"/>
        <v>640</v>
      </c>
      <c r="E24">
        <f t="shared" si="1"/>
        <v>180</v>
      </c>
      <c r="F24">
        <f t="shared" si="2"/>
        <v>40.32</v>
      </c>
      <c r="G24">
        <f t="shared" si="3"/>
        <v>0.16199999999999998</v>
      </c>
      <c r="H24">
        <f t="shared" si="4"/>
        <v>108.86400000000002</v>
      </c>
      <c r="I24">
        <f t="shared" si="5"/>
        <v>604.80000000000007</v>
      </c>
      <c r="J24">
        <f t="shared" si="6"/>
        <v>432</v>
      </c>
      <c r="K24">
        <f t="shared" si="7"/>
        <v>77.760000000000005</v>
      </c>
      <c r="L24">
        <f t="shared" si="8"/>
        <v>8.7792768000000017</v>
      </c>
      <c r="M24">
        <f t="shared" si="9"/>
        <v>8.8905600000000007</v>
      </c>
      <c r="N24">
        <f t="shared" si="10"/>
        <v>6.7326335999999998</v>
      </c>
      <c r="O24">
        <f t="shared" si="11"/>
        <v>6.1971365647058843</v>
      </c>
      <c r="P24">
        <f t="shared" si="12"/>
        <v>2.9028077753779704</v>
      </c>
      <c r="Q24">
        <f t="shared" si="13"/>
        <v>50.400000000000006</v>
      </c>
      <c r="R24">
        <f t="shared" si="14"/>
        <v>576</v>
      </c>
      <c r="S24">
        <f t="shared" si="15"/>
        <v>402.84000000000003</v>
      </c>
      <c r="T24">
        <f t="shared" si="16"/>
        <v>29.159999999999997</v>
      </c>
      <c r="U24">
        <f>I24*E24/'[1]Inverter Analysis'!$L$2</f>
        <v>260.87120031692427</v>
      </c>
      <c r="V24">
        <f t="shared" si="17"/>
        <v>185.18518518518519</v>
      </c>
      <c r="W24">
        <f t="shared" si="18"/>
        <v>198.59001092245057</v>
      </c>
      <c r="X24">
        <f t="shared" si="19"/>
        <v>132.27513227513225</v>
      </c>
      <c r="Y24">
        <f t="shared" si="20"/>
        <v>0.17747096597180567</v>
      </c>
      <c r="Z24">
        <f t="shared" si="21"/>
        <v>11.359604592000004</v>
      </c>
    </row>
    <row r="25" spans="1:26">
      <c r="A25">
        <v>11</v>
      </c>
      <c r="B25">
        <v>4</v>
      </c>
      <c r="C25">
        <v>12</v>
      </c>
      <c r="D25">
        <f t="shared" si="0"/>
        <v>640</v>
      </c>
      <c r="E25">
        <f t="shared" si="1"/>
        <v>180</v>
      </c>
      <c r="F25">
        <f t="shared" si="2"/>
        <v>36.96</v>
      </c>
      <c r="G25">
        <f t="shared" si="3"/>
        <v>0.14849999999999999</v>
      </c>
      <c r="H25">
        <f t="shared" si="4"/>
        <v>99.792000000000002</v>
      </c>
      <c r="I25">
        <f t="shared" si="5"/>
        <v>554.4</v>
      </c>
      <c r="J25">
        <f t="shared" si="6"/>
        <v>396</v>
      </c>
      <c r="K25">
        <f t="shared" si="7"/>
        <v>71.28</v>
      </c>
      <c r="L25">
        <f t="shared" si="8"/>
        <v>8.0476703999999994</v>
      </c>
      <c r="M25">
        <f t="shared" si="9"/>
        <v>8.14968</v>
      </c>
      <c r="N25">
        <f t="shared" si="10"/>
        <v>6.1715808000000001</v>
      </c>
      <c r="O25">
        <f t="shared" si="11"/>
        <v>5.6807085176470586</v>
      </c>
      <c r="P25">
        <f t="shared" si="12"/>
        <v>2.6609071274298053</v>
      </c>
      <c r="Q25">
        <f t="shared" si="13"/>
        <v>46.199999999999996</v>
      </c>
      <c r="R25">
        <f t="shared" si="14"/>
        <v>528</v>
      </c>
      <c r="S25">
        <f t="shared" si="15"/>
        <v>369.27</v>
      </c>
      <c r="T25">
        <f t="shared" si="16"/>
        <v>26.73</v>
      </c>
      <c r="U25">
        <f>I25*E25/'[1]Inverter Analysis'!$L$2</f>
        <v>239.13193362384723</v>
      </c>
      <c r="V25">
        <f t="shared" si="17"/>
        <v>202.02020202020202</v>
      </c>
      <c r="W25">
        <f t="shared" si="18"/>
        <v>216.64364827903702</v>
      </c>
      <c r="X25">
        <f t="shared" si="19"/>
        <v>144.3001443001443</v>
      </c>
      <c r="Y25">
        <f t="shared" si="20"/>
        <v>0.21120511652842996</v>
      </c>
      <c r="Z25">
        <f t="shared" si="21"/>
        <v>8.7497880277500002</v>
      </c>
    </row>
    <row r="26" spans="1:26">
      <c r="A26">
        <v>10</v>
      </c>
      <c r="B26">
        <v>4</v>
      </c>
      <c r="C26">
        <v>12</v>
      </c>
      <c r="D26">
        <f t="shared" si="0"/>
        <v>640</v>
      </c>
      <c r="E26">
        <f t="shared" si="1"/>
        <v>180</v>
      </c>
      <c r="F26">
        <f t="shared" si="2"/>
        <v>33.6</v>
      </c>
      <c r="G26">
        <f t="shared" si="3"/>
        <v>0.13500000000000001</v>
      </c>
      <c r="H26">
        <f t="shared" si="4"/>
        <v>90.72</v>
      </c>
      <c r="I26">
        <f t="shared" si="5"/>
        <v>504</v>
      </c>
      <c r="J26">
        <f t="shared" si="6"/>
        <v>360</v>
      </c>
      <c r="K26">
        <f t="shared" si="7"/>
        <v>64.8</v>
      </c>
      <c r="L26">
        <f t="shared" si="8"/>
        <v>7.3160639999999999</v>
      </c>
      <c r="M26">
        <f t="shared" si="9"/>
        <v>7.4087999999999994</v>
      </c>
      <c r="N26">
        <f t="shared" si="10"/>
        <v>5.6105280000000004</v>
      </c>
      <c r="O26">
        <f t="shared" si="11"/>
        <v>5.1642804705882357</v>
      </c>
      <c r="P26">
        <f t="shared" si="12"/>
        <v>2.4190064794816415</v>
      </c>
      <c r="Q26">
        <f t="shared" si="13"/>
        <v>42</v>
      </c>
      <c r="R26">
        <f t="shared" si="14"/>
        <v>480</v>
      </c>
      <c r="S26">
        <f t="shared" si="15"/>
        <v>335.7</v>
      </c>
      <c r="T26">
        <f t="shared" si="16"/>
        <v>24.3</v>
      </c>
      <c r="U26">
        <f>I26*E26/'[1]Inverter Analysis'!$L$2</f>
        <v>217.39266693077019</v>
      </c>
      <c r="V26">
        <f t="shared" si="17"/>
        <v>222.22222222222223</v>
      </c>
      <c r="W26">
        <f t="shared" si="18"/>
        <v>238.30801310694073</v>
      </c>
      <c r="X26">
        <f t="shared" si="19"/>
        <v>158.73015873015873</v>
      </c>
      <c r="Y26">
        <f t="shared" si="20"/>
        <v>0.25555819099940025</v>
      </c>
      <c r="Z26">
        <f t="shared" si="21"/>
        <v>6.5738452499999998</v>
      </c>
    </row>
    <row r="27" spans="1:26">
      <c r="A27">
        <v>16</v>
      </c>
      <c r="B27">
        <v>3</v>
      </c>
      <c r="C27">
        <v>12</v>
      </c>
      <c r="D27">
        <f t="shared" si="0"/>
        <v>480</v>
      </c>
      <c r="E27">
        <f t="shared" si="1"/>
        <v>135</v>
      </c>
      <c r="F27">
        <f t="shared" si="2"/>
        <v>40.32</v>
      </c>
      <c r="G27">
        <f t="shared" si="3"/>
        <v>0.28799999999999998</v>
      </c>
      <c r="H27">
        <f t="shared" si="4"/>
        <v>108.86400000000002</v>
      </c>
      <c r="I27">
        <f t="shared" si="5"/>
        <v>806.40000000000009</v>
      </c>
      <c r="J27">
        <f t="shared" si="6"/>
        <v>576</v>
      </c>
      <c r="K27">
        <f t="shared" si="7"/>
        <v>77.760000000000005</v>
      </c>
      <c r="L27">
        <f t="shared" si="8"/>
        <v>8.7792768000000017</v>
      </c>
      <c r="M27">
        <f t="shared" si="9"/>
        <v>8.8905599999999989</v>
      </c>
      <c r="N27">
        <f t="shared" si="10"/>
        <v>6.7326336000000007</v>
      </c>
      <c r="O27">
        <f t="shared" si="11"/>
        <v>6.1971365647058843</v>
      </c>
      <c r="P27">
        <f t="shared" si="12"/>
        <v>2.9028077753779704</v>
      </c>
      <c r="Q27">
        <f t="shared" si="13"/>
        <v>67.2</v>
      </c>
      <c r="R27">
        <f t="shared" si="14"/>
        <v>576</v>
      </c>
      <c r="S27">
        <f t="shared" si="15"/>
        <v>537.12</v>
      </c>
      <c r="T27">
        <f t="shared" si="16"/>
        <v>38.879999999999995</v>
      </c>
      <c r="U27">
        <f>I27*E27/'[1]Inverter Analysis'!$L$2</f>
        <v>260.87120031692427</v>
      </c>
      <c r="V27">
        <f t="shared" si="17"/>
        <v>138.88888888888889</v>
      </c>
      <c r="W27">
        <f t="shared" si="18"/>
        <v>148.94250819183796</v>
      </c>
      <c r="X27">
        <f t="shared" si="19"/>
        <v>99.206349206349202</v>
      </c>
      <c r="Y27">
        <f t="shared" si="20"/>
        <v>9.9827418359140718E-2</v>
      </c>
      <c r="Z27">
        <f t="shared" si="21"/>
        <v>20.194852607999998</v>
      </c>
    </row>
    <row r="28" spans="1:26">
      <c r="A28">
        <v>15</v>
      </c>
      <c r="B28">
        <v>3</v>
      </c>
      <c r="C28">
        <v>12</v>
      </c>
      <c r="D28">
        <f t="shared" si="0"/>
        <v>480</v>
      </c>
      <c r="E28">
        <f t="shared" si="1"/>
        <v>135</v>
      </c>
      <c r="F28">
        <f t="shared" si="2"/>
        <v>37.799999999999997</v>
      </c>
      <c r="G28">
        <f t="shared" si="3"/>
        <v>0.26999999999999996</v>
      </c>
      <c r="H28">
        <f t="shared" si="4"/>
        <v>102.06</v>
      </c>
      <c r="I28">
        <f t="shared" si="5"/>
        <v>756</v>
      </c>
      <c r="J28">
        <f t="shared" si="6"/>
        <v>540</v>
      </c>
      <c r="K28">
        <f t="shared" si="7"/>
        <v>72.900000000000006</v>
      </c>
      <c r="L28">
        <f t="shared" si="8"/>
        <v>8.2305720000000004</v>
      </c>
      <c r="M28">
        <f t="shared" si="9"/>
        <v>8.3348999999999993</v>
      </c>
      <c r="N28">
        <f t="shared" si="10"/>
        <v>6.3118439999999989</v>
      </c>
      <c r="O28">
        <f t="shared" si="11"/>
        <v>5.8098155294117655</v>
      </c>
      <c r="P28">
        <f t="shared" si="12"/>
        <v>2.7213822894168467</v>
      </c>
      <c r="Q28">
        <f t="shared" si="13"/>
        <v>63</v>
      </c>
      <c r="R28">
        <f t="shared" si="14"/>
        <v>540</v>
      </c>
      <c r="S28">
        <f t="shared" si="15"/>
        <v>503.55</v>
      </c>
      <c r="T28">
        <f t="shared" si="16"/>
        <v>36.449999999999996</v>
      </c>
      <c r="U28">
        <f>I28*E28/'[1]Inverter Analysis'!$L$2</f>
        <v>244.56675029711647</v>
      </c>
      <c r="V28">
        <f t="shared" si="17"/>
        <v>148.14814814814815</v>
      </c>
      <c r="W28">
        <f t="shared" si="18"/>
        <v>158.87200873796047</v>
      </c>
      <c r="X28">
        <f t="shared" si="19"/>
        <v>105.82010582010582</v>
      </c>
      <c r="Y28">
        <f t="shared" si="20"/>
        <v>0.11358141822195562</v>
      </c>
      <c r="Z28">
        <f t="shared" si="21"/>
        <v>16.640045789062505</v>
      </c>
    </row>
    <row r="29" spans="1:26">
      <c r="A29">
        <v>14</v>
      </c>
      <c r="B29">
        <v>3</v>
      </c>
      <c r="C29">
        <v>12</v>
      </c>
      <c r="D29">
        <f t="shared" si="0"/>
        <v>480</v>
      </c>
      <c r="E29">
        <f t="shared" si="1"/>
        <v>135</v>
      </c>
      <c r="F29">
        <f t="shared" si="2"/>
        <v>35.28</v>
      </c>
      <c r="G29">
        <f t="shared" si="3"/>
        <v>0.252</v>
      </c>
      <c r="H29">
        <f t="shared" si="4"/>
        <v>95.256</v>
      </c>
      <c r="I29">
        <f t="shared" si="5"/>
        <v>705.6</v>
      </c>
      <c r="J29">
        <f t="shared" si="6"/>
        <v>504</v>
      </c>
      <c r="K29">
        <f t="shared" si="7"/>
        <v>68.040000000000006</v>
      </c>
      <c r="L29">
        <f t="shared" si="8"/>
        <v>7.681867200000001</v>
      </c>
      <c r="M29">
        <f t="shared" si="9"/>
        <v>7.7792399999999997</v>
      </c>
      <c r="N29">
        <f t="shared" si="10"/>
        <v>5.8910543999999998</v>
      </c>
      <c r="O29">
        <f t="shared" si="11"/>
        <v>5.4224944941176485</v>
      </c>
      <c r="P29">
        <f t="shared" si="12"/>
        <v>2.5399568034557238</v>
      </c>
      <c r="Q29">
        <f t="shared" si="13"/>
        <v>58.800000000000004</v>
      </c>
      <c r="R29">
        <f t="shared" si="14"/>
        <v>504</v>
      </c>
      <c r="S29">
        <f t="shared" si="15"/>
        <v>469.98</v>
      </c>
      <c r="T29">
        <f t="shared" si="16"/>
        <v>34.020000000000003</v>
      </c>
      <c r="U29">
        <f>I29*E29/'[1]Inverter Analysis'!$L$2</f>
        <v>228.26230027730873</v>
      </c>
      <c r="V29">
        <f t="shared" si="17"/>
        <v>158.73015873015873</v>
      </c>
      <c r="W29">
        <f t="shared" si="18"/>
        <v>170.22000936210051</v>
      </c>
      <c r="X29">
        <f t="shared" si="19"/>
        <v>113.37868480725623</v>
      </c>
      <c r="Y29">
        <f t="shared" si="20"/>
        <v>0.13038683214255112</v>
      </c>
      <c r="Z29">
        <f t="shared" si="21"/>
        <v>13.528973524500001</v>
      </c>
    </row>
    <row r="30" spans="1:26">
      <c r="A30">
        <v>13</v>
      </c>
      <c r="B30">
        <v>3</v>
      </c>
      <c r="C30">
        <v>12</v>
      </c>
      <c r="D30">
        <f t="shared" si="0"/>
        <v>480</v>
      </c>
      <c r="E30">
        <f t="shared" si="1"/>
        <v>135</v>
      </c>
      <c r="F30">
        <f t="shared" si="2"/>
        <v>32.76</v>
      </c>
      <c r="G30">
        <f t="shared" si="3"/>
        <v>0.23399999999999996</v>
      </c>
      <c r="H30">
        <f t="shared" si="4"/>
        <v>88.451999999999998</v>
      </c>
      <c r="I30">
        <f t="shared" si="5"/>
        <v>655.20000000000005</v>
      </c>
      <c r="J30">
        <f t="shared" si="6"/>
        <v>468</v>
      </c>
      <c r="K30">
        <f t="shared" si="7"/>
        <v>63.18</v>
      </c>
      <c r="L30">
        <f t="shared" si="8"/>
        <v>7.1331623999999998</v>
      </c>
      <c r="M30">
        <f t="shared" si="9"/>
        <v>7.2235800000000001</v>
      </c>
      <c r="N30">
        <f t="shared" si="10"/>
        <v>5.4702648000000007</v>
      </c>
      <c r="O30">
        <f t="shared" si="11"/>
        <v>5.0351734588235297</v>
      </c>
      <c r="P30">
        <f t="shared" si="12"/>
        <v>2.3585313174946005</v>
      </c>
      <c r="Q30">
        <f t="shared" si="13"/>
        <v>54.6</v>
      </c>
      <c r="R30">
        <f t="shared" si="14"/>
        <v>468</v>
      </c>
      <c r="S30">
        <f t="shared" si="15"/>
        <v>436.41</v>
      </c>
      <c r="T30">
        <f t="shared" si="16"/>
        <v>31.589999999999993</v>
      </c>
      <c r="U30">
        <f>I30*E30/'[1]Inverter Analysis'!$L$2</f>
        <v>211.95785025750095</v>
      </c>
      <c r="V30">
        <f t="shared" si="17"/>
        <v>170.94017094017093</v>
      </c>
      <c r="W30">
        <f t="shared" si="18"/>
        <v>183.31385623610822</v>
      </c>
      <c r="X30">
        <f t="shared" si="19"/>
        <v>122.10012210012209</v>
      </c>
      <c r="Y30">
        <f t="shared" si="20"/>
        <v>0.15121786449668648</v>
      </c>
      <c r="Z30">
        <f t="shared" si="21"/>
        <v>10.832053510687503</v>
      </c>
    </row>
    <row r="31" spans="1:26">
      <c r="A31">
        <v>12</v>
      </c>
      <c r="B31">
        <v>3</v>
      </c>
      <c r="C31">
        <v>12</v>
      </c>
      <c r="D31">
        <f t="shared" si="0"/>
        <v>480</v>
      </c>
      <c r="E31">
        <f t="shared" si="1"/>
        <v>135</v>
      </c>
      <c r="F31">
        <f t="shared" si="2"/>
        <v>30.24</v>
      </c>
      <c r="G31">
        <f t="shared" si="3"/>
        <v>0.21599999999999997</v>
      </c>
      <c r="H31">
        <f t="shared" si="4"/>
        <v>81.64800000000001</v>
      </c>
      <c r="I31">
        <f t="shared" si="5"/>
        <v>604.80000000000007</v>
      </c>
      <c r="J31">
        <f t="shared" si="6"/>
        <v>432</v>
      </c>
      <c r="K31">
        <f t="shared" si="7"/>
        <v>58.32</v>
      </c>
      <c r="L31">
        <f t="shared" si="8"/>
        <v>6.5844576000000012</v>
      </c>
      <c r="M31">
        <f t="shared" si="9"/>
        <v>6.6679200000000014</v>
      </c>
      <c r="N31">
        <f t="shared" si="10"/>
        <v>5.0494751999999998</v>
      </c>
      <c r="O31">
        <f t="shared" si="11"/>
        <v>4.6478524235294127</v>
      </c>
      <c r="P31">
        <f t="shared" si="12"/>
        <v>2.1771058315334773</v>
      </c>
      <c r="Q31">
        <f t="shared" si="13"/>
        <v>50.400000000000006</v>
      </c>
      <c r="R31">
        <f t="shared" si="14"/>
        <v>432</v>
      </c>
      <c r="S31">
        <f t="shared" si="15"/>
        <v>402.84000000000003</v>
      </c>
      <c r="T31">
        <f t="shared" si="16"/>
        <v>29.159999999999997</v>
      </c>
      <c r="U31">
        <f>I31*E31/'[1]Inverter Analysis'!$L$2</f>
        <v>195.65340023769321</v>
      </c>
      <c r="V31">
        <f t="shared" si="17"/>
        <v>185.18518518518519</v>
      </c>
      <c r="W31">
        <f t="shared" si="18"/>
        <v>198.59001092245057</v>
      </c>
      <c r="X31">
        <f t="shared" si="19"/>
        <v>132.27513227513225</v>
      </c>
      <c r="Y31">
        <f t="shared" si="20"/>
        <v>0.17747096597180567</v>
      </c>
      <c r="Z31">
        <f t="shared" si="21"/>
        <v>8.519703444000001</v>
      </c>
    </row>
    <row r="32" spans="1:26">
      <c r="A32">
        <v>11</v>
      </c>
      <c r="B32">
        <v>3</v>
      </c>
      <c r="C32">
        <v>12</v>
      </c>
      <c r="D32">
        <f t="shared" si="0"/>
        <v>480</v>
      </c>
      <c r="E32">
        <f t="shared" si="1"/>
        <v>135</v>
      </c>
      <c r="F32">
        <f t="shared" si="2"/>
        <v>27.72</v>
      </c>
      <c r="G32">
        <f t="shared" si="3"/>
        <v>0.19799999999999995</v>
      </c>
      <c r="H32">
        <f t="shared" si="4"/>
        <v>74.843999999999994</v>
      </c>
      <c r="I32">
        <f t="shared" si="5"/>
        <v>554.4</v>
      </c>
      <c r="J32">
        <f t="shared" si="6"/>
        <v>396</v>
      </c>
      <c r="K32">
        <f t="shared" si="7"/>
        <v>53.46</v>
      </c>
      <c r="L32">
        <f t="shared" si="8"/>
        <v>6.0357528</v>
      </c>
      <c r="M32">
        <f t="shared" si="9"/>
        <v>6.1122599999999991</v>
      </c>
      <c r="N32">
        <f t="shared" si="10"/>
        <v>4.6286855999999998</v>
      </c>
      <c r="O32">
        <f t="shared" si="11"/>
        <v>4.260531388235294</v>
      </c>
      <c r="P32">
        <f t="shared" si="12"/>
        <v>1.995680345572354</v>
      </c>
      <c r="Q32">
        <f t="shared" si="13"/>
        <v>46.199999999999996</v>
      </c>
      <c r="R32">
        <f t="shared" si="14"/>
        <v>396</v>
      </c>
      <c r="S32">
        <f t="shared" si="15"/>
        <v>369.27</v>
      </c>
      <c r="T32">
        <f t="shared" si="16"/>
        <v>26.729999999999993</v>
      </c>
      <c r="U32">
        <f>I32*E32/'[1]Inverter Analysis'!$L$2</f>
        <v>179.34895021788543</v>
      </c>
      <c r="V32">
        <f t="shared" si="17"/>
        <v>202.02020202020202</v>
      </c>
      <c r="W32">
        <f t="shared" si="18"/>
        <v>216.64364827903702</v>
      </c>
      <c r="X32">
        <f t="shared" si="19"/>
        <v>144.3001443001443</v>
      </c>
      <c r="Y32">
        <f t="shared" si="20"/>
        <v>0.21120511652842996</v>
      </c>
      <c r="Z32">
        <f t="shared" si="21"/>
        <v>6.5623410208125001</v>
      </c>
    </row>
    <row r="33" spans="1:26">
      <c r="A33">
        <v>10</v>
      </c>
      <c r="B33">
        <v>3</v>
      </c>
      <c r="C33">
        <v>12</v>
      </c>
      <c r="D33">
        <f t="shared" si="0"/>
        <v>480</v>
      </c>
      <c r="E33">
        <f t="shared" si="1"/>
        <v>135</v>
      </c>
      <c r="F33">
        <f t="shared" si="2"/>
        <v>25.2</v>
      </c>
      <c r="G33">
        <f t="shared" si="3"/>
        <v>0.17999999999999997</v>
      </c>
      <c r="H33">
        <f t="shared" si="4"/>
        <v>68.040000000000006</v>
      </c>
      <c r="I33">
        <f t="shared" si="5"/>
        <v>504</v>
      </c>
      <c r="J33">
        <f t="shared" si="6"/>
        <v>360</v>
      </c>
      <c r="K33">
        <f t="shared" si="7"/>
        <v>48.6</v>
      </c>
      <c r="L33">
        <f t="shared" si="8"/>
        <v>5.4870480000000006</v>
      </c>
      <c r="M33">
        <f t="shared" si="9"/>
        <v>5.5565999999999995</v>
      </c>
      <c r="N33">
        <f t="shared" si="10"/>
        <v>4.2078960000000007</v>
      </c>
      <c r="O33">
        <f t="shared" si="11"/>
        <v>3.873210352941177</v>
      </c>
      <c r="P33">
        <f t="shared" si="12"/>
        <v>1.8142548596112311</v>
      </c>
      <c r="Q33">
        <f t="shared" si="13"/>
        <v>42</v>
      </c>
      <c r="R33">
        <f t="shared" si="14"/>
        <v>360</v>
      </c>
      <c r="S33">
        <f t="shared" si="15"/>
        <v>335.7</v>
      </c>
      <c r="T33">
        <f t="shared" si="16"/>
        <v>24.299999999999994</v>
      </c>
      <c r="U33">
        <f>I33*E33/'[1]Inverter Analysis'!$L$2</f>
        <v>163.04450019807766</v>
      </c>
      <c r="V33">
        <f t="shared" si="17"/>
        <v>222.22222222222223</v>
      </c>
      <c r="W33">
        <f t="shared" si="18"/>
        <v>238.30801310694073</v>
      </c>
      <c r="X33">
        <f t="shared" si="19"/>
        <v>158.73015873015873</v>
      </c>
      <c r="Y33">
        <f t="shared" si="20"/>
        <v>0.25555819099940025</v>
      </c>
      <c r="Z33">
        <f t="shared" si="21"/>
        <v>4.9303839374999994</v>
      </c>
    </row>
    <row r="34" spans="1:26">
      <c r="A34">
        <v>16</v>
      </c>
      <c r="B34">
        <v>2</v>
      </c>
      <c r="C34">
        <v>12</v>
      </c>
      <c r="D34">
        <f t="shared" si="0"/>
        <v>320</v>
      </c>
      <c r="E34">
        <f t="shared" si="1"/>
        <v>90</v>
      </c>
      <c r="F34">
        <f t="shared" si="2"/>
        <v>26.88</v>
      </c>
      <c r="G34">
        <f t="shared" si="3"/>
        <v>0.43199999999999994</v>
      </c>
      <c r="H34">
        <f t="shared" si="4"/>
        <v>72.576000000000008</v>
      </c>
      <c r="I34">
        <f t="shared" si="5"/>
        <v>806.40000000000009</v>
      </c>
      <c r="J34">
        <f t="shared" si="6"/>
        <v>576</v>
      </c>
      <c r="K34">
        <f t="shared" si="7"/>
        <v>51.84</v>
      </c>
      <c r="L34">
        <f t="shared" si="8"/>
        <v>5.8528512000000008</v>
      </c>
      <c r="M34">
        <f t="shared" si="9"/>
        <v>5.9270399999999999</v>
      </c>
      <c r="N34">
        <f t="shared" si="10"/>
        <v>4.4884224000000001</v>
      </c>
      <c r="O34">
        <f t="shared" si="11"/>
        <v>4.1314243764705889</v>
      </c>
      <c r="P34">
        <f t="shared" si="12"/>
        <v>1.9352051835853132</v>
      </c>
      <c r="Q34">
        <f t="shared" si="13"/>
        <v>67.2</v>
      </c>
      <c r="R34">
        <f t="shared" si="14"/>
        <v>384</v>
      </c>
      <c r="S34">
        <f t="shared" si="15"/>
        <v>537.12</v>
      </c>
      <c r="T34">
        <f t="shared" si="16"/>
        <v>38.879999999999995</v>
      </c>
      <c r="U34">
        <f>I34*E34/'[1]Inverter Analysis'!$L$2</f>
        <v>173.91413354461619</v>
      </c>
      <c r="V34">
        <f t="shared" si="17"/>
        <v>138.88888888888889</v>
      </c>
      <c r="W34">
        <f t="shared" si="18"/>
        <v>148.94250819183796</v>
      </c>
      <c r="X34">
        <f t="shared" si="19"/>
        <v>99.206349206349202</v>
      </c>
      <c r="Y34">
        <f t="shared" si="20"/>
        <v>9.9827418359140718E-2</v>
      </c>
      <c r="Z34">
        <f t="shared" si="21"/>
        <v>13.463235072</v>
      </c>
    </row>
    <row r="35" spans="1:26">
      <c r="A35">
        <v>15</v>
      </c>
      <c r="B35">
        <v>2</v>
      </c>
      <c r="C35">
        <v>12</v>
      </c>
      <c r="D35">
        <f t="shared" si="0"/>
        <v>320</v>
      </c>
      <c r="E35">
        <f t="shared" si="1"/>
        <v>90</v>
      </c>
      <c r="F35">
        <f t="shared" si="2"/>
        <v>25.2</v>
      </c>
      <c r="G35">
        <f t="shared" si="3"/>
        <v>0.40499999999999992</v>
      </c>
      <c r="H35">
        <f t="shared" si="4"/>
        <v>68.040000000000006</v>
      </c>
      <c r="I35">
        <f t="shared" si="5"/>
        <v>756</v>
      </c>
      <c r="J35">
        <f t="shared" si="6"/>
        <v>540</v>
      </c>
      <c r="K35">
        <f t="shared" si="7"/>
        <v>48.6</v>
      </c>
      <c r="L35">
        <f t="shared" si="8"/>
        <v>5.4870479999999997</v>
      </c>
      <c r="M35">
        <f t="shared" si="9"/>
        <v>5.5565999999999995</v>
      </c>
      <c r="N35">
        <f t="shared" si="10"/>
        <v>4.2078959999999999</v>
      </c>
      <c r="O35">
        <f t="shared" si="11"/>
        <v>3.8732103529411765</v>
      </c>
      <c r="P35">
        <f t="shared" si="12"/>
        <v>1.8142548596112311</v>
      </c>
      <c r="Q35">
        <f t="shared" si="13"/>
        <v>63</v>
      </c>
      <c r="R35">
        <f t="shared" si="14"/>
        <v>360</v>
      </c>
      <c r="S35">
        <f t="shared" si="15"/>
        <v>503.55</v>
      </c>
      <c r="T35">
        <f t="shared" si="16"/>
        <v>36.449999999999996</v>
      </c>
      <c r="U35">
        <f>I35*E35/'[1]Inverter Analysis'!$L$2</f>
        <v>163.04450019807766</v>
      </c>
      <c r="V35">
        <f t="shared" si="17"/>
        <v>148.14814814814815</v>
      </c>
      <c r="W35">
        <f t="shared" si="18"/>
        <v>158.87200873796047</v>
      </c>
      <c r="X35">
        <f t="shared" si="19"/>
        <v>105.82010582010582</v>
      </c>
      <c r="Y35">
        <f t="shared" si="20"/>
        <v>0.11358141822195562</v>
      </c>
      <c r="Z35">
        <f t="shared" si="21"/>
        <v>11.093363859375003</v>
      </c>
    </row>
    <row r="36" spans="1:26">
      <c r="A36">
        <v>14</v>
      </c>
      <c r="B36">
        <v>2</v>
      </c>
      <c r="C36">
        <v>12</v>
      </c>
      <c r="D36">
        <f t="shared" si="0"/>
        <v>320</v>
      </c>
      <c r="E36">
        <f t="shared" si="1"/>
        <v>90</v>
      </c>
      <c r="F36">
        <f t="shared" si="2"/>
        <v>23.52</v>
      </c>
      <c r="G36">
        <f t="shared" si="3"/>
        <v>0.378</v>
      </c>
      <c r="H36">
        <f t="shared" si="4"/>
        <v>63.503999999999998</v>
      </c>
      <c r="I36">
        <f t="shared" si="5"/>
        <v>705.6</v>
      </c>
      <c r="J36">
        <f t="shared" si="6"/>
        <v>504</v>
      </c>
      <c r="K36">
        <f t="shared" si="7"/>
        <v>45.36</v>
      </c>
      <c r="L36">
        <f t="shared" si="8"/>
        <v>5.1212448000000004</v>
      </c>
      <c r="M36">
        <f t="shared" si="9"/>
        <v>5.1861600000000001</v>
      </c>
      <c r="N36">
        <f t="shared" si="10"/>
        <v>3.9273696</v>
      </c>
      <c r="O36">
        <f t="shared" si="11"/>
        <v>3.6149963294117651</v>
      </c>
      <c r="P36">
        <f t="shared" si="12"/>
        <v>1.693304535637149</v>
      </c>
      <c r="Q36">
        <f t="shared" si="13"/>
        <v>58.800000000000004</v>
      </c>
      <c r="R36">
        <f t="shared" si="14"/>
        <v>336</v>
      </c>
      <c r="S36">
        <f t="shared" si="15"/>
        <v>469.98</v>
      </c>
      <c r="T36">
        <f t="shared" si="16"/>
        <v>34.020000000000003</v>
      </c>
      <c r="U36">
        <f>I36*E36/'[1]Inverter Analysis'!$L$2</f>
        <v>152.17486685153915</v>
      </c>
      <c r="V36">
        <f t="shared" si="17"/>
        <v>158.73015873015873</v>
      </c>
      <c r="W36">
        <f t="shared" si="18"/>
        <v>170.22000936210051</v>
      </c>
      <c r="X36">
        <f t="shared" si="19"/>
        <v>113.37868480725623</v>
      </c>
      <c r="Y36">
        <f t="shared" si="20"/>
        <v>0.13038683214255112</v>
      </c>
      <c r="Z36">
        <f t="shared" si="21"/>
        <v>9.0193156830000003</v>
      </c>
    </row>
    <row r="37" spans="1:26">
      <c r="A37">
        <v>13</v>
      </c>
      <c r="B37">
        <v>2</v>
      </c>
      <c r="C37">
        <v>12</v>
      </c>
      <c r="D37">
        <f t="shared" si="0"/>
        <v>320</v>
      </c>
      <c r="E37">
        <f t="shared" si="1"/>
        <v>90</v>
      </c>
      <c r="F37">
        <f t="shared" si="2"/>
        <v>21.84</v>
      </c>
      <c r="G37">
        <f t="shared" si="3"/>
        <v>0.35099999999999998</v>
      </c>
      <c r="H37">
        <f t="shared" si="4"/>
        <v>58.968000000000011</v>
      </c>
      <c r="I37">
        <f t="shared" si="5"/>
        <v>655.20000000000005</v>
      </c>
      <c r="J37">
        <f t="shared" si="6"/>
        <v>468</v>
      </c>
      <c r="K37">
        <f t="shared" si="7"/>
        <v>42.12</v>
      </c>
      <c r="L37">
        <f t="shared" si="8"/>
        <v>4.7554416000000002</v>
      </c>
      <c r="M37">
        <f t="shared" si="9"/>
        <v>4.8157200000000007</v>
      </c>
      <c r="N37">
        <f t="shared" si="10"/>
        <v>3.6468432000000002</v>
      </c>
      <c r="O37">
        <f t="shared" si="11"/>
        <v>3.3567823058823532</v>
      </c>
      <c r="P37">
        <f t="shared" si="12"/>
        <v>1.5723542116630671</v>
      </c>
      <c r="Q37">
        <f t="shared" si="13"/>
        <v>54.6</v>
      </c>
      <c r="R37">
        <f t="shared" si="14"/>
        <v>312</v>
      </c>
      <c r="S37">
        <f t="shared" si="15"/>
        <v>436.41</v>
      </c>
      <c r="T37">
        <f t="shared" si="16"/>
        <v>31.589999999999996</v>
      </c>
      <c r="U37">
        <f>I37*E37/'[1]Inverter Analysis'!$L$2</f>
        <v>141.30523350500064</v>
      </c>
      <c r="V37">
        <f t="shared" si="17"/>
        <v>170.94017094017093</v>
      </c>
      <c r="W37">
        <f t="shared" si="18"/>
        <v>183.31385623610822</v>
      </c>
      <c r="X37">
        <f t="shared" si="19"/>
        <v>122.10012210012209</v>
      </c>
      <c r="Y37">
        <f t="shared" si="20"/>
        <v>0.15121786449668648</v>
      </c>
      <c r="Z37">
        <f t="shared" si="21"/>
        <v>7.2213690071250021</v>
      </c>
    </row>
    <row r="38" spans="1:26">
      <c r="A38">
        <v>12</v>
      </c>
      <c r="B38">
        <v>2</v>
      </c>
      <c r="C38">
        <v>12</v>
      </c>
      <c r="D38">
        <f t="shared" si="0"/>
        <v>320</v>
      </c>
      <c r="E38">
        <f t="shared" si="1"/>
        <v>90</v>
      </c>
      <c r="F38">
        <f t="shared" si="2"/>
        <v>20.16</v>
      </c>
      <c r="G38">
        <f t="shared" si="3"/>
        <v>0.32399999999999995</v>
      </c>
      <c r="H38">
        <f t="shared" si="4"/>
        <v>54.432000000000009</v>
      </c>
      <c r="I38">
        <f t="shared" si="5"/>
        <v>604.80000000000007</v>
      </c>
      <c r="J38">
        <f t="shared" si="6"/>
        <v>432</v>
      </c>
      <c r="K38">
        <f t="shared" si="7"/>
        <v>38.880000000000003</v>
      </c>
      <c r="L38">
        <f t="shared" si="8"/>
        <v>4.3896384000000008</v>
      </c>
      <c r="M38">
        <f t="shared" si="9"/>
        <v>4.4452800000000003</v>
      </c>
      <c r="N38">
        <f t="shared" si="10"/>
        <v>3.3663167999999999</v>
      </c>
      <c r="O38">
        <f t="shared" si="11"/>
        <v>3.0985682823529421</v>
      </c>
      <c r="P38">
        <f t="shared" si="12"/>
        <v>1.4514038876889852</v>
      </c>
      <c r="Q38">
        <f t="shared" si="13"/>
        <v>50.400000000000006</v>
      </c>
      <c r="R38">
        <f t="shared" si="14"/>
        <v>288</v>
      </c>
      <c r="S38">
        <f t="shared" si="15"/>
        <v>402.84000000000003</v>
      </c>
      <c r="T38">
        <f t="shared" si="16"/>
        <v>29.159999999999997</v>
      </c>
      <c r="U38">
        <f>I38*E38/'[1]Inverter Analysis'!$L$2</f>
        <v>130.43560015846214</v>
      </c>
      <c r="V38">
        <f t="shared" si="17"/>
        <v>185.18518518518519</v>
      </c>
      <c r="W38">
        <f t="shared" si="18"/>
        <v>198.59001092245057</v>
      </c>
      <c r="X38">
        <f t="shared" si="19"/>
        <v>132.27513227513225</v>
      </c>
      <c r="Y38">
        <f t="shared" si="20"/>
        <v>0.17747096597180567</v>
      </c>
      <c r="Z38">
        <f t="shared" si="21"/>
        <v>5.6798022960000019</v>
      </c>
    </row>
    <row r="39" spans="1:26">
      <c r="A39">
        <v>11</v>
      </c>
      <c r="B39">
        <v>2</v>
      </c>
      <c r="C39">
        <v>12</v>
      </c>
      <c r="D39">
        <f t="shared" si="0"/>
        <v>320</v>
      </c>
      <c r="E39">
        <f t="shared" si="1"/>
        <v>90</v>
      </c>
      <c r="F39">
        <f t="shared" si="2"/>
        <v>18.48</v>
      </c>
      <c r="G39">
        <f t="shared" si="3"/>
        <v>0.29699999999999999</v>
      </c>
      <c r="H39">
        <f t="shared" si="4"/>
        <v>49.896000000000001</v>
      </c>
      <c r="I39">
        <f t="shared" si="5"/>
        <v>554.4</v>
      </c>
      <c r="J39">
        <f t="shared" si="6"/>
        <v>396</v>
      </c>
      <c r="K39">
        <f t="shared" si="7"/>
        <v>35.64</v>
      </c>
      <c r="L39">
        <f t="shared" si="8"/>
        <v>4.0238351999999997</v>
      </c>
      <c r="M39">
        <f t="shared" si="9"/>
        <v>4.07484</v>
      </c>
      <c r="N39">
        <f t="shared" si="10"/>
        <v>3.0857904</v>
      </c>
      <c r="O39">
        <f t="shared" si="11"/>
        <v>2.8403542588235293</v>
      </c>
      <c r="P39">
        <f t="shared" si="12"/>
        <v>1.3304535637149026</v>
      </c>
      <c r="Q39">
        <f t="shared" si="13"/>
        <v>46.199999999999996</v>
      </c>
      <c r="R39">
        <f t="shared" si="14"/>
        <v>264</v>
      </c>
      <c r="S39">
        <f t="shared" si="15"/>
        <v>369.27</v>
      </c>
      <c r="T39">
        <f t="shared" si="16"/>
        <v>26.73</v>
      </c>
      <c r="U39">
        <f>I39*E39/'[1]Inverter Analysis'!$L$2</f>
        <v>119.56596681192362</v>
      </c>
      <c r="V39">
        <f t="shared" si="17"/>
        <v>202.02020202020202</v>
      </c>
      <c r="W39">
        <f t="shared" si="18"/>
        <v>216.64364827903702</v>
      </c>
      <c r="X39">
        <f t="shared" si="19"/>
        <v>144.3001443001443</v>
      </c>
      <c r="Y39">
        <f t="shared" si="20"/>
        <v>0.21120511652842996</v>
      </c>
      <c r="Z39">
        <f t="shared" si="21"/>
        <v>4.3748940138750001</v>
      </c>
    </row>
    <row r="40" spans="1:26">
      <c r="A40">
        <v>10</v>
      </c>
      <c r="B40">
        <v>2</v>
      </c>
      <c r="C40">
        <v>12</v>
      </c>
      <c r="D40">
        <f t="shared" si="0"/>
        <v>320</v>
      </c>
      <c r="E40">
        <f t="shared" si="1"/>
        <v>90</v>
      </c>
      <c r="F40">
        <f t="shared" si="2"/>
        <v>16.8</v>
      </c>
      <c r="G40">
        <f t="shared" si="3"/>
        <v>0.27</v>
      </c>
      <c r="H40">
        <f t="shared" si="4"/>
        <v>45.36</v>
      </c>
      <c r="I40">
        <f t="shared" si="5"/>
        <v>504</v>
      </c>
      <c r="J40">
        <f t="shared" si="6"/>
        <v>360</v>
      </c>
      <c r="K40">
        <f t="shared" si="7"/>
        <v>32.4</v>
      </c>
      <c r="L40">
        <f t="shared" si="8"/>
        <v>3.658032</v>
      </c>
      <c r="M40">
        <f t="shared" si="9"/>
        <v>3.7043999999999997</v>
      </c>
      <c r="N40">
        <f t="shared" si="10"/>
        <v>2.8052640000000002</v>
      </c>
      <c r="O40">
        <f t="shared" si="11"/>
        <v>2.5821402352941178</v>
      </c>
      <c r="P40">
        <f t="shared" si="12"/>
        <v>1.2095032397408207</v>
      </c>
      <c r="Q40">
        <f t="shared" si="13"/>
        <v>42</v>
      </c>
      <c r="R40">
        <f t="shared" si="14"/>
        <v>240</v>
      </c>
      <c r="S40">
        <f t="shared" si="15"/>
        <v>335.7</v>
      </c>
      <c r="T40">
        <f t="shared" si="16"/>
        <v>24.3</v>
      </c>
      <c r="U40">
        <f>I40*E40/'[1]Inverter Analysis'!$L$2</f>
        <v>108.69633346538509</v>
      </c>
      <c r="V40">
        <f t="shared" si="17"/>
        <v>222.22222222222223</v>
      </c>
      <c r="W40">
        <f t="shared" si="18"/>
        <v>238.30801310694073</v>
      </c>
      <c r="X40">
        <f t="shared" si="19"/>
        <v>158.73015873015873</v>
      </c>
      <c r="Y40">
        <f t="shared" si="20"/>
        <v>0.25555819099940025</v>
      </c>
      <c r="Z40">
        <f t="shared" si="21"/>
        <v>3.2869226249999999</v>
      </c>
    </row>
    <row r="41" spans="1:26">
      <c r="A41" s="8">
        <v>16</v>
      </c>
      <c r="B41" s="1">
        <v>6</v>
      </c>
      <c r="C41" s="1">
        <v>11</v>
      </c>
      <c r="D41">
        <f t="shared" si="0"/>
        <v>960</v>
      </c>
      <c r="E41">
        <f t="shared" si="1"/>
        <v>270</v>
      </c>
      <c r="F41">
        <f t="shared" si="2"/>
        <v>73.92</v>
      </c>
      <c r="G41">
        <f t="shared" si="3"/>
        <v>0.13199999999999998</v>
      </c>
      <c r="H41">
        <f t="shared" si="4"/>
        <v>199.584</v>
      </c>
      <c r="I41">
        <f t="shared" si="5"/>
        <v>739.2</v>
      </c>
      <c r="J41">
        <f t="shared" si="6"/>
        <v>528</v>
      </c>
      <c r="K41">
        <f t="shared" si="7"/>
        <v>142.56</v>
      </c>
      <c r="L41">
        <f t="shared" si="8"/>
        <v>16.095340800000002</v>
      </c>
      <c r="M41">
        <f t="shared" si="9"/>
        <v>16.29936</v>
      </c>
      <c r="N41">
        <f t="shared" si="10"/>
        <v>12.3431616</v>
      </c>
      <c r="O41">
        <f t="shared" si="11"/>
        <v>11.361417035294121</v>
      </c>
      <c r="P41">
        <f t="shared" si="12"/>
        <v>5.8056155507559399</v>
      </c>
      <c r="Q41">
        <f t="shared" si="13"/>
        <v>67.2</v>
      </c>
      <c r="R41">
        <f t="shared" si="14"/>
        <v>1056</v>
      </c>
      <c r="S41">
        <f t="shared" si="15"/>
        <v>492.36</v>
      </c>
      <c r="T41">
        <f t="shared" si="16"/>
        <v>35.639999999999993</v>
      </c>
      <c r="U41">
        <f>I41*E41/'[1]Inverter Analysis'!$L$2</f>
        <v>478.26386724769446</v>
      </c>
      <c r="V41">
        <f t="shared" si="17"/>
        <v>151.5151515151515</v>
      </c>
      <c r="W41">
        <f t="shared" si="18"/>
        <v>162.48273620927776</v>
      </c>
      <c r="X41">
        <f t="shared" si="19"/>
        <v>108.22510822510822</v>
      </c>
      <c r="Y41">
        <f t="shared" si="20"/>
        <v>0.11880287804724184</v>
      </c>
      <c r="Z41">
        <f t="shared" si="21"/>
        <v>31.110357432000004</v>
      </c>
    </row>
    <row r="42" spans="1:26">
      <c r="A42" s="8">
        <v>15</v>
      </c>
      <c r="B42" s="1">
        <v>6</v>
      </c>
      <c r="C42" s="1">
        <v>11</v>
      </c>
      <c r="D42">
        <f t="shared" si="0"/>
        <v>960</v>
      </c>
      <c r="E42">
        <f t="shared" si="1"/>
        <v>270</v>
      </c>
      <c r="F42">
        <f t="shared" si="2"/>
        <v>69.3</v>
      </c>
      <c r="G42">
        <f t="shared" si="3"/>
        <v>0.12374999999999997</v>
      </c>
      <c r="H42">
        <f t="shared" si="4"/>
        <v>187.11</v>
      </c>
      <c r="I42">
        <f t="shared" si="5"/>
        <v>693</v>
      </c>
      <c r="J42">
        <f t="shared" si="6"/>
        <v>495</v>
      </c>
      <c r="K42">
        <f t="shared" si="7"/>
        <v>133.65</v>
      </c>
      <c r="L42">
        <f t="shared" si="8"/>
        <v>15.089381999999999</v>
      </c>
      <c r="M42">
        <f t="shared" si="9"/>
        <v>15.280650000000001</v>
      </c>
      <c r="N42">
        <f t="shared" si="10"/>
        <v>11.571714</v>
      </c>
      <c r="O42">
        <f t="shared" si="11"/>
        <v>10.651328470588235</v>
      </c>
      <c r="P42">
        <f t="shared" si="12"/>
        <v>5.4427645788336925</v>
      </c>
      <c r="Q42">
        <f t="shared" si="13"/>
        <v>63</v>
      </c>
      <c r="R42">
        <f t="shared" si="14"/>
        <v>990</v>
      </c>
      <c r="S42">
        <f t="shared" si="15"/>
        <v>461.58749999999998</v>
      </c>
      <c r="T42">
        <f t="shared" si="16"/>
        <v>33.412499999999994</v>
      </c>
      <c r="U42">
        <f>I42*E42/'[1]Inverter Analysis'!$L$2</f>
        <v>448.37237554471352</v>
      </c>
      <c r="V42">
        <f t="shared" si="17"/>
        <v>161.61616161616161</v>
      </c>
      <c r="W42">
        <f t="shared" si="18"/>
        <v>173.31491862322963</v>
      </c>
      <c r="X42">
        <f t="shared" si="19"/>
        <v>115.44011544011543</v>
      </c>
      <c r="Y42">
        <f t="shared" si="20"/>
        <v>0.13517127457819519</v>
      </c>
      <c r="Z42">
        <f t="shared" si="21"/>
        <v>25.634144612548827</v>
      </c>
    </row>
    <row r="43" spans="1:26">
      <c r="A43">
        <v>14</v>
      </c>
      <c r="B43" s="1">
        <v>6</v>
      </c>
      <c r="C43" s="1">
        <v>11</v>
      </c>
      <c r="D43">
        <f t="shared" si="0"/>
        <v>960</v>
      </c>
      <c r="E43">
        <f t="shared" si="1"/>
        <v>270</v>
      </c>
      <c r="F43">
        <f t="shared" si="2"/>
        <v>64.680000000000007</v>
      </c>
      <c r="G43">
        <f t="shared" si="3"/>
        <v>0.11549999999999999</v>
      </c>
      <c r="H43">
        <f t="shared" si="4"/>
        <v>174.63600000000002</v>
      </c>
      <c r="I43">
        <f t="shared" si="5"/>
        <v>646.80000000000007</v>
      </c>
      <c r="J43">
        <f t="shared" si="6"/>
        <v>462</v>
      </c>
      <c r="K43">
        <f t="shared" si="7"/>
        <v>124.74</v>
      </c>
      <c r="L43">
        <f t="shared" si="8"/>
        <v>14.0834232</v>
      </c>
      <c r="M43">
        <f t="shared" si="9"/>
        <v>14.261940000000003</v>
      </c>
      <c r="N43">
        <f t="shared" si="10"/>
        <v>10.8002664</v>
      </c>
      <c r="O43">
        <f t="shared" si="11"/>
        <v>9.9412399058823535</v>
      </c>
      <c r="P43">
        <f t="shared" si="12"/>
        <v>5.0799136069114477</v>
      </c>
      <c r="Q43">
        <f t="shared" si="13"/>
        <v>58.800000000000004</v>
      </c>
      <c r="R43">
        <f t="shared" si="14"/>
        <v>924</v>
      </c>
      <c r="S43">
        <f t="shared" si="15"/>
        <v>430.815</v>
      </c>
      <c r="T43">
        <f t="shared" si="16"/>
        <v>31.184999999999999</v>
      </c>
      <c r="U43">
        <f>I43*E43/'[1]Inverter Analysis'!$L$2</f>
        <v>418.48088384173269</v>
      </c>
      <c r="V43">
        <f t="shared" si="17"/>
        <v>173.16017316017317</v>
      </c>
      <c r="W43">
        <f t="shared" si="18"/>
        <v>185.69455566774602</v>
      </c>
      <c r="X43">
        <f t="shared" si="19"/>
        <v>123.68583797155225</v>
      </c>
      <c r="Y43">
        <f t="shared" si="20"/>
        <v>0.15517110602088729</v>
      </c>
      <c r="Z43">
        <f t="shared" si="21"/>
        <v>20.841508982765632</v>
      </c>
    </row>
    <row r="44" spans="1:26">
      <c r="A44">
        <v>13</v>
      </c>
      <c r="B44" s="1">
        <v>6</v>
      </c>
      <c r="C44" s="1">
        <v>11</v>
      </c>
      <c r="D44">
        <f t="shared" si="0"/>
        <v>960</v>
      </c>
      <c r="E44">
        <f t="shared" si="1"/>
        <v>270</v>
      </c>
      <c r="F44">
        <f t="shared" si="2"/>
        <v>60.06</v>
      </c>
      <c r="G44">
        <f t="shared" si="3"/>
        <v>0.10724999999999998</v>
      </c>
      <c r="H44">
        <f t="shared" si="4"/>
        <v>162.16200000000001</v>
      </c>
      <c r="I44">
        <f t="shared" si="5"/>
        <v>600.6</v>
      </c>
      <c r="J44">
        <f t="shared" si="6"/>
        <v>429</v>
      </c>
      <c r="K44">
        <f t="shared" si="7"/>
        <v>115.83</v>
      </c>
      <c r="L44">
        <f t="shared" si="8"/>
        <v>13.0774644</v>
      </c>
      <c r="M44">
        <f t="shared" si="9"/>
        <v>13.243229999999999</v>
      </c>
      <c r="N44">
        <f t="shared" si="10"/>
        <v>10.028818800000002</v>
      </c>
      <c r="O44">
        <f t="shared" si="11"/>
        <v>9.2311513411764707</v>
      </c>
      <c r="P44">
        <f t="shared" si="12"/>
        <v>4.7170626349892011</v>
      </c>
      <c r="Q44">
        <f t="shared" si="13"/>
        <v>54.6</v>
      </c>
      <c r="R44">
        <f t="shared" si="14"/>
        <v>858</v>
      </c>
      <c r="S44">
        <f t="shared" si="15"/>
        <v>400.04250000000002</v>
      </c>
      <c r="T44">
        <f t="shared" si="16"/>
        <v>28.957499999999996</v>
      </c>
      <c r="U44">
        <f>I44*E44/'[1]Inverter Analysis'!$L$2</f>
        <v>388.58939213875175</v>
      </c>
      <c r="V44">
        <f t="shared" si="17"/>
        <v>186.48018648018649</v>
      </c>
      <c r="W44">
        <f t="shared" si="18"/>
        <v>199.97875225757264</v>
      </c>
      <c r="X44">
        <f t="shared" si="19"/>
        <v>133.20013320013319</v>
      </c>
      <c r="Y44">
        <f t="shared" si="20"/>
        <v>0.17996175609523027</v>
      </c>
      <c r="Z44">
        <f t="shared" si="21"/>
        <v>16.686878730005859</v>
      </c>
    </row>
    <row r="45" spans="1:26">
      <c r="A45">
        <v>12</v>
      </c>
      <c r="B45" s="1">
        <v>6</v>
      </c>
      <c r="C45" s="1">
        <v>11</v>
      </c>
      <c r="D45">
        <f t="shared" si="0"/>
        <v>960</v>
      </c>
      <c r="E45">
        <f t="shared" si="1"/>
        <v>270</v>
      </c>
      <c r="F45">
        <f t="shared" si="2"/>
        <v>55.44</v>
      </c>
      <c r="G45">
        <f t="shared" si="3"/>
        <v>9.8999999999999991E-2</v>
      </c>
      <c r="H45">
        <f t="shared" si="4"/>
        <v>149.68799999999999</v>
      </c>
      <c r="I45">
        <f t="shared" si="5"/>
        <v>554.4</v>
      </c>
      <c r="J45">
        <f t="shared" si="6"/>
        <v>396</v>
      </c>
      <c r="K45">
        <f t="shared" si="7"/>
        <v>106.92</v>
      </c>
      <c r="L45">
        <f t="shared" si="8"/>
        <v>12.0715056</v>
      </c>
      <c r="M45">
        <f t="shared" si="9"/>
        <v>12.224519999999998</v>
      </c>
      <c r="N45">
        <f t="shared" si="10"/>
        <v>9.2573711999999997</v>
      </c>
      <c r="O45">
        <f t="shared" si="11"/>
        <v>8.521062776470588</v>
      </c>
      <c r="P45">
        <f t="shared" si="12"/>
        <v>4.3542116630669545</v>
      </c>
      <c r="Q45">
        <f t="shared" si="13"/>
        <v>50.4</v>
      </c>
      <c r="R45">
        <f t="shared" si="14"/>
        <v>792</v>
      </c>
      <c r="S45">
        <f t="shared" si="15"/>
        <v>369.27</v>
      </c>
      <c r="T45">
        <f t="shared" si="16"/>
        <v>26.729999999999997</v>
      </c>
      <c r="U45">
        <f>I45*E45/'[1]Inverter Analysis'!$L$2</f>
        <v>358.69790043577086</v>
      </c>
      <c r="V45">
        <f t="shared" si="17"/>
        <v>202.02020202020202</v>
      </c>
      <c r="W45">
        <f t="shared" si="18"/>
        <v>216.64364827903702</v>
      </c>
      <c r="X45">
        <f t="shared" si="19"/>
        <v>144.3001443001443</v>
      </c>
      <c r="Y45">
        <f t="shared" si="20"/>
        <v>0.21120511652842996</v>
      </c>
      <c r="Z45">
        <f t="shared" si="21"/>
        <v>13.124682041625</v>
      </c>
    </row>
    <row r="46" spans="1:26">
      <c r="A46">
        <v>11</v>
      </c>
      <c r="B46" s="1">
        <v>6</v>
      </c>
      <c r="C46" s="1">
        <v>11</v>
      </c>
      <c r="D46">
        <f t="shared" si="0"/>
        <v>960</v>
      </c>
      <c r="E46">
        <f t="shared" si="1"/>
        <v>270</v>
      </c>
      <c r="F46">
        <f t="shared" si="2"/>
        <v>50.82</v>
      </c>
      <c r="G46">
        <f t="shared" si="3"/>
        <v>9.0749999999999983E-2</v>
      </c>
      <c r="H46">
        <f t="shared" si="4"/>
        <v>137.214</v>
      </c>
      <c r="I46">
        <f t="shared" si="5"/>
        <v>508.20000000000005</v>
      </c>
      <c r="J46">
        <f t="shared" si="6"/>
        <v>363</v>
      </c>
      <c r="K46">
        <f t="shared" si="7"/>
        <v>98.01</v>
      </c>
      <c r="L46">
        <f t="shared" si="8"/>
        <v>11.0655468</v>
      </c>
      <c r="M46">
        <f t="shared" si="9"/>
        <v>11.20581</v>
      </c>
      <c r="N46">
        <f t="shared" si="10"/>
        <v>8.4859235999999996</v>
      </c>
      <c r="O46">
        <f t="shared" si="11"/>
        <v>7.8109742117647061</v>
      </c>
      <c r="P46">
        <f t="shared" si="12"/>
        <v>3.9913606911447088</v>
      </c>
      <c r="Q46">
        <f t="shared" si="13"/>
        <v>46.2</v>
      </c>
      <c r="R46">
        <f t="shared" si="14"/>
        <v>726</v>
      </c>
      <c r="S46">
        <f t="shared" si="15"/>
        <v>338.4975</v>
      </c>
      <c r="T46">
        <f t="shared" si="16"/>
        <v>24.502499999999994</v>
      </c>
      <c r="U46">
        <f>I46*E46/'[1]Inverter Analysis'!$L$2</f>
        <v>328.80640873278992</v>
      </c>
      <c r="V46">
        <f t="shared" si="17"/>
        <v>220.38567493112947</v>
      </c>
      <c r="W46">
        <f t="shared" si="18"/>
        <v>236.3385253953131</v>
      </c>
      <c r="X46">
        <f t="shared" si="19"/>
        <v>157.41833923652104</v>
      </c>
      <c r="Y46">
        <f t="shared" si="20"/>
        <v>0.25135154363713974</v>
      </c>
      <c r="Z46">
        <f t="shared" si="21"/>
        <v>10.109347104978516</v>
      </c>
    </row>
    <row r="47" spans="1:26">
      <c r="A47">
        <v>10</v>
      </c>
      <c r="B47" s="1">
        <v>6</v>
      </c>
      <c r="C47" s="1">
        <v>11</v>
      </c>
      <c r="D47">
        <f t="shared" si="0"/>
        <v>960</v>
      </c>
      <c r="E47">
        <f t="shared" si="1"/>
        <v>270</v>
      </c>
      <c r="F47">
        <f t="shared" si="2"/>
        <v>46.2</v>
      </c>
      <c r="G47">
        <f t="shared" si="3"/>
        <v>8.249999999999999E-2</v>
      </c>
      <c r="H47">
        <f t="shared" si="4"/>
        <v>124.74</v>
      </c>
      <c r="I47">
        <f t="shared" si="5"/>
        <v>462</v>
      </c>
      <c r="J47">
        <f t="shared" si="6"/>
        <v>330</v>
      </c>
      <c r="K47">
        <f t="shared" si="7"/>
        <v>89.1</v>
      </c>
      <c r="L47">
        <f t="shared" si="8"/>
        <v>10.059588</v>
      </c>
      <c r="M47">
        <f t="shared" si="9"/>
        <v>10.187099999999999</v>
      </c>
      <c r="N47">
        <f t="shared" si="10"/>
        <v>7.7144759999999986</v>
      </c>
      <c r="O47">
        <f t="shared" si="11"/>
        <v>7.1008856470588242</v>
      </c>
      <c r="P47">
        <f t="shared" si="12"/>
        <v>3.6285097192224622</v>
      </c>
      <c r="Q47">
        <f t="shared" si="13"/>
        <v>42</v>
      </c>
      <c r="R47">
        <f t="shared" si="14"/>
        <v>660</v>
      </c>
      <c r="S47">
        <f t="shared" si="15"/>
        <v>307.72500000000002</v>
      </c>
      <c r="T47">
        <f t="shared" si="16"/>
        <v>22.274999999999999</v>
      </c>
      <c r="U47">
        <f>I47*E47/'[1]Inverter Analysis'!$L$2</f>
        <v>298.91491702980903</v>
      </c>
      <c r="V47">
        <f t="shared" si="17"/>
        <v>242.42424242424244</v>
      </c>
      <c r="W47">
        <f t="shared" si="18"/>
        <v>259.97237793484442</v>
      </c>
      <c r="X47">
        <f t="shared" si="19"/>
        <v>173.16017316017317</v>
      </c>
      <c r="Y47">
        <f t="shared" si="20"/>
        <v>0.30413536780093908</v>
      </c>
      <c r="Z47">
        <f t="shared" si="21"/>
        <v>7.5953021074218761</v>
      </c>
    </row>
    <row r="48" spans="1:26">
      <c r="A48" s="8">
        <v>16</v>
      </c>
      <c r="B48" s="9">
        <v>5</v>
      </c>
      <c r="C48" s="1">
        <v>11</v>
      </c>
      <c r="D48">
        <f t="shared" si="0"/>
        <v>800</v>
      </c>
      <c r="E48">
        <f t="shared" si="1"/>
        <v>225</v>
      </c>
      <c r="F48">
        <f t="shared" si="2"/>
        <v>61.6</v>
      </c>
      <c r="G48">
        <f t="shared" si="3"/>
        <v>0.15839999999999999</v>
      </c>
      <c r="H48">
        <f t="shared" si="4"/>
        <v>166.32</v>
      </c>
      <c r="I48">
        <f t="shared" si="5"/>
        <v>739.2</v>
      </c>
      <c r="J48">
        <f t="shared" si="6"/>
        <v>528</v>
      </c>
      <c r="K48">
        <f t="shared" si="7"/>
        <v>118.8</v>
      </c>
      <c r="L48">
        <f t="shared" si="8"/>
        <v>13.412784000000002</v>
      </c>
      <c r="M48">
        <f t="shared" si="9"/>
        <v>13.582799999999999</v>
      </c>
      <c r="N48">
        <f t="shared" si="10"/>
        <v>10.285968</v>
      </c>
      <c r="O48">
        <f t="shared" si="11"/>
        <v>9.4678475294117668</v>
      </c>
      <c r="P48">
        <f t="shared" si="12"/>
        <v>4.838012958963283</v>
      </c>
      <c r="Q48">
        <f t="shared" si="13"/>
        <v>67.2</v>
      </c>
      <c r="R48">
        <f t="shared" si="14"/>
        <v>880</v>
      </c>
      <c r="S48">
        <f t="shared" si="15"/>
        <v>492.36</v>
      </c>
      <c r="T48">
        <f t="shared" si="16"/>
        <v>35.639999999999993</v>
      </c>
      <c r="U48">
        <f>I48*E48/'[1]Inverter Analysis'!$L$2</f>
        <v>398.55322270641204</v>
      </c>
      <c r="V48">
        <f t="shared" si="17"/>
        <v>151.5151515151515</v>
      </c>
      <c r="W48">
        <f t="shared" si="18"/>
        <v>162.48273620927776</v>
      </c>
      <c r="X48">
        <f t="shared" si="19"/>
        <v>108.22510822510822</v>
      </c>
      <c r="Y48">
        <f t="shared" si="20"/>
        <v>0.11880287804724184</v>
      </c>
      <c r="Z48">
        <f t="shared" si="21"/>
        <v>25.925297860000001</v>
      </c>
    </row>
    <row r="49" spans="1:26">
      <c r="A49" s="8">
        <v>15</v>
      </c>
      <c r="B49" s="9">
        <v>5</v>
      </c>
      <c r="C49" s="1">
        <v>11</v>
      </c>
      <c r="D49">
        <f t="shared" si="0"/>
        <v>800</v>
      </c>
      <c r="E49">
        <f t="shared" si="1"/>
        <v>225</v>
      </c>
      <c r="F49">
        <f t="shared" si="2"/>
        <v>57.75</v>
      </c>
      <c r="G49">
        <f t="shared" si="3"/>
        <v>0.14849999999999999</v>
      </c>
      <c r="H49">
        <f t="shared" si="4"/>
        <v>155.92500000000001</v>
      </c>
      <c r="I49">
        <f t="shared" si="5"/>
        <v>693</v>
      </c>
      <c r="J49">
        <f t="shared" si="6"/>
        <v>495</v>
      </c>
      <c r="K49">
        <f t="shared" si="7"/>
        <v>111.375</v>
      </c>
      <c r="L49">
        <f t="shared" si="8"/>
        <v>12.574485000000001</v>
      </c>
      <c r="M49">
        <f t="shared" si="9"/>
        <v>12.733874999999999</v>
      </c>
      <c r="N49">
        <f t="shared" si="10"/>
        <v>9.6430949999999989</v>
      </c>
      <c r="O49">
        <f t="shared" si="11"/>
        <v>8.8761070588235302</v>
      </c>
      <c r="P49">
        <f t="shared" si="12"/>
        <v>4.5356371490280774</v>
      </c>
      <c r="Q49">
        <f t="shared" si="13"/>
        <v>63</v>
      </c>
      <c r="R49">
        <f t="shared" si="14"/>
        <v>825</v>
      </c>
      <c r="S49">
        <f t="shared" si="15"/>
        <v>461.58749999999998</v>
      </c>
      <c r="T49">
        <f t="shared" si="16"/>
        <v>33.412500000000001</v>
      </c>
      <c r="U49">
        <f>I49*E49/'[1]Inverter Analysis'!$L$2</f>
        <v>373.64364628726128</v>
      </c>
      <c r="V49">
        <f t="shared" si="17"/>
        <v>161.61616161616161</v>
      </c>
      <c r="W49">
        <f t="shared" si="18"/>
        <v>173.31491862322963</v>
      </c>
      <c r="X49">
        <f t="shared" si="19"/>
        <v>115.44011544011543</v>
      </c>
      <c r="Y49">
        <f t="shared" si="20"/>
        <v>0.13517127457819519</v>
      </c>
      <c r="Z49">
        <f t="shared" si="21"/>
        <v>21.361787177124022</v>
      </c>
    </row>
    <row r="50" spans="1:26">
      <c r="A50">
        <v>14</v>
      </c>
      <c r="B50" s="9">
        <v>5</v>
      </c>
      <c r="C50" s="1">
        <v>11</v>
      </c>
      <c r="D50">
        <f t="shared" si="0"/>
        <v>800</v>
      </c>
      <c r="E50">
        <f t="shared" si="1"/>
        <v>225</v>
      </c>
      <c r="F50">
        <f t="shared" si="2"/>
        <v>53.9</v>
      </c>
      <c r="G50">
        <f t="shared" si="3"/>
        <v>0.1386</v>
      </c>
      <c r="H50">
        <f t="shared" si="4"/>
        <v>145.53000000000003</v>
      </c>
      <c r="I50">
        <f t="shared" si="5"/>
        <v>646.80000000000007</v>
      </c>
      <c r="J50">
        <f t="shared" si="6"/>
        <v>462</v>
      </c>
      <c r="K50">
        <f t="shared" si="7"/>
        <v>103.95</v>
      </c>
      <c r="L50">
        <f t="shared" si="8"/>
        <v>11.736186</v>
      </c>
      <c r="M50">
        <f t="shared" si="9"/>
        <v>11.88495</v>
      </c>
      <c r="N50">
        <f t="shared" si="10"/>
        <v>9.0002220000000008</v>
      </c>
      <c r="O50">
        <f t="shared" si="11"/>
        <v>8.2843665882352955</v>
      </c>
      <c r="P50">
        <f t="shared" si="12"/>
        <v>4.2332613390928735</v>
      </c>
      <c r="Q50">
        <f t="shared" si="13"/>
        <v>58.800000000000004</v>
      </c>
      <c r="R50">
        <f t="shared" si="14"/>
        <v>770</v>
      </c>
      <c r="S50">
        <f t="shared" si="15"/>
        <v>430.815</v>
      </c>
      <c r="T50">
        <f t="shared" si="16"/>
        <v>31.184999999999999</v>
      </c>
      <c r="U50">
        <f>I50*E50/'[1]Inverter Analysis'!$L$2</f>
        <v>348.73406986811062</v>
      </c>
      <c r="V50">
        <f t="shared" si="17"/>
        <v>173.16017316017317</v>
      </c>
      <c r="W50">
        <f t="shared" si="18"/>
        <v>185.69455566774602</v>
      </c>
      <c r="X50">
        <f t="shared" si="19"/>
        <v>123.68583797155225</v>
      </c>
      <c r="Y50">
        <f t="shared" si="20"/>
        <v>0.15517110602088729</v>
      </c>
      <c r="Z50">
        <f t="shared" si="21"/>
        <v>17.367924152304688</v>
      </c>
    </row>
    <row r="51" spans="1:26">
      <c r="A51">
        <v>13</v>
      </c>
      <c r="B51" s="9">
        <v>5</v>
      </c>
      <c r="C51" s="1">
        <v>11</v>
      </c>
      <c r="D51">
        <f t="shared" si="0"/>
        <v>800</v>
      </c>
      <c r="E51">
        <f t="shared" si="1"/>
        <v>225</v>
      </c>
      <c r="F51">
        <f t="shared" si="2"/>
        <v>50.05</v>
      </c>
      <c r="G51">
        <f t="shared" si="3"/>
        <v>0.12870000000000001</v>
      </c>
      <c r="H51">
        <f t="shared" si="4"/>
        <v>135.13499999999999</v>
      </c>
      <c r="I51">
        <f t="shared" si="5"/>
        <v>600.6</v>
      </c>
      <c r="J51">
        <f t="shared" si="6"/>
        <v>429</v>
      </c>
      <c r="K51">
        <f t="shared" si="7"/>
        <v>96.525000000000006</v>
      </c>
      <c r="L51">
        <f t="shared" si="8"/>
        <v>10.897887000000001</v>
      </c>
      <c r="M51">
        <f t="shared" si="9"/>
        <v>11.036025</v>
      </c>
      <c r="N51">
        <f t="shared" si="10"/>
        <v>8.357349000000001</v>
      </c>
      <c r="O51">
        <f t="shared" si="11"/>
        <v>7.6926261176470598</v>
      </c>
      <c r="P51">
        <f t="shared" si="12"/>
        <v>3.9308855291576674</v>
      </c>
      <c r="Q51">
        <f t="shared" si="13"/>
        <v>54.6</v>
      </c>
      <c r="R51">
        <f t="shared" si="14"/>
        <v>715</v>
      </c>
      <c r="S51">
        <f t="shared" si="15"/>
        <v>400.04250000000002</v>
      </c>
      <c r="T51">
        <f t="shared" si="16"/>
        <v>28.957500000000003</v>
      </c>
      <c r="U51">
        <f>I51*E51/'[1]Inverter Analysis'!$L$2</f>
        <v>323.8244934489598</v>
      </c>
      <c r="V51">
        <f t="shared" si="17"/>
        <v>186.48018648018649</v>
      </c>
      <c r="W51">
        <f t="shared" si="18"/>
        <v>199.97875225757264</v>
      </c>
      <c r="X51">
        <f t="shared" si="19"/>
        <v>133.20013320013319</v>
      </c>
      <c r="Y51">
        <f t="shared" si="20"/>
        <v>0.17996175609523027</v>
      </c>
      <c r="Z51">
        <f t="shared" si="21"/>
        <v>13.90573227500488</v>
      </c>
    </row>
    <row r="52" spans="1:26">
      <c r="A52">
        <v>12</v>
      </c>
      <c r="B52" s="9">
        <v>5</v>
      </c>
      <c r="C52" s="1">
        <v>11</v>
      </c>
      <c r="D52">
        <f t="shared" si="0"/>
        <v>800</v>
      </c>
      <c r="E52">
        <f t="shared" si="1"/>
        <v>225</v>
      </c>
      <c r="F52">
        <f t="shared" si="2"/>
        <v>46.2</v>
      </c>
      <c r="G52">
        <f t="shared" si="3"/>
        <v>0.1188</v>
      </c>
      <c r="H52">
        <f t="shared" si="4"/>
        <v>124.74</v>
      </c>
      <c r="I52">
        <f t="shared" si="5"/>
        <v>554.4</v>
      </c>
      <c r="J52">
        <f t="shared" si="6"/>
        <v>396</v>
      </c>
      <c r="K52">
        <f t="shared" si="7"/>
        <v>89.1</v>
      </c>
      <c r="L52">
        <f t="shared" si="8"/>
        <v>10.059588</v>
      </c>
      <c r="M52">
        <f t="shared" si="9"/>
        <v>10.187099999999999</v>
      </c>
      <c r="N52">
        <f t="shared" si="10"/>
        <v>7.7144759999999994</v>
      </c>
      <c r="O52">
        <f t="shared" si="11"/>
        <v>7.1008856470588242</v>
      </c>
      <c r="P52">
        <f t="shared" si="12"/>
        <v>3.6285097192224622</v>
      </c>
      <c r="Q52">
        <f t="shared" si="13"/>
        <v>50.4</v>
      </c>
      <c r="R52">
        <f t="shared" si="14"/>
        <v>660</v>
      </c>
      <c r="S52">
        <f t="shared" si="15"/>
        <v>369.27</v>
      </c>
      <c r="T52">
        <f t="shared" si="16"/>
        <v>26.73</v>
      </c>
      <c r="U52">
        <f>I52*E52/'[1]Inverter Analysis'!$L$2</f>
        <v>298.91491702980903</v>
      </c>
      <c r="V52">
        <f t="shared" si="17"/>
        <v>202.02020202020202</v>
      </c>
      <c r="W52">
        <f t="shared" si="18"/>
        <v>216.64364827903702</v>
      </c>
      <c r="X52">
        <f t="shared" si="19"/>
        <v>144.3001443001443</v>
      </c>
      <c r="Y52">
        <f t="shared" si="20"/>
        <v>0.21120511652842996</v>
      </c>
      <c r="Z52">
        <f t="shared" si="21"/>
        <v>10.9372350346875</v>
      </c>
    </row>
    <row r="53" spans="1:26">
      <c r="A53">
        <v>11</v>
      </c>
      <c r="B53" s="9">
        <v>5</v>
      </c>
      <c r="C53" s="1">
        <v>11</v>
      </c>
      <c r="D53">
        <f t="shared" si="0"/>
        <v>800</v>
      </c>
      <c r="E53">
        <f t="shared" si="1"/>
        <v>225</v>
      </c>
      <c r="F53">
        <f t="shared" si="2"/>
        <v>42.35</v>
      </c>
      <c r="G53">
        <f t="shared" si="3"/>
        <v>0.1089</v>
      </c>
      <c r="H53">
        <f t="shared" si="4"/>
        <v>114.34500000000001</v>
      </c>
      <c r="I53">
        <f t="shared" si="5"/>
        <v>508.20000000000005</v>
      </c>
      <c r="J53">
        <f t="shared" si="6"/>
        <v>363</v>
      </c>
      <c r="K53">
        <f t="shared" si="7"/>
        <v>81.674999999999997</v>
      </c>
      <c r="L53">
        <f t="shared" si="8"/>
        <v>9.2212890000000005</v>
      </c>
      <c r="M53">
        <f t="shared" si="9"/>
        <v>9.3381749999999997</v>
      </c>
      <c r="N53">
        <f t="shared" si="10"/>
        <v>7.0716029999999996</v>
      </c>
      <c r="O53">
        <f t="shared" si="11"/>
        <v>6.5091451764705894</v>
      </c>
      <c r="P53">
        <f t="shared" si="12"/>
        <v>3.3261339092872571</v>
      </c>
      <c r="Q53">
        <f t="shared" si="13"/>
        <v>46.2</v>
      </c>
      <c r="R53">
        <f t="shared" si="14"/>
        <v>605</v>
      </c>
      <c r="S53">
        <f t="shared" si="15"/>
        <v>338.4975</v>
      </c>
      <c r="T53">
        <f t="shared" si="16"/>
        <v>24.502499999999998</v>
      </c>
      <c r="U53">
        <f>I53*E53/'[1]Inverter Analysis'!$L$2</f>
        <v>274.00534061065832</v>
      </c>
      <c r="V53">
        <f t="shared" si="17"/>
        <v>220.38567493112947</v>
      </c>
      <c r="W53">
        <f t="shared" si="18"/>
        <v>236.3385253953131</v>
      </c>
      <c r="X53">
        <f t="shared" si="19"/>
        <v>157.41833923652104</v>
      </c>
      <c r="Y53">
        <f t="shared" si="20"/>
        <v>0.25135154363713974</v>
      </c>
      <c r="Z53">
        <f t="shared" si="21"/>
        <v>8.424455920815431</v>
      </c>
    </row>
    <row r="54" spans="1:26">
      <c r="A54">
        <v>10</v>
      </c>
      <c r="B54" s="9">
        <v>5</v>
      </c>
      <c r="C54" s="1">
        <v>11</v>
      </c>
      <c r="D54">
        <f t="shared" si="0"/>
        <v>800</v>
      </c>
      <c r="E54">
        <f t="shared" si="1"/>
        <v>225</v>
      </c>
      <c r="F54">
        <f t="shared" si="2"/>
        <v>38.5</v>
      </c>
      <c r="G54">
        <f t="shared" si="3"/>
        <v>9.8999999999999991E-2</v>
      </c>
      <c r="H54">
        <f t="shared" si="4"/>
        <v>103.95</v>
      </c>
      <c r="I54">
        <f t="shared" si="5"/>
        <v>462</v>
      </c>
      <c r="J54">
        <f t="shared" si="6"/>
        <v>330</v>
      </c>
      <c r="K54">
        <f t="shared" si="7"/>
        <v>74.25</v>
      </c>
      <c r="L54">
        <f t="shared" si="8"/>
        <v>8.3829899999999995</v>
      </c>
      <c r="M54">
        <f t="shared" si="9"/>
        <v>8.4892500000000002</v>
      </c>
      <c r="N54">
        <f t="shared" si="10"/>
        <v>6.4287299999999998</v>
      </c>
      <c r="O54">
        <f t="shared" si="11"/>
        <v>5.9174047058823529</v>
      </c>
      <c r="P54">
        <f t="shared" si="12"/>
        <v>3.0237580993520514</v>
      </c>
      <c r="Q54">
        <f t="shared" si="13"/>
        <v>42</v>
      </c>
      <c r="R54">
        <f t="shared" si="14"/>
        <v>550</v>
      </c>
      <c r="S54">
        <f t="shared" si="15"/>
        <v>307.72500000000002</v>
      </c>
      <c r="T54">
        <f t="shared" si="16"/>
        <v>22.274999999999999</v>
      </c>
      <c r="U54">
        <f>I54*E54/'[1]Inverter Analysis'!$L$2</f>
        <v>249.09576419150753</v>
      </c>
      <c r="V54">
        <f t="shared" si="17"/>
        <v>242.42424242424244</v>
      </c>
      <c r="W54">
        <f t="shared" si="18"/>
        <v>259.97237793484442</v>
      </c>
      <c r="X54">
        <f t="shared" si="19"/>
        <v>173.16017316017317</v>
      </c>
      <c r="Y54">
        <f t="shared" si="20"/>
        <v>0.30413536780093908</v>
      </c>
      <c r="Z54">
        <f t="shared" si="21"/>
        <v>6.3294184228515622</v>
      </c>
    </row>
    <row r="55" spans="1:26">
      <c r="A55">
        <v>16</v>
      </c>
      <c r="B55">
        <v>4</v>
      </c>
      <c r="C55" s="1">
        <v>11</v>
      </c>
      <c r="D55">
        <f t="shared" si="0"/>
        <v>640</v>
      </c>
      <c r="E55">
        <f t="shared" si="1"/>
        <v>180</v>
      </c>
      <c r="F55">
        <f t="shared" si="2"/>
        <v>49.28</v>
      </c>
      <c r="G55">
        <f t="shared" si="3"/>
        <v>0.19799999999999998</v>
      </c>
      <c r="H55">
        <f t="shared" si="4"/>
        <v>133.05600000000001</v>
      </c>
      <c r="I55">
        <f t="shared" si="5"/>
        <v>739.2</v>
      </c>
      <c r="J55">
        <f t="shared" si="6"/>
        <v>528</v>
      </c>
      <c r="K55">
        <f t="shared" si="7"/>
        <v>95.04</v>
      </c>
      <c r="L55">
        <f t="shared" si="8"/>
        <v>10.730227200000002</v>
      </c>
      <c r="M55">
        <f t="shared" si="9"/>
        <v>10.866239999999999</v>
      </c>
      <c r="N55">
        <f t="shared" si="10"/>
        <v>8.2287744000000007</v>
      </c>
      <c r="O55">
        <f t="shared" si="11"/>
        <v>7.5742780235294136</v>
      </c>
      <c r="P55">
        <f t="shared" si="12"/>
        <v>3.8704103671706265</v>
      </c>
      <c r="Q55">
        <f t="shared" si="13"/>
        <v>67.2</v>
      </c>
      <c r="R55">
        <f t="shared" si="14"/>
        <v>704</v>
      </c>
      <c r="S55">
        <f t="shared" si="15"/>
        <v>492.36</v>
      </c>
      <c r="T55">
        <f t="shared" si="16"/>
        <v>35.639999999999993</v>
      </c>
      <c r="U55">
        <f>I55*E55/'[1]Inverter Analysis'!$L$2</f>
        <v>318.84257816512962</v>
      </c>
      <c r="V55">
        <f t="shared" si="17"/>
        <v>151.5151515151515</v>
      </c>
      <c r="W55">
        <f t="shared" si="18"/>
        <v>162.48273620927776</v>
      </c>
      <c r="X55">
        <f t="shared" si="19"/>
        <v>108.22510822510822</v>
      </c>
      <c r="Y55">
        <f t="shared" si="20"/>
        <v>0.11880287804724184</v>
      </c>
      <c r="Z55">
        <f t="shared" si="21"/>
        <v>20.740238288</v>
      </c>
    </row>
    <row r="56" spans="1:26">
      <c r="A56">
        <v>15</v>
      </c>
      <c r="B56">
        <v>4</v>
      </c>
      <c r="C56" s="1">
        <v>11</v>
      </c>
      <c r="D56">
        <f t="shared" si="0"/>
        <v>640</v>
      </c>
      <c r="E56">
        <f t="shared" si="1"/>
        <v>180</v>
      </c>
      <c r="F56">
        <f t="shared" si="2"/>
        <v>46.2</v>
      </c>
      <c r="G56">
        <f t="shared" si="3"/>
        <v>0.18562499999999998</v>
      </c>
      <c r="H56">
        <f t="shared" si="4"/>
        <v>124.74</v>
      </c>
      <c r="I56">
        <f t="shared" si="5"/>
        <v>693</v>
      </c>
      <c r="J56">
        <f t="shared" si="6"/>
        <v>495</v>
      </c>
      <c r="K56">
        <f t="shared" si="7"/>
        <v>89.1</v>
      </c>
      <c r="L56">
        <f t="shared" si="8"/>
        <v>10.059588</v>
      </c>
      <c r="M56">
        <f t="shared" si="9"/>
        <v>10.187100000000001</v>
      </c>
      <c r="N56">
        <f t="shared" si="10"/>
        <v>7.7144759999999994</v>
      </c>
      <c r="O56">
        <f t="shared" si="11"/>
        <v>7.1008856470588242</v>
      </c>
      <c r="P56">
        <f t="shared" si="12"/>
        <v>3.6285097192224622</v>
      </c>
      <c r="Q56">
        <f t="shared" si="13"/>
        <v>63</v>
      </c>
      <c r="R56">
        <f t="shared" si="14"/>
        <v>660</v>
      </c>
      <c r="S56">
        <f t="shared" si="15"/>
        <v>461.58749999999998</v>
      </c>
      <c r="T56">
        <f t="shared" si="16"/>
        <v>33.412499999999994</v>
      </c>
      <c r="U56">
        <f>I56*E56/'[1]Inverter Analysis'!$L$2</f>
        <v>298.91491702980903</v>
      </c>
      <c r="V56">
        <f t="shared" si="17"/>
        <v>161.61616161616161</v>
      </c>
      <c r="W56">
        <f t="shared" si="18"/>
        <v>173.31491862322963</v>
      </c>
      <c r="X56">
        <f t="shared" si="19"/>
        <v>115.44011544011543</v>
      </c>
      <c r="Y56">
        <f t="shared" si="20"/>
        <v>0.13517127457819519</v>
      </c>
      <c r="Z56">
        <f t="shared" si="21"/>
        <v>17.089429741699217</v>
      </c>
    </row>
    <row r="57" spans="1:26">
      <c r="A57">
        <v>14</v>
      </c>
      <c r="B57">
        <v>4</v>
      </c>
      <c r="C57" s="1">
        <v>11</v>
      </c>
      <c r="D57">
        <f t="shared" si="0"/>
        <v>640</v>
      </c>
      <c r="E57">
        <f t="shared" si="1"/>
        <v>180</v>
      </c>
      <c r="F57">
        <f t="shared" si="2"/>
        <v>43.12</v>
      </c>
      <c r="G57">
        <f t="shared" si="3"/>
        <v>0.17325000000000002</v>
      </c>
      <c r="H57">
        <f t="shared" si="4"/>
        <v>116.42400000000002</v>
      </c>
      <c r="I57">
        <f t="shared" si="5"/>
        <v>646.80000000000007</v>
      </c>
      <c r="J57">
        <f t="shared" si="6"/>
        <v>462</v>
      </c>
      <c r="K57">
        <f t="shared" si="7"/>
        <v>83.16</v>
      </c>
      <c r="L57">
        <f t="shared" si="8"/>
        <v>9.3889487999999997</v>
      </c>
      <c r="M57">
        <f t="shared" si="9"/>
        <v>9.5079600000000006</v>
      </c>
      <c r="N57">
        <f t="shared" si="10"/>
        <v>7.2001776000000008</v>
      </c>
      <c r="O57">
        <f t="shared" si="11"/>
        <v>6.6274932705882357</v>
      </c>
      <c r="P57">
        <f t="shared" si="12"/>
        <v>3.3866090712742984</v>
      </c>
      <c r="Q57">
        <f t="shared" si="13"/>
        <v>58.800000000000004</v>
      </c>
      <c r="R57">
        <f t="shared" si="14"/>
        <v>616</v>
      </c>
      <c r="S57">
        <f t="shared" si="15"/>
        <v>430.815</v>
      </c>
      <c r="T57">
        <f t="shared" si="16"/>
        <v>31.185000000000002</v>
      </c>
      <c r="U57">
        <f>I57*E57/'[1]Inverter Analysis'!$L$2</f>
        <v>278.98725589448844</v>
      </c>
      <c r="V57">
        <f t="shared" si="17"/>
        <v>173.16017316017317</v>
      </c>
      <c r="W57">
        <f t="shared" si="18"/>
        <v>185.69455566774602</v>
      </c>
      <c r="X57">
        <f t="shared" si="19"/>
        <v>123.68583797155225</v>
      </c>
      <c r="Y57">
        <f t="shared" si="20"/>
        <v>0.15517110602088729</v>
      </c>
      <c r="Z57">
        <f t="shared" si="21"/>
        <v>13.894339321843752</v>
      </c>
    </row>
    <row r="58" spans="1:26">
      <c r="A58">
        <v>13</v>
      </c>
      <c r="B58">
        <v>4</v>
      </c>
      <c r="C58" s="1">
        <v>11</v>
      </c>
      <c r="D58">
        <f t="shared" si="0"/>
        <v>640</v>
      </c>
      <c r="E58">
        <f t="shared" si="1"/>
        <v>180</v>
      </c>
      <c r="F58">
        <f t="shared" si="2"/>
        <v>40.04</v>
      </c>
      <c r="G58">
        <f t="shared" si="3"/>
        <v>0.16087499999999999</v>
      </c>
      <c r="H58">
        <f t="shared" si="4"/>
        <v>108.108</v>
      </c>
      <c r="I58">
        <f t="shared" si="5"/>
        <v>600.6</v>
      </c>
      <c r="J58">
        <f t="shared" si="6"/>
        <v>429</v>
      </c>
      <c r="K58">
        <f t="shared" si="7"/>
        <v>77.22</v>
      </c>
      <c r="L58">
        <f t="shared" si="8"/>
        <v>8.7183096000000013</v>
      </c>
      <c r="M58">
        <f t="shared" si="9"/>
        <v>8.8288200000000003</v>
      </c>
      <c r="N58">
        <f t="shared" si="10"/>
        <v>6.6858792000000005</v>
      </c>
      <c r="O58">
        <f t="shared" si="11"/>
        <v>6.154100894117648</v>
      </c>
      <c r="P58">
        <f t="shared" si="12"/>
        <v>3.1447084233261338</v>
      </c>
      <c r="Q58">
        <f t="shared" si="13"/>
        <v>54.6</v>
      </c>
      <c r="R58">
        <f t="shared" si="14"/>
        <v>572</v>
      </c>
      <c r="S58">
        <f t="shared" si="15"/>
        <v>400.04250000000002</v>
      </c>
      <c r="T58">
        <f t="shared" si="16"/>
        <v>28.9575</v>
      </c>
      <c r="U58">
        <f>I58*E58/'[1]Inverter Analysis'!$L$2</f>
        <v>259.05959475916785</v>
      </c>
      <c r="V58">
        <f t="shared" si="17"/>
        <v>186.48018648018649</v>
      </c>
      <c r="W58">
        <f t="shared" si="18"/>
        <v>199.97875225757264</v>
      </c>
      <c r="X58">
        <f t="shared" si="19"/>
        <v>133.20013320013319</v>
      </c>
      <c r="Y58">
        <f t="shared" si="20"/>
        <v>0.17996175609523027</v>
      </c>
      <c r="Z58">
        <f t="shared" si="21"/>
        <v>11.124585820003905</v>
      </c>
    </row>
    <row r="59" spans="1:26">
      <c r="A59">
        <v>12</v>
      </c>
      <c r="B59">
        <v>4</v>
      </c>
      <c r="C59" s="1">
        <v>11</v>
      </c>
      <c r="D59">
        <f t="shared" si="0"/>
        <v>640</v>
      </c>
      <c r="E59">
        <f t="shared" si="1"/>
        <v>180</v>
      </c>
      <c r="F59">
        <f t="shared" si="2"/>
        <v>36.96</v>
      </c>
      <c r="G59">
        <f t="shared" si="3"/>
        <v>0.14849999999999997</v>
      </c>
      <c r="H59">
        <f t="shared" si="4"/>
        <v>99.792000000000002</v>
      </c>
      <c r="I59">
        <f t="shared" si="5"/>
        <v>554.4</v>
      </c>
      <c r="J59">
        <f t="shared" si="6"/>
        <v>396</v>
      </c>
      <c r="K59">
        <f t="shared" si="7"/>
        <v>71.28</v>
      </c>
      <c r="L59">
        <f t="shared" si="8"/>
        <v>8.0476703999999994</v>
      </c>
      <c r="M59">
        <f t="shared" si="9"/>
        <v>8.14968</v>
      </c>
      <c r="N59">
        <f t="shared" si="10"/>
        <v>6.1715808000000001</v>
      </c>
      <c r="O59">
        <f t="shared" si="11"/>
        <v>5.6807085176470586</v>
      </c>
      <c r="P59">
        <f t="shared" si="12"/>
        <v>2.9028077753779695</v>
      </c>
      <c r="Q59">
        <f t="shared" si="13"/>
        <v>50.4</v>
      </c>
      <c r="R59">
        <f t="shared" si="14"/>
        <v>528</v>
      </c>
      <c r="S59">
        <f t="shared" si="15"/>
        <v>369.27</v>
      </c>
      <c r="T59">
        <f t="shared" si="16"/>
        <v>26.729999999999993</v>
      </c>
      <c r="U59">
        <f>I59*E59/'[1]Inverter Analysis'!$L$2</f>
        <v>239.13193362384723</v>
      </c>
      <c r="V59">
        <f t="shared" si="17"/>
        <v>202.02020202020202</v>
      </c>
      <c r="W59">
        <f t="shared" si="18"/>
        <v>216.64364827903702</v>
      </c>
      <c r="X59">
        <f t="shared" si="19"/>
        <v>144.3001443001443</v>
      </c>
      <c r="Y59">
        <f t="shared" si="20"/>
        <v>0.21120511652842996</v>
      </c>
      <c r="Z59">
        <f t="shared" si="21"/>
        <v>8.7497880277500002</v>
      </c>
    </row>
    <row r="60" spans="1:26">
      <c r="A60">
        <v>11</v>
      </c>
      <c r="B60">
        <v>4</v>
      </c>
      <c r="C60" s="1">
        <v>11</v>
      </c>
      <c r="D60">
        <f t="shared" si="0"/>
        <v>640</v>
      </c>
      <c r="E60">
        <f t="shared" si="1"/>
        <v>180</v>
      </c>
      <c r="F60">
        <f t="shared" si="2"/>
        <v>33.880000000000003</v>
      </c>
      <c r="G60">
        <f t="shared" si="3"/>
        <v>0.136125</v>
      </c>
      <c r="H60">
        <f t="shared" si="4"/>
        <v>91.476000000000013</v>
      </c>
      <c r="I60">
        <f t="shared" si="5"/>
        <v>508.20000000000005</v>
      </c>
      <c r="J60">
        <f t="shared" si="6"/>
        <v>363</v>
      </c>
      <c r="K60">
        <f t="shared" si="7"/>
        <v>65.34</v>
      </c>
      <c r="L60">
        <f t="shared" si="8"/>
        <v>7.3770312000000002</v>
      </c>
      <c r="M60">
        <f t="shared" si="9"/>
        <v>7.4705399999999997</v>
      </c>
      <c r="N60">
        <f t="shared" si="10"/>
        <v>5.6572823999999997</v>
      </c>
      <c r="O60">
        <f t="shared" si="11"/>
        <v>5.207316141176471</v>
      </c>
      <c r="P60">
        <f t="shared" si="12"/>
        <v>2.6609071274298057</v>
      </c>
      <c r="Q60">
        <f t="shared" si="13"/>
        <v>46.2</v>
      </c>
      <c r="R60">
        <f t="shared" si="14"/>
        <v>484</v>
      </c>
      <c r="S60">
        <f t="shared" si="15"/>
        <v>338.4975</v>
      </c>
      <c r="T60">
        <f t="shared" si="16"/>
        <v>24.502499999999998</v>
      </c>
      <c r="U60">
        <f>I60*E60/'[1]Inverter Analysis'!$L$2</f>
        <v>219.20427248852667</v>
      </c>
      <c r="V60">
        <f t="shared" si="17"/>
        <v>220.38567493112947</v>
      </c>
      <c r="W60">
        <f t="shared" si="18"/>
        <v>236.3385253953131</v>
      </c>
      <c r="X60">
        <f t="shared" si="19"/>
        <v>157.41833923652104</v>
      </c>
      <c r="Y60">
        <f t="shared" si="20"/>
        <v>0.25135154363713974</v>
      </c>
      <c r="Z60">
        <f t="shared" si="21"/>
        <v>6.739564736652345</v>
      </c>
    </row>
    <row r="61" spans="1:26">
      <c r="A61">
        <v>10</v>
      </c>
      <c r="B61">
        <v>4</v>
      </c>
      <c r="C61" s="1">
        <v>11</v>
      </c>
      <c r="D61">
        <f t="shared" si="0"/>
        <v>640</v>
      </c>
      <c r="E61">
        <f t="shared" si="1"/>
        <v>180</v>
      </c>
      <c r="F61">
        <f t="shared" si="2"/>
        <v>30.8</v>
      </c>
      <c r="G61">
        <f t="shared" si="3"/>
        <v>0.12375</v>
      </c>
      <c r="H61">
        <f t="shared" si="4"/>
        <v>83.16</v>
      </c>
      <c r="I61">
        <f t="shared" si="5"/>
        <v>462</v>
      </c>
      <c r="J61">
        <f t="shared" si="6"/>
        <v>330</v>
      </c>
      <c r="K61">
        <f t="shared" si="7"/>
        <v>59.4</v>
      </c>
      <c r="L61">
        <f t="shared" si="8"/>
        <v>6.7063920000000001</v>
      </c>
      <c r="M61">
        <f t="shared" si="9"/>
        <v>6.7913999999999994</v>
      </c>
      <c r="N61">
        <f t="shared" si="10"/>
        <v>5.1429839999999993</v>
      </c>
      <c r="O61">
        <f t="shared" si="11"/>
        <v>4.7339237647058825</v>
      </c>
      <c r="P61">
        <f t="shared" si="12"/>
        <v>2.4190064794816415</v>
      </c>
      <c r="Q61">
        <f t="shared" si="13"/>
        <v>42</v>
      </c>
      <c r="R61">
        <f t="shared" si="14"/>
        <v>440</v>
      </c>
      <c r="S61">
        <f t="shared" si="15"/>
        <v>307.72500000000002</v>
      </c>
      <c r="T61">
        <f t="shared" si="16"/>
        <v>22.274999999999999</v>
      </c>
      <c r="U61">
        <f>I61*E61/'[1]Inverter Analysis'!$L$2</f>
        <v>199.27661135320602</v>
      </c>
      <c r="V61">
        <f t="shared" si="17"/>
        <v>242.42424242424244</v>
      </c>
      <c r="W61">
        <f t="shared" si="18"/>
        <v>259.97237793484442</v>
      </c>
      <c r="X61">
        <f t="shared" si="19"/>
        <v>173.16017316017317</v>
      </c>
      <c r="Y61">
        <f t="shared" si="20"/>
        <v>0.30413536780093908</v>
      </c>
      <c r="Z61">
        <f t="shared" si="21"/>
        <v>5.0635347382812501</v>
      </c>
    </row>
    <row r="62" spans="1:26">
      <c r="A62">
        <v>16</v>
      </c>
      <c r="B62">
        <v>3</v>
      </c>
      <c r="C62" s="1">
        <v>11</v>
      </c>
      <c r="D62">
        <f t="shared" si="0"/>
        <v>480</v>
      </c>
      <c r="E62">
        <f t="shared" si="1"/>
        <v>135</v>
      </c>
      <c r="F62">
        <f t="shared" si="2"/>
        <v>36.96</v>
      </c>
      <c r="G62">
        <f t="shared" si="3"/>
        <v>0.26399999999999996</v>
      </c>
      <c r="H62">
        <f t="shared" si="4"/>
        <v>99.792000000000002</v>
      </c>
      <c r="I62">
        <f t="shared" si="5"/>
        <v>739.2</v>
      </c>
      <c r="J62">
        <f t="shared" si="6"/>
        <v>528</v>
      </c>
      <c r="K62">
        <f t="shared" si="7"/>
        <v>71.28</v>
      </c>
      <c r="L62">
        <f t="shared" si="8"/>
        <v>8.0476704000000012</v>
      </c>
      <c r="M62">
        <f t="shared" si="9"/>
        <v>8.14968</v>
      </c>
      <c r="N62">
        <f t="shared" si="10"/>
        <v>6.1715808000000001</v>
      </c>
      <c r="O62">
        <f t="shared" si="11"/>
        <v>5.6807085176470604</v>
      </c>
      <c r="P62">
        <f t="shared" si="12"/>
        <v>2.90280777537797</v>
      </c>
      <c r="Q62">
        <f t="shared" si="13"/>
        <v>67.2</v>
      </c>
      <c r="R62">
        <f t="shared" si="14"/>
        <v>528</v>
      </c>
      <c r="S62">
        <f t="shared" si="15"/>
        <v>492.36</v>
      </c>
      <c r="T62">
        <f t="shared" si="16"/>
        <v>35.639999999999993</v>
      </c>
      <c r="U62">
        <f>I62*E62/'[1]Inverter Analysis'!$L$2</f>
        <v>239.13193362384723</v>
      </c>
      <c r="V62">
        <f t="shared" si="17"/>
        <v>151.5151515151515</v>
      </c>
      <c r="W62">
        <f t="shared" si="18"/>
        <v>162.48273620927776</v>
      </c>
      <c r="X62">
        <f t="shared" si="19"/>
        <v>108.22510822510822</v>
      </c>
      <c r="Y62">
        <f t="shared" si="20"/>
        <v>0.11880287804724184</v>
      </c>
      <c r="Z62">
        <f t="shared" si="21"/>
        <v>15.555178716000002</v>
      </c>
    </row>
    <row r="63" spans="1:26">
      <c r="A63">
        <v>15</v>
      </c>
      <c r="B63">
        <v>3</v>
      </c>
      <c r="C63" s="1">
        <v>11</v>
      </c>
      <c r="D63">
        <f t="shared" si="0"/>
        <v>480</v>
      </c>
      <c r="E63">
        <f t="shared" si="1"/>
        <v>135</v>
      </c>
      <c r="F63">
        <f t="shared" si="2"/>
        <v>34.65</v>
      </c>
      <c r="G63">
        <f t="shared" si="3"/>
        <v>0.24749999999999994</v>
      </c>
      <c r="H63">
        <f t="shared" si="4"/>
        <v>93.555000000000007</v>
      </c>
      <c r="I63">
        <f t="shared" si="5"/>
        <v>693</v>
      </c>
      <c r="J63">
        <f t="shared" si="6"/>
        <v>495</v>
      </c>
      <c r="K63">
        <f t="shared" si="7"/>
        <v>66.825000000000003</v>
      </c>
      <c r="L63">
        <f t="shared" si="8"/>
        <v>7.5446909999999994</v>
      </c>
      <c r="M63">
        <f t="shared" si="9"/>
        <v>7.6403250000000007</v>
      </c>
      <c r="N63">
        <f t="shared" si="10"/>
        <v>5.785857</v>
      </c>
      <c r="O63">
        <f t="shared" si="11"/>
        <v>5.3256642352941173</v>
      </c>
      <c r="P63">
        <f t="shared" si="12"/>
        <v>2.7213822894168462</v>
      </c>
      <c r="Q63">
        <f t="shared" si="13"/>
        <v>63</v>
      </c>
      <c r="R63">
        <f t="shared" si="14"/>
        <v>495</v>
      </c>
      <c r="S63">
        <f t="shared" si="15"/>
        <v>461.58749999999998</v>
      </c>
      <c r="T63">
        <f t="shared" si="16"/>
        <v>33.412499999999994</v>
      </c>
      <c r="U63">
        <f>I63*E63/'[1]Inverter Analysis'!$L$2</f>
        <v>224.18618777235676</v>
      </c>
      <c r="V63">
        <f t="shared" si="17"/>
        <v>161.61616161616161</v>
      </c>
      <c r="W63">
        <f t="shared" si="18"/>
        <v>173.31491862322963</v>
      </c>
      <c r="X63">
        <f t="shared" si="19"/>
        <v>115.44011544011543</v>
      </c>
      <c r="Y63">
        <f t="shared" si="20"/>
        <v>0.13517127457819519</v>
      </c>
      <c r="Z63">
        <f t="shared" si="21"/>
        <v>12.817072306274413</v>
      </c>
    </row>
    <row r="64" spans="1:26">
      <c r="A64">
        <v>14</v>
      </c>
      <c r="B64">
        <v>3</v>
      </c>
      <c r="C64" s="1">
        <v>11</v>
      </c>
      <c r="D64">
        <f t="shared" si="0"/>
        <v>480</v>
      </c>
      <c r="E64">
        <f t="shared" si="1"/>
        <v>135</v>
      </c>
      <c r="F64">
        <f t="shared" si="2"/>
        <v>32.340000000000003</v>
      </c>
      <c r="G64">
        <f t="shared" si="3"/>
        <v>0.23099999999999998</v>
      </c>
      <c r="H64">
        <f t="shared" si="4"/>
        <v>87.318000000000012</v>
      </c>
      <c r="I64">
        <f t="shared" si="5"/>
        <v>646.80000000000007</v>
      </c>
      <c r="J64">
        <f t="shared" si="6"/>
        <v>462</v>
      </c>
      <c r="K64">
        <f t="shared" si="7"/>
        <v>62.37</v>
      </c>
      <c r="L64">
        <f t="shared" si="8"/>
        <v>7.0417116000000002</v>
      </c>
      <c r="M64">
        <f t="shared" si="9"/>
        <v>7.1309700000000014</v>
      </c>
      <c r="N64">
        <f t="shared" si="10"/>
        <v>5.4001332</v>
      </c>
      <c r="O64">
        <f t="shared" si="11"/>
        <v>4.9706199529411768</v>
      </c>
      <c r="P64">
        <f t="shared" si="12"/>
        <v>2.5399568034557238</v>
      </c>
      <c r="Q64">
        <f t="shared" si="13"/>
        <v>58.800000000000004</v>
      </c>
      <c r="R64">
        <f t="shared" si="14"/>
        <v>462</v>
      </c>
      <c r="S64">
        <f t="shared" si="15"/>
        <v>430.815</v>
      </c>
      <c r="T64">
        <f t="shared" si="16"/>
        <v>31.184999999999999</v>
      </c>
      <c r="U64">
        <f>I64*E64/'[1]Inverter Analysis'!$L$2</f>
        <v>209.24044192086635</v>
      </c>
      <c r="V64">
        <f t="shared" si="17"/>
        <v>173.16017316017317</v>
      </c>
      <c r="W64">
        <f t="shared" si="18"/>
        <v>185.69455566774602</v>
      </c>
      <c r="X64">
        <f t="shared" si="19"/>
        <v>123.68583797155225</v>
      </c>
      <c r="Y64">
        <f t="shared" si="20"/>
        <v>0.15517110602088729</v>
      </c>
      <c r="Z64">
        <f t="shared" si="21"/>
        <v>10.420754491382816</v>
      </c>
    </row>
    <row r="65" spans="1:26">
      <c r="A65">
        <v>13</v>
      </c>
      <c r="B65">
        <v>3</v>
      </c>
      <c r="C65" s="1">
        <v>11</v>
      </c>
      <c r="D65">
        <f t="shared" si="0"/>
        <v>480</v>
      </c>
      <c r="E65">
        <f t="shared" si="1"/>
        <v>135</v>
      </c>
      <c r="F65">
        <f t="shared" si="2"/>
        <v>30.03</v>
      </c>
      <c r="G65">
        <f t="shared" si="3"/>
        <v>0.21449999999999997</v>
      </c>
      <c r="H65">
        <f t="shared" si="4"/>
        <v>81.081000000000003</v>
      </c>
      <c r="I65">
        <f t="shared" si="5"/>
        <v>600.6</v>
      </c>
      <c r="J65">
        <f t="shared" si="6"/>
        <v>429</v>
      </c>
      <c r="K65">
        <f t="shared" si="7"/>
        <v>57.914999999999999</v>
      </c>
      <c r="L65">
        <f t="shared" si="8"/>
        <v>6.5387322000000001</v>
      </c>
      <c r="M65">
        <f t="shared" si="9"/>
        <v>6.6216149999999994</v>
      </c>
      <c r="N65">
        <f t="shared" si="10"/>
        <v>5.0144094000000008</v>
      </c>
      <c r="O65">
        <f t="shared" si="11"/>
        <v>4.6155756705882354</v>
      </c>
      <c r="P65">
        <f t="shared" si="12"/>
        <v>2.3585313174946005</v>
      </c>
      <c r="Q65">
        <f t="shared" si="13"/>
        <v>54.6</v>
      </c>
      <c r="R65">
        <f t="shared" si="14"/>
        <v>429</v>
      </c>
      <c r="S65">
        <f t="shared" si="15"/>
        <v>400.04250000000002</v>
      </c>
      <c r="T65">
        <f t="shared" si="16"/>
        <v>28.957499999999996</v>
      </c>
      <c r="U65">
        <f>I65*E65/'[1]Inverter Analysis'!$L$2</f>
        <v>194.29469606937587</v>
      </c>
      <c r="V65">
        <f t="shared" si="17"/>
        <v>186.48018648018649</v>
      </c>
      <c r="W65">
        <f t="shared" si="18"/>
        <v>199.97875225757264</v>
      </c>
      <c r="X65">
        <f t="shared" si="19"/>
        <v>133.20013320013319</v>
      </c>
      <c r="Y65">
        <f t="shared" si="20"/>
        <v>0.17996175609523027</v>
      </c>
      <c r="Z65">
        <f t="shared" si="21"/>
        <v>8.3434393650029293</v>
      </c>
    </row>
    <row r="66" spans="1:26">
      <c r="A66">
        <v>12</v>
      </c>
      <c r="B66">
        <v>3</v>
      </c>
      <c r="C66" s="1">
        <v>11</v>
      </c>
      <c r="D66">
        <f t="shared" si="0"/>
        <v>480</v>
      </c>
      <c r="E66">
        <f t="shared" si="1"/>
        <v>135</v>
      </c>
      <c r="F66">
        <f t="shared" si="2"/>
        <v>27.72</v>
      </c>
      <c r="G66">
        <f t="shared" si="3"/>
        <v>0.19799999999999998</v>
      </c>
      <c r="H66">
        <f t="shared" si="4"/>
        <v>74.843999999999994</v>
      </c>
      <c r="I66">
        <f t="shared" si="5"/>
        <v>554.4</v>
      </c>
      <c r="J66">
        <f t="shared" si="6"/>
        <v>396</v>
      </c>
      <c r="K66">
        <f t="shared" si="7"/>
        <v>53.46</v>
      </c>
      <c r="L66">
        <f t="shared" si="8"/>
        <v>6.0357528</v>
      </c>
      <c r="M66">
        <f t="shared" si="9"/>
        <v>6.1122599999999991</v>
      </c>
      <c r="N66">
        <f t="shared" si="10"/>
        <v>4.6286855999999998</v>
      </c>
      <c r="O66">
        <f t="shared" si="11"/>
        <v>4.260531388235294</v>
      </c>
      <c r="P66">
        <f t="shared" si="12"/>
        <v>2.1771058315334773</v>
      </c>
      <c r="Q66">
        <f t="shared" si="13"/>
        <v>50.4</v>
      </c>
      <c r="R66">
        <f t="shared" si="14"/>
        <v>396</v>
      </c>
      <c r="S66">
        <f t="shared" si="15"/>
        <v>369.27</v>
      </c>
      <c r="T66">
        <f t="shared" si="16"/>
        <v>26.729999999999997</v>
      </c>
      <c r="U66">
        <f>I66*E66/'[1]Inverter Analysis'!$L$2</f>
        <v>179.34895021788543</v>
      </c>
      <c r="V66">
        <f t="shared" si="17"/>
        <v>202.02020202020202</v>
      </c>
      <c r="W66">
        <f t="shared" si="18"/>
        <v>216.64364827903702</v>
      </c>
      <c r="X66">
        <f t="shared" si="19"/>
        <v>144.3001443001443</v>
      </c>
      <c r="Y66">
        <f t="shared" si="20"/>
        <v>0.21120511652842996</v>
      </c>
      <c r="Z66">
        <f t="shared" si="21"/>
        <v>6.5623410208125001</v>
      </c>
    </row>
    <row r="67" spans="1:26">
      <c r="A67">
        <v>11</v>
      </c>
      <c r="B67">
        <v>3</v>
      </c>
      <c r="C67" s="1">
        <v>11</v>
      </c>
      <c r="D67">
        <f t="shared" si="0"/>
        <v>480</v>
      </c>
      <c r="E67">
        <f t="shared" si="1"/>
        <v>135</v>
      </c>
      <c r="F67">
        <f t="shared" si="2"/>
        <v>25.41</v>
      </c>
      <c r="G67">
        <f t="shared" si="3"/>
        <v>0.18149999999999997</v>
      </c>
      <c r="H67">
        <f t="shared" si="4"/>
        <v>68.606999999999999</v>
      </c>
      <c r="I67">
        <f t="shared" si="5"/>
        <v>508.20000000000005</v>
      </c>
      <c r="J67">
        <f t="shared" si="6"/>
        <v>363</v>
      </c>
      <c r="K67">
        <f t="shared" si="7"/>
        <v>49.005000000000003</v>
      </c>
      <c r="L67">
        <f t="shared" si="8"/>
        <v>5.5327734</v>
      </c>
      <c r="M67">
        <f t="shared" si="9"/>
        <v>5.6029049999999998</v>
      </c>
      <c r="N67">
        <f t="shared" si="10"/>
        <v>4.2429617999999998</v>
      </c>
      <c r="O67">
        <f t="shared" si="11"/>
        <v>3.905487105882353</v>
      </c>
      <c r="P67">
        <f t="shared" si="12"/>
        <v>1.9956803455723544</v>
      </c>
      <c r="Q67">
        <f t="shared" si="13"/>
        <v>46.2</v>
      </c>
      <c r="R67">
        <f t="shared" si="14"/>
        <v>363</v>
      </c>
      <c r="S67">
        <f t="shared" si="15"/>
        <v>338.4975</v>
      </c>
      <c r="T67">
        <f t="shared" si="16"/>
        <v>24.502499999999994</v>
      </c>
      <c r="U67">
        <f>I67*E67/'[1]Inverter Analysis'!$L$2</f>
        <v>164.40320436639496</v>
      </c>
      <c r="V67">
        <f t="shared" si="17"/>
        <v>220.38567493112947</v>
      </c>
      <c r="W67">
        <f t="shared" si="18"/>
        <v>236.3385253953131</v>
      </c>
      <c r="X67">
        <f t="shared" si="19"/>
        <v>157.41833923652104</v>
      </c>
      <c r="Y67">
        <f t="shared" si="20"/>
        <v>0.25135154363713974</v>
      </c>
      <c r="Z67">
        <f t="shared" si="21"/>
        <v>5.0546735524892581</v>
      </c>
    </row>
    <row r="68" spans="1:26">
      <c r="A68">
        <v>10</v>
      </c>
      <c r="B68">
        <v>3</v>
      </c>
      <c r="C68" s="1">
        <v>11</v>
      </c>
      <c r="D68">
        <f t="shared" si="0"/>
        <v>480</v>
      </c>
      <c r="E68">
        <f t="shared" si="1"/>
        <v>135</v>
      </c>
      <c r="F68">
        <f t="shared" si="2"/>
        <v>23.1</v>
      </c>
      <c r="G68">
        <f t="shared" si="3"/>
        <v>0.16499999999999998</v>
      </c>
      <c r="H68">
        <f t="shared" si="4"/>
        <v>62.37</v>
      </c>
      <c r="I68">
        <f t="shared" si="5"/>
        <v>462</v>
      </c>
      <c r="J68">
        <f t="shared" si="6"/>
        <v>330</v>
      </c>
      <c r="K68">
        <f t="shared" si="7"/>
        <v>44.55</v>
      </c>
      <c r="L68">
        <f t="shared" si="8"/>
        <v>5.0297939999999999</v>
      </c>
      <c r="M68">
        <f t="shared" si="9"/>
        <v>5.0935499999999996</v>
      </c>
      <c r="N68">
        <f t="shared" si="10"/>
        <v>3.8572379999999993</v>
      </c>
      <c r="O68">
        <f t="shared" si="11"/>
        <v>3.5504428235294121</v>
      </c>
      <c r="P68">
        <f t="shared" si="12"/>
        <v>1.8142548596112311</v>
      </c>
      <c r="Q68">
        <f t="shared" si="13"/>
        <v>42</v>
      </c>
      <c r="R68">
        <f t="shared" si="14"/>
        <v>330</v>
      </c>
      <c r="S68">
        <f t="shared" si="15"/>
        <v>307.72500000000002</v>
      </c>
      <c r="T68">
        <f t="shared" si="16"/>
        <v>22.274999999999999</v>
      </c>
      <c r="U68">
        <f>I68*E68/'[1]Inverter Analysis'!$L$2</f>
        <v>149.45745851490452</v>
      </c>
      <c r="V68">
        <f t="shared" si="17"/>
        <v>242.42424242424244</v>
      </c>
      <c r="W68">
        <f t="shared" si="18"/>
        <v>259.97237793484442</v>
      </c>
      <c r="X68">
        <f t="shared" si="19"/>
        <v>173.16017316017317</v>
      </c>
      <c r="Y68">
        <f t="shared" si="20"/>
        <v>0.30413536780093908</v>
      </c>
      <c r="Z68">
        <f t="shared" si="21"/>
        <v>3.797651053710938</v>
      </c>
    </row>
    <row r="69" spans="1:26">
      <c r="A69">
        <v>16</v>
      </c>
      <c r="B69">
        <v>2</v>
      </c>
      <c r="C69" s="1">
        <v>11</v>
      </c>
      <c r="D69">
        <f t="shared" si="0"/>
        <v>320</v>
      </c>
      <c r="E69">
        <f t="shared" si="1"/>
        <v>90</v>
      </c>
      <c r="F69">
        <f t="shared" si="2"/>
        <v>24.64</v>
      </c>
      <c r="G69">
        <f t="shared" si="3"/>
        <v>0.39599999999999996</v>
      </c>
      <c r="H69">
        <f t="shared" si="4"/>
        <v>66.528000000000006</v>
      </c>
      <c r="I69">
        <f t="shared" si="5"/>
        <v>739.2</v>
      </c>
      <c r="J69">
        <f t="shared" si="6"/>
        <v>528</v>
      </c>
      <c r="K69">
        <f t="shared" si="7"/>
        <v>47.52</v>
      </c>
      <c r="L69">
        <f t="shared" si="8"/>
        <v>5.3651136000000008</v>
      </c>
      <c r="M69">
        <f t="shared" si="9"/>
        <v>5.4331199999999997</v>
      </c>
      <c r="N69">
        <f t="shared" si="10"/>
        <v>4.1143872000000004</v>
      </c>
      <c r="O69">
        <f t="shared" si="11"/>
        <v>3.7871390117647068</v>
      </c>
      <c r="P69">
        <f t="shared" si="12"/>
        <v>1.9352051835853132</v>
      </c>
      <c r="Q69">
        <f t="shared" si="13"/>
        <v>67.2</v>
      </c>
      <c r="R69">
        <f t="shared" si="14"/>
        <v>352</v>
      </c>
      <c r="S69">
        <f t="shared" si="15"/>
        <v>492.36</v>
      </c>
      <c r="T69">
        <f t="shared" si="16"/>
        <v>35.639999999999993</v>
      </c>
      <c r="U69">
        <f>I69*E69/'[1]Inverter Analysis'!$L$2</f>
        <v>159.42128908256481</v>
      </c>
      <c r="V69">
        <f t="shared" si="17"/>
        <v>151.5151515151515</v>
      </c>
      <c r="W69">
        <f t="shared" si="18"/>
        <v>162.48273620927776</v>
      </c>
      <c r="X69">
        <f t="shared" si="19"/>
        <v>108.22510822510822</v>
      </c>
      <c r="Y69">
        <f t="shared" si="20"/>
        <v>0.11880287804724184</v>
      </c>
      <c r="Z69">
        <f t="shared" si="21"/>
        <v>10.370119144</v>
      </c>
    </row>
    <row r="70" spans="1:26">
      <c r="A70">
        <v>15</v>
      </c>
      <c r="B70">
        <v>2</v>
      </c>
      <c r="C70" s="1">
        <v>11</v>
      </c>
      <c r="D70">
        <f t="shared" si="0"/>
        <v>320</v>
      </c>
      <c r="E70">
        <f t="shared" si="1"/>
        <v>90</v>
      </c>
      <c r="F70">
        <f t="shared" si="2"/>
        <v>23.1</v>
      </c>
      <c r="G70">
        <f t="shared" si="3"/>
        <v>0.37124999999999997</v>
      </c>
      <c r="H70">
        <f t="shared" si="4"/>
        <v>62.37</v>
      </c>
      <c r="I70">
        <f t="shared" si="5"/>
        <v>693</v>
      </c>
      <c r="J70">
        <f t="shared" si="6"/>
        <v>495</v>
      </c>
      <c r="K70">
        <f t="shared" si="7"/>
        <v>44.55</v>
      </c>
      <c r="L70">
        <f t="shared" si="8"/>
        <v>5.0297939999999999</v>
      </c>
      <c r="M70">
        <f t="shared" si="9"/>
        <v>5.0935500000000005</v>
      </c>
      <c r="N70">
        <f t="shared" si="10"/>
        <v>3.8572379999999997</v>
      </c>
      <c r="O70">
        <f t="shared" si="11"/>
        <v>3.5504428235294121</v>
      </c>
      <c r="P70">
        <f t="shared" si="12"/>
        <v>1.8142548596112311</v>
      </c>
      <c r="Q70">
        <f t="shared" si="13"/>
        <v>63</v>
      </c>
      <c r="R70">
        <f t="shared" si="14"/>
        <v>330</v>
      </c>
      <c r="S70">
        <f t="shared" si="15"/>
        <v>461.58749999999998</v>
      </c>
      <c r="T70">
        <f t="shared" si="16"/>
        <v>33.412499999999994</v>
      </c>
      <c r="U70">
        <f>I70*E70/'[1]Inverter Analysis'!$L$2</f>
        <v>149.45745851490452</v>
      </c>
      <c r="V70">
        <f t="shared" si="17"/>
        <v>161.61616161616161</v>
      </c>
      <c r="W70">
        <f t="shared" si="18"/>
        <v>173.31491862322963</v>
      </c>
      <c r="X70">
        <f t="shared" si="19"/>
        <v>115.44011544011543</v>
      </c>
      <c r="Y70">
        <f t="shared" si="20"/>
        <v>0.13517127457819519</v>
      </c>
      <c r="Z70">
        <f t="shared" si="21"/>
        <v>8.5447148708496083</v>
      </c>
    </row>
    <row r="71" spans="1:26">
      <c r="A71">
        <v>14</v>
      </c>
      <c r="B71">
        <v>2</v>
      </c>
      <c r="C71" s="1">
        <v>11</v>
      </c>
      <c r="D71">
        <f t="shared" ref="D71:D134" si="22">B71*$J$3</f>
        <v>320</v>
      </c>
      <c r="E71">
        <f t="shared" ref="E71:E134" si="23">B71*$I$3</f>
        <v>90</v>
      </c>
      <c r="F71">
        <f t="shared" ref="F71:F134" si="24">A71*B71*C71*$Q$3/1000</f>
        <v>21.56</v>
      </c>
      <c r="G71">
        <f t="shared" ref="G71:G134" si="25">((B71*$R$3^(-1))^(-1))*A71*C71</f>
        <v>0.34650000000000003</v>
      </c>
      <c r="H71">
        <f t="shared" ref="H71:H134" si="26">E71*I71/1000</f>
        <v>58.21200000000001</v>
      </c>
      <c r="I71">
        <f t="shared" ref="I71:I134" si="27">A71*C71*4.2</f>
        <v>646.80000000000007</v>
      </c>
      <c r="J71">
        <f t="shared" ref="J71:J134" si="28">C71*A71*$K$3</f>
        <v>462</v>
      </c>
      <c r="K71">
        <f t="shared" ref="K71:K134" si="29">E71*J71/1000</f>
        <v>41.58</v>
      </c>
      <c r="L71">
        <f t="shared" ref="L71:L134" si="30">$N$3/1000*I71*B71/1000</f>
        <v>4.6944743999999998</v>
      </c>
      <c r="M71">
        <f t="shared" ref="M71:M134" si="31">$O$3/1000*I71*B71/1000</f>
        <v>4.7539800000000003</v>
      </c>
      <c r="N71">
        <f t="shared" ref="N71:N134" si="32">$P$3/1000*I71*B71/1000</f>
        <v>3.6000888000000004</v>
      </c>
      <c r="O71">
        <f t="shared" ref="O71:O134" si="33">L71*(($L$3-$K$3)/($L$3-$M$3))</f>
        <v>3.3137466352941178</v>
      </c>
      <c r="P71">
        <f t="shared" ref="P71:P134" si="34">$H$3/1000*B71*I71/277.8/C71</f>
        <v>1.6933045356371492</v>
      </c>
      <c r="Q71">
        <f t="shared" ref="Q71:Q134" si="35">I71/C71</f>
        <v>58.800000000000004</v>
      </c>
      <c r="R71">
        <f t="shared" ref="R71:R134" si="36">(A71*B71*C71)</f>
        <v>308</v>
      </c>
      <c r="S71">
        <f t="shared" ref="S71:S134" si="37">J71-(G71*E71)</f>
        <v>430.815</v>
      </c>
      <c r="T71">
        <f t="shared" ref="T71:T134" si="38">G71*E71</f>
        <v>31.185000000000002</v>
      </c>
      <c r="U71">
        <f>I71*E71/'[1]Inverter Analysis'!$L$2</f>
        <v>139.49362794724422</v>
      </c>
      <c r="V71">
        <f t="shared" ref="V71:V134" si="39">80000/J71</f>
        <v>173.16017316017317</v>
      </c>
      <c r="W71">
        <f t="shared" ref="W71:W134" si="40">80000/S71</f>
        <v>185.69455566774602</v>
      </c>
      <c r="X71">
        <f t="shared" ref="X71:X134" si="41">80000/I71</f>
        <v>123.68583797155225</v>
      </c>
      <c r="Y71">
        <f t="shared" ref="Y71:Y134" si="42">(MAX(V71:X71)^2)*$R$3/1000</f>
        <v>0.15517110602088729</v>
      </c>
      <c r="Z71">
        <f t="shared" ref="Z71:Z134" si="43">($S$3*F71/(Y71*1000))*10</f>
        <v>6.947169660921876</v>
      </c>
    </row>
    <row r="72" spans="1:26">
      <c r="A72">
        <v>13</v>
      </c>
      <c r="B72">
        <v>2</v>
      </c>
      <c r="C72" s="1">
        <v>11</v>
      </c>
      <c r="D72">
        <f t="shared" si="22"/>
        <v>320</v>
      </c>
      <c r="E72">
        <f t="shared" si="23"/>
        <v>90</v>
      </c>
      <c r="F72">
        <f t="shared" si="24"/>
        <v>20.02</v>
      </c>
      <c r="G72">
        <f t="shared" si="25"/>
        <v>0.32174999999999998</v>
      </c>
      <c r="H72">
        <f t="shared" si="26"/>
        <v>54.054000000000002</v>
      </c>
      <c r="I72">
        <f t="shared" si="27"/>
        <v>600.6</v>
      </c>
      <c r="J72">
        <f t="shared" si="28"/>
        <v>429</v>
      </c>
      <c r="K72">
        <f t="shared" si="29"/>
        <v>38.61</v>
      </c>
      <c r="L72">
        <f t="shared" si="30"/>
        <v>4.3591548000000007</v>
      </c>
      <c r="M72">
        <f t="shared" si="31"/>
        <v>4.4144100000000002</v>
      </c>
      <c r="N72">
        <f t="shared" si="32"/>
        <v>3.3429396000000002</v>
      </c>
      <c r="O72">
        <f t="shared" si="33"/>
        <v>3.077050447058824</v>
      </c>
      <c r="P72">
        <f t="shared" si="34"/>
        <v>1.5723542116630669</v>
      </c>
      <c r="Q72">
        <f t="shared" si="35"/>
        <v>54.6</v>
      </c>
      <c r="R72">
        <f t="shared" si="36"/>
        <v>286</v>
      </c>
      <c r="S72">
        <f t="shared" si="37"/>
        <v>400.04250000000002</v>
      </c>
      <c r="T72">
        <f t="shared" si="38"/>
        <v>28.9575</v>
      </c>
      <c r="U72">
        <f>I72*E72/'[1]Inverter Analysis'!$L$2</f>
        <v>129.52979737958393</v>
      </c>
      <c r="V72">
        <f t="shared" si="39"/>
        <v>186.48018648018649</v>
      </c>
      <c r="W72">
        <f t="shared" si="40"/>
        <v>199.97875225757264</v>
      </c>
      <c r="X72">
        <f t="shared" si="41"/>
        <v>133.20013320013319</v>
      </c>
      <c r="Y72">
        <f t="shared" si="42"/>
        <v>0.17996175609523027</v>
      </c>
      <c r="Z72">
        <f t="shared" si="43"/>
        <v>5.5622929100019523</v>
      </c>
    </row>
    <row r="73" spans="1:26">
      <c r="A73">
        <v>12</v>
      </c>
      <c r="B73">
        <v>2</v>
      </c>
      <c r="C73" s="1">
        <v>11</v>
      </c>
      <c r="D73">
        <f t="shared" si="22"/>
        <v>320</v>
      </c>
      <c r="E73">
        <f t="shared" si="23"/>
        <v>90</v>
      </c>
      <c r="F73">
        <f t="shared" si="24"/>
        <v>18.48</v>
      </c>
      <c r="G73">
        <f t="shared" si="25"/>
        <v>0.29699999999999993</v>
      </c>
      <c r="H73">
        <f t="shared" si="26"/>
        <v>49.896000000000001</v>
      </c>
      <c r="I73">
        <f t="shared" si="27"/>
        <v>554.4</v>
      </c>
      <c r="J73">
        <f t="shared" si="28"/>
        <v>396</v>
      </c>
      <c r="K73">
        <f t="shared" si="29"/>
        <v>35.64</v>
      </c>
      <c r="L73">
        <f t="shared" si="30"/>
        <v>4.0238351999999997</v>
      </c>
      <c r="M73">
        <f t="shared" si="31"/>
        <v>4.07484</v>
      </c>
      <c r="N73">
        <f t="shared" si="32"/>
        <v>3.0857904</v>
      </c>
      <c r="O73">
        <f t="shared" si="33"/>
        <v>2.8403542588235293</v>
      </c>
      <c r="P73">
        <f t="shared" si="34"/>
        <v>1.4514038876889848</v>
      </c>
      <c r="Q73">
        <f t="shared" si="35"/>
        <v>50.4</v>
      </c>
      <c r="R73">
        <f t="shared" si="36"/>
        <v>264</v>
      </c>
      <c r="S73">
        <f t="shared" si="37"/>
        <v>369.27</v>
      </c>
      <c r="T73">
        <f t="shared" si="38"/>
        <v>26.729999999999993</v>
      </c>
      <c r="U73">
        <f>I73*E73/'[1]Inverter Analysis'!$L$2</f>
        <v>119.56596681192362</v>
      </c>
      <c r="V73">
        <f t="shared" si="39"/>
        <v>202.02020202020202</v>
      </c>
      <c r="W73">
        <f t="shared" si="40"/>
        <v>216.64364827903702</v>
      </c>
      <c r="X73">
        <f t="shared" si="41"/>
        <v>144.3001443001443</v>
      </c>
      <c r="Y73">
        <f t="shared" si="42"/>
        <v>0.21120511652842996</v>
      </c>
      <c r="Z73">
        <f t="shared" si="43"/>
        <v>4.3748940138750001</v>
      </c>
    </row>
    <row r="74" spans="1:26">
      <c r="A74">
        <v>11</v>
      </c>
      <c r="B74">
        <v>2</v>
      </c>
      <c r="C74" s="1">
        <v>11</v>
      </c>
      <c r="D74">
        <f t="shared" si="22"/>
        <v>320</v>
      </c>
      <c r="E74">
        <f t="shared" si="23"/>
        <v>90</v>
      </c>
      <c r="F74">
        <f t="shared" si="24"/>
        <v>16.940000000000001</v>
      </c>
      <c r="G74">
        <f t="shared" si="25"/>
        <v>0.27224999999999999</v>
      </c>
      <c r="H74">
        <f t="shared" si="26"/>
        <v>45.738000000000007</v>
      </c>
      <c r="I74">
        <f t="shared" si="27"/>
        <v>508.20000000000005</v>
      </c>
      <c r="J74">
        <f t="shared" si="28"/>
        <v>363</v>
      </c>
      <c r="K74">
        <f t="shared" si="29"/>
        <v>32.67</v>
      </c>
      <c r="L74">
        <f t="shared" si="30"/>
        <v>3.6885156000000001</v>
      </c>
      <c r="M74">
        <f t="shared" si="31"/>
        <v>3.7352699999999999</v>
      </c>
      <c r="N74">
        <f t="shared" si="32"/>
        <v>2.8286411999999999</v>
      </c>
      <c r="O74">
        <f t="shared" si="33"/>
        <v>2.6036580705882355</v>
      </c>
      <c r="P74">
        <f t="shared" si="34"/>
        <v>1.3304535637149029</v>
      </c>
      <c r="Q74">
        <f t="shared" si="35"/>
        <v>46.2</v>
      </c>
      <c r="R74">
        <f t="shared" si="36"/>
        <v>242</v>
      </c>
      <c r="S74">
        <f t="shared" si="37"/>
        <v>338.4975</v>
      </c>
      <c r="T74">
        <f t="shared" si="38"/>
        <v>24.502499999999998</v>
      </c>
      <c r="U74">
        <f>I74*E74/'[1]Inverter Analysis'!$L$2</f>
        <v>109.60213624426333</v>
      </c>
      <c r="V74">
        <f t="shared" si="39"/>
        <v>220.38567493112947</v>
      </c>
      <c r="W74">
        <f t="shared" si="40"/>
        <v>236.3385253953131</v>
      </c>
      <c r="X74">
        <f t="shared" si="41"/>
        <v>157.41833923652104</v>
      </c>
      <c r="Y74">
        <f t="shared" si="42"/>
        <v>0.25135154363713974</v>
      </c>
      <c r="Z74">
        <f t="shared" si="43"/>
        <v>3.3697823683261725</v>
      </c>
    </row>
    <row r="75" spans="1:26">
      <c r="A75">
        <v>10</v>
      </c>
      <c r="B75">
        <v>2</v>
      </c>
      <c r="C75" s="1">
        <v>11</v>
      </c>
      <c r="D75">
        <f t="shared" si="22"/>
        <v>320</v>
      </c>
      <c r="E75">
        <f t="shared" si="23"/>
        <v>90</v>
      </c>
      <c r="F75">
        <f t="shared" si="24"/>
        <v>15.4</v>
      </c>
      <c r="G75">
        <f t="shared" si="25"/>
        <v>0.2475</v>
      </c>
      <c r="H75">
        <f t="shared" si="26"/>
        <v>41.58</v>
      </c>
      <c r="I75">
        <f t="shared" si="27"/>
        <v>462</v>
      </c>
      <c r="J75">
        <f t="shared" si="28"/>
        <v>330</v>
      </c>
      <c r="K75">
        <f t="shared" si="29"/>
        <v>29.7</v>
      </c>
      <c r="L75">
        <f t="shared" si="30"/>
        <v>3.3531960000000001</v>
      </c>
      <c r="M75">
        <f t="shared" si="31"/>
        <v>3.3956999999999997</v>
      </c>
      <c r="N75">
        <f t="shared" si="32"/>
        <v>2.5714919999999997</v>
      </c>
      <c r="O75">
        <f t="shared" si="33"/>
        <v>2.3669618823529412</v>
      </c>
      <c r="P75">
        <f t="shared" si="34"/>
        <v>1.2095032397408207</v>
      </c>
      <c r="Q75">
        <f t="shared" si="35"/>
        <v>42</v>
      </c>
      <c r="R75">
        <f t="shared" si="36"/>
        <v>220</v>
      </c>
      <c r="S75">
        <f t="shared" si="37"/>
        <v>307.72500000000002</v>
      </c>
      <c r="T75">
        <f t="shared" si="38"/>
        <v>22.274999999999999</v>
      </c>
      <c r="U75">
        <f>I75*E75/'[1]Inverter Analysis'!$L$2</f>
        <v>99.638305676603011</v>
      </c>
      <c r="V75">
        <f t="shared" si="39"/>
        <v>242.42424242424244</v>
      </c>
      <c r="W75">
        <f t="shared" si="40"/>
        <v>259.97237793484442</v>
      </c>
      <c r="X75">
        <f t="shared" si="41"/>
        <v>173.16017316017317</v>
      </c>
      <c r="Y75">
        <f t="shared" si="42"/>
        <v>0.30413536780093908</v>
      </c>
      <c r="Z75">
        <f t="shared" si="43"/>
        <v>2.5317673691406251</v>
      </c>
    </row>
    <row r="76" spans="1:26">
      <c r="A76" s="8">
        <v>16</v>
      </c>
      <c r="B76" s="1">
        <v>6</v>
      </c>
      <c r="C76" s="1">
        <v>10</v>
      </c>
      <c r="D76">
        <f t="shared" si="22"/>
        <v>960</v>
      </c>
      <c r="E76">
        <f t="shared" si="23"/>
        <v>270</v>
      </c>
      <c r="F76">
        <f t="shared" si="24"/>
        <v>67.2</v>
      </c>
      <c r="G76">
        <f t="shared" si="25"/>
        <v>0.11999999999999998</v>
      </c>
      <c r="H76">
        <f t="shared" si="26"/>
        <v>181.44</v>
      </c>
      <c r="I76">
        <f t="shared" si="27"/>
        <v>672</v>
      </c>
      <c r="J76">
        <f t="shared" si="28"/>
        <v>480</v>
      </c>
      <c r="K76">
        <f t="shared" si="29"/>
        <v>129.6</v>
      </c>
      <c r="L76">
        <f t="shared" si="30"/>
        <v>14.632128</v>
      </c>
      <c r="M76">
        <f t="shared" si="31"/>
        <v>14.817599999999999</v>
      </c>
      <c r="N76">
        <f t="shared" si="32"/>
        <v>11.221056000000001</v>
      </c>
      <c r="O76">
        <f t="shared" si="33"/>
        <v>10.328560941176471</v>
      </c>
      <c r="P76">
        <f t="shared" si="34"/>
        <v>5.8056155507559399</v>
      </c>
      <c r="Q76">
        <f t="shared" si="35"/>
        <v>67.2</v>
      </c>
      <c r="R76">
        <f t="shared" si="36"/>
        <v>960</v>
      </c>
      <c r="S76">
        <f t="shared" si="37"/>
        <v>447.6</v>
      </c>
      <c r="T76">
        <f t="shared" si="38"/>
        <v>32.4</v>
      </c>
      <c r="U76">
        <f>I76*E76/'[1]Inverter Analysis'!$L$2</f>
        <v>434.78533386154038</v>
      </c>
      <c r="V76">
        <f t="shared" si="39"/>
        <v>166.66666666666666</v>
      </c>
      <c r="W76">
        <f t="shared" si="40"/>
        <v>178.73100983020552</v>
      </c>
      <c r="X76">
        <f t="shared" si="41"/>
        <v>119.04761904761905</v>
      </c>
      <c r="Y76">
        <f t="shared" si="42"/>
        <v>0.1437514824371626</v>
      </c>
      <c r="Z76">
        <f t="shared" si="43"/>
        <v>23.373672000000006</v>
      </c>
    </row>
    <row r="77" spans="1:26">
      <c r="A77" s="8">
        <v>15</v>
      </c>
      <c r="B77" s="1">
        <v>6</v>
      </c>
      <c r="C77" s="1">
        <v>10</v>
      </c>
      <c r="D77">
        <f t="shared" si="22"/>
        <v>960</v>
      </c>
      <c r="E77">
        <f t="shared" si="23"/>
        <v>270</v>
      </c>
      <c r="F77">
        <f t="shared" si="24"/>
        <v>63</v>
      </c>
      <c r="G77">
        <f t="shared" si="25"/>
        <v>0.11249999999999998</v>
      </c>
      <c r="H77">
        <f t="shared" si="26"/>
        <v>170.1</v>
      </c>
      <c r="I77">
        <f t="shared" si="27"/>
        <v>630</v>
      </c>
      <c r="J77">
        <f t="shared" si="28"/>
        <v>450</v>
      </c>
      <c r="K77">
        <f t="shared" si="29"/>
        <v>121.5</v>
      </c>
      <c r="L77">
        <f t="shared" si="30"/>
        <v>13.717619999999998</v>
      </c>
      <c r="M77">
        <f t="shared" si="31"/>
        <v>13.891500000000001</v>
      </c>
      <c r="N77">
        <f t="shared" si="32"/>
        <v>10.519740000000001</v>
      </c>
      <c r="O77">
        <f t="shared" si="33"/>
        <v>9.6830258823529398</v>
      </c>
      <c r="P77">
        <f t="shared" si="34"/>
        <v>5.4427645788336934</v>
      </c>
      <c r="Q77">
        <f t="shared" si="35"/>
        <v>63</v>
      </c>
      <c r="R77">
        <f t="shared" si="36"/>
        <v>900</v>
      </c>
      <c r="S77">
        <f t="shared" si="37"/>
        <v>419.625</v>
      </c>
      <c r="T77">
        <f t="shared" si="38"/>
        <v>30.374999999999993</v>
      </c>
      <c r="U77">
        <f>I77*E77/'[1]Inverter Analysis'!$L$2</f>
        <v>407.61125049519416</v>
      </c>
      <c r="V77">
        <f t="shared" si="39"/>
        <v>177.77777777777777</v>
      </c>
      <c r="W77">
        <f t="shared" si="40"/>
        <v>190.64641048555256</v>
      </c>
      <c r="X77">
        <f t="shared" si="41"/>
        <v>126.98412698412699</v>
      </c>
      <c r="Y77">
        <f t="shared" si="42"/>
        <v>0.1635572422396161</v>
      </c>
      <c r="Z77">
        <f t="shared" si="43"/>
        <v>19.259312255859381</v>
      </c>
    </row>
    <row r="78" spans="1:26">
      <c r="A78">
        <v>14</v>
      </c>
      <c r="B78" s="1">
        <v>6</v>
      </c>
      <c r="C78" s="1">
        <v>10</v>
      </c>
      <c r="D78">
        <f t="shared" si="22"/>
        <v>960</v>
      </c>
      <c r="E78">
        <f t="shared" si="23"/>
        <v>270</v>
      </c>
      <c r="F78">
        <f t="shared" si="24"/>
        <v>58.8</v>
      </c>
      <c r="G78">
        <f t="shared" si="25"/>
        <v>0.10499999999999998</v>
      </c>
      <c r="H78">
        <f t="shared" si="26"/>
        <v>158.76</v>
      </c>
      <c r="I78">
        <f t="shared" si="27"/>
        <v>588</v>
      </c>
      <c r="J78">
        <f t="shared" si="28"/>
        <v>420</v>
      </c>
      <c r="K78">
        <f t="shared" si="29"/>
        <v>113.4</v>
      </c>
      <c r="L78">
        <f t="shared" si="30"/>
        <v>12.803111999999999</v>
      </c>
      <c r="M78">
        <f t="shared" si="31"/>
        <v>12.965400000000001</v>
      </c>
      <c r="N78">
        <f t="shared" si="32"/>
        <v>9.8184239999999985</v>
      </c>
      <c r="O78">
        <f t="shared" si="33"/>
        <v>9.0374908235294118</v>
      </c>
      <c r="P78">
        <f t="shared" si="34"/>
        <v>5.0799136069114468</v>
      </c>
      <c r="Q78">
        <f t="shared" si="35"/>
        <v>58.8</v>
      </c>
      <c r="R78">
        <f t="shared" si="36"/>
        <v>840</v>
      </c>
      <c r="S78">
        <f t="shared" si="37"/>
        <v>391.65</v>
      </c>
      <c r="T78">
        <f t="shared" si="38"/>
        <v>28.349999999999994</v>
      </c>
      <c r="U78">
        <f>I78*E78/'[1]Inverter Analysis'!$L$2</f>
        <v>380.43716712884788</v>
      </c>
      <c r="V78">
        <f t="shared" si="39"/>
        <v>190.47619047619048</v>
      </c>
      <c r="W78">
        <f t="shared" si="40"/>
        <v>204.26401123452064</v>
      </c>
      <c r="X78">
        <f t="shared" si="41"/>
        <v>136.05442176870747</v>
      </c>
      <c r="Y78">
        <f t="shared" si="42"/>
        <v>0.18775703828527365</v>
      </c>
      <c r="Z78">
        <f t="shared" si="43"/>
        <v>15.658534171874997</v>
      </c>
    </row>
    <row r="79" spans="1:26">
      <c r="A79">
        <v>13</v>
      </c>
      <c r="B79" s="1">
        <v>6</v>
      </c>
      <c r="C79" s="1">
        <v>10</v>
      </c>
      <c r="D79">
        <f t="shared" si="22"/>
        <v>960</v>
      </c>
      <c r="E79">
        <f t="shared" si="23"/>
        <v>270</v>
      </c>
      <c r="F79">
        <f t="shared" si="24"/>
        <v>54.6</v>
      </c>
      <c r="G79">
        <f t="shared" si="25"/>
        <v>9.7499999999999976E-2</v>
      </c>
      <c r="H79">
        <f t="shared" si="26"/>
        <v>147.41999999999999</v>
      </c>
      <c r="I79">
        <f t="shared" si="27"/>
        <v>546</v>
      </c>
      <c r="J79">
        <f t="shared" si="28"/>
        <v>390</v>
      </c>
      <c r="K79">
        <f t="shared" si="29"/>
        <v>105.3</v>
      </c>
      <c r="L79">
        <f t="shared" si="30"/>
        <v>11.888603999999999</v>
      </c>
      <c r="M79">
        <f t="shared" si="31"/>
        <v>12.039299999999999</v>
      </c>
      <c r="N79">
        <f t="shared" si="32"/>
        <v>9.117108</v>
      </c>
      <c r="O79">
        <f t="shared" si="33"/>
        <v>8.391955764705882</v>
      </c>
      <c r="P79">
        <f t="shared" si="34"/>
        <v>4.7170626349892002</v>
      </c>
      <c r="Q79">
        <f t="shared" si="35"/>
        <v>54.6</v>
      </c>
      <c r="R79">
        <f t="shared" si="36"/>
        <v>780</v>
      </c>
      <c r="S79">
        <f t="shared" si="37"/>
        <v>363.67500000000001</v>
      </c>
      <c r="T79">
        <f t="shared" si="38"/>
        <v>26.324999999999992</v>
      </c>
      <c r="U79">
        <f>I79*E79/'[1]Inverter Analysis'!$L$2</f>
        <v>353.26308376250159</v>
      </c>
      <c r="V79">
        <f t="shared" si="39"/>
        <v>205.12820512820514</v>
      </c>
      <c r="W79">
        <f t="shared" si="40"/>
        <v>219.97662748332988</v>
      </c>
      <c r="X79">
        <f t="shared" si="41"/>
        <v>146.52014652014651</v>
      </c>
      <c r="Y79">
        <f t="shared" si="42"/>
        <v>0.21775372487522857</v>
      </c>
      <c r="Z79">
        <f t="shared" si="43"/>
        <v>12.537098970703129</v>
      </c>
    </row>
    <row r="80" spans="1:26">
      <c r="A80">
        <v>12</v>
      </c>
      <c r="B80" s="1">
        <v>6</v>
      </c>
      <c r="C80" s="1">
        <v>10</v>
      </c>
      <c r="D80">
        <f t="shared" si="22"/>
        <v>960</v>
      </c>
      <c r="E80">
        <f t="shared" si="23"/>
        <v>270</v>
      </c>
      <c r="F80">
        <f t="shared" si="24"/>
        <v>50.4</v>
      </c>
      <c r="G80">
        <f t="shared" si="25"/>
        <v>0.09</v>
      </c>
      <c r="H80">
        <f t="shared" si="26"/>
        <v>136.08000000000001</v>
      </c>
      <c r="I80">
        <f t="shared" si="27"/>
        <v>504</v>
      </c>
      <c r="J80">
        <f t="shared" si="28"/>
        <v>360</v>
      </c>
      <c r="K80">
        <f t="shared" si="29"/>
        <v>97.2</v>
      </c>
      <c r="L80">
        <f t="shared" si="30"/>
        <v>10.974096000000001</v>
      </c>
      <c r="M80">
        <f t="shared" si="31"/>
        <v>11.113199999999999</v>
      </c>
      <c r="N80">
        <f t="shared" si="32"/>
        <v>8.4157920000000015</v>
      </c>
      <c r="O80">
        <f t="shared" si="33"/>
        <v>7.746420705882354</v>
      </c>
      <c r="P80">
        <f t="shared" si="34"/>
        <v>4.3542116630669545</v>
      </c>
      <c r="Q80">
        <f t="shared" si="35"/>
        <v>50.4</v>
      </c>
      <c r="R80">
        <f t="shared" si="36"/>
        <v>720</v>
      </c>
      <c r="S80">
        <f t="shared" si="37"/>
        <v>335.7</v>
      </c>
      <c r="T80">
        <f t="shared" si="38"/>
        <v>24.3</v>
      </c>
      <c r="U80">
        <f>I80*E80/'[1]Inverter Analysis'!$L$2</f>
        <v>326.08900039615531</v>
      </c>
      <c r="V80">
        <f t="shared" si="39"/>
        <v>222.22222222222223</v>
      </c>
      <c r="W80">
        <f t="shared" si="40"/>
        <v>238.30801310694073</v>
      </c>
      <c r="X80">
        <f t="shared" si="41"/>
        <v>158.73015873015873</v>
      </c>
      <c r="Y80">
        <f t="shared" si="42"/>
        <v>0.25555819099940025</v>
      </c>
      <c r="Z80">
        <f t="shared" si="43"/>
        <v>9.8607678749999987</v>
      </c>
    </row>
    <row r="81" spans="1:26">
      <c r="A81">
        <v>11</v>
      </c>
      <c r="B81" s="1">
        <v>6</v>
      </c>
      <c r="C81" s="1">
        <v>10</v>
      </c>
      <c r="D81">
        <f t="shared" si="22"/>
        <v>960</v>
      </c>
      <c r="E81">
        <f t="shared" si="23"/>
        <v>270</v>
      </c>
      <c r="F81">
        <f t="shared" si="24"/>
        <v>46.2</v>
      </c>
      <c r="G81">
        <f t="shared" si="25"/>
        <v>8.249999999999999E-2</v>
      </c>
      <c r="H81">
        <f t="shared" si="26"/>
        <v>124.74</v>
      </c>
      <c r="I81">
        <f t="shared" si="27"/>
        <v>462</v>
      </c>
      <c r="J81">
        <f t="shared" si="28"/>
        <v>330</v>
      </c>
      <c r="K81">
        <f t="shared" si="29"/>
        <v>89.1</v>
      </c>
      <c r="L81">
        <f t="shared" si="30"/>
        <v>10.059588</v>
      </c>
      <c r="M81">
        <f t="shared" si="31"/>
        <v>10.187099999999999</v>
      </c>
      <c r="N81">
        <f t="shared" si="32"/>
        <v>7.7144759999999986</v>
      </c>
      <c r="O81">
        <f t="shared" si="33"/>
        <v>7.1008856470588242</v>
      </c>
      <c r="P81">
        <f t="shared" si="34"/>
        <v>3.9913606911447084</v>
      </c>
      <c r="Q81">
        <f t="shared" si="35"/>
        <v>46.2</v>
      </c>
      <c r="R81">
        <f t="shared" si="36"/>
        <v>660</v>
      </c>
      <c r="S81">
        <f t="shared" si="37"/>
        <v>307.72500000000002</v>
      </c>
      <c r="T81">
        <f t="shared" si="38"/>
        <v>22.274999999999999</v>
      </c>
      <c r="U81">
        <f>I81*E81/'[1]Inverter Analysis'!$L$2</f>
        <v>298.91491702980903</v>
      </c>
      <c r="V81">
        <f t="shared" si="39"/>
        <v>242.42424242424244</v>
      </c>
      <c r="W81">
        <f t="shared" si="40"/>
        <v>259.97237793484442</v>
      </c>
      <c r="X81">
        <f t="shared" si="41"/>
        <v>173.16017316017317</v>
      </c>
      <c r="Y81">
        <f t="shared" si="42"/>
        <v>0.30413536780093908</v>
      </c>
      <c r="Z81">
        <f t="shared" si="43"/>
        <v>7.5953021074218761</v>
      </c>
    </row>
    <row r="82" spans="1:26">
      <c r="A82">
        <v>10</v>
      </c>
      <c r="B82" s="1">
        <v>6</v>
      </c>
      <c r="C82" s="1">
        <v>10</v>
      </c>
      <c r="D82">
        <f t="shared" si="22"/>
        <v>960</v>
      </c>
      <c r="E82">
        <f t="shared" si="23"/>
        <v>270</v>
      </c>
      <c r="F82">
        <f t="shared" si="24"/>
        <v>42</v>
      </c>
      <c r="G82">
        <f t="shared" si="25"/>
        <v>7.4999999999999983E-2</v>
      </c>
      <c r="H82">
        <f t="shared" si="26"/>
        <v>113.4</v>
      </c>
      <c r="I82">
        <f t="shared" si="27"/>
        <v>420</v>
      </c>
      <c r="J82">
        <f t="shared" si="28"/>
        <v>300</v>
      </c>
      <c r="K82">
        <f t="shared" si="29"/>
        <v>81</v>
      </c>
      <c r="L82">
        <f t="shared" si="30"/>
        <v>9.1450800000000001</v>
      </c>
      <c r="M82">
        <f t="shared" si="31"/>
        <v>9.2609999999999992</v>
      </c>
      <c r="N82">
        <f t="shared" si="32"/>
        <v>7.0131600000000001</v>
      </c>
      <c r="O82">
        <f t="shared" si="33"/>
        <v>6.4553505882352944</v>
      </c>
      <c r="P82">
        <f t="shared" si="34"/>
        <v>3.6285097192224618</v>
      </c>
      <c r="Q82">
        <f t="shared" si="35"/>
        <v>42</v>
      </c>
      <c r="R82">
        <f t="shared" si="36"/>
        <v>600</v>
      </c>
      <c r="S82">
        <f t="shared" si="37"/>
        <v>279.75</v>
      </c>
      <c r="T82">
        <f t="shared" si="38"/>
        <v>20.249999999999996</v>
      </c>
      <c r="U82">
        <f>I82*E82/'[1]Inverter Analysis'!$L$2</f>
        <v>271.74083366346275</v>
      </c>
      <c r="V82">
        <f t="shared" si="39"/>
        <v>266.66666666666669</v>
      </c>
      <c r="W82">
        <f t="shared" si="40"/>
        <v>285.96961572832885</v>
      </c>
      <c r="X82">
        <f t="shared" si="41"/>
        <v>190.47619047619048</v>
      </c>
      <c r="Y82">
        <f t="shared" si="42"/>
        <v>0.36800379503913627</v>
      </c>
      <c r="Z82">
        <f t="shared" si="43"/>
        <v>5.7064628906250014</v>
      </c>
    </row>
    <row r="83" spans="1:26">
      <c r="A83" s="8">
        <v>16</v>
      </c>
      <c r="B83" s="9">
        <v>5</v>
      </c>
      <c r="C83" s="1">
        <v>10</v>
      </c>
      <c r="D83">
        <f t="shared" si="22"/>
        <v>800</v>
      </c>
      <c r="E83">
        <f t="shared" si="23"/>
        <v>225</v>
      </c>
      <c r="F83">
        <f t="shared" si="24"/>
        <v>56</v>
      </c>
      <c r="G83">
        <f t="shared" si="25"/>
        <v>0.14399999999999999</v>
      </c>
      <c r="H83">
        <f t="shared" si="26"/>
        <v>151.19999999999999</v>
      </c>
      <c r="I83">
        <f t="shared" si="27"/>
        <v>672</v>
      </c>
      <c r="J83">
        <f t="shared" si="28"/>
        <v>480</v>
      </c>
      <c r="K83">
        <f t="shared" si="29"/>
        <v>108</v>
      </c>
      <c r="L83">
        <f t="shared" si="30"/>
        <v>12.193440000000001</v>
      </c>
      <c r="M83">
        <f t="shared" si="31"/>
        <v>12.348000000000001</v>
      </c>
      <c r="N83">
        <f t="shared" si="32"/>
        <v>9.3508800000000001</v>
      </c>
      <c r="O83">
        <f t="shared" si="33"/>
        <v>8.6071341176470604</v>
      </c>
      <c r="P83">
        <f t="shared" si="34"/>
        <v>4.838012958963283</v>
      </c>
      <c r="Q83">
        <f t="shared" si="35"/>
        <v>67.2</v>
      </c>
      <c r="R83">
        <f t="shared" si="36"/>
        <v>800</v>
      </c>
      <c r="S83">
        <f t="shared" si="37"/>
        <v>447.6</v>
      </c>
      <c r="T83">
        <f t="shared" si="38"/>
        <v>32.4</v>
      </c>
      <c r="U83">
        <f>I83*E83/'[1]Inverter Analysis'!$L$2</f>
        <v>362.32111155128365</v>
      </c>
      <c r="V83">
        <f t="shared" si="39"/>
        <v>166.66666666666666</v>
      </c>
      <c r="W83">
        <f t="shared" si="40"/>
        <v>178.73100983020552</v>
      </c>
      <c r="X83">
        <f t="shared" si="41"/>
        <v>119.04761904761905</v>
      </c>
      <c r="Y83">
        <f t="shared" si="42"/>
        <v>0.1437514824371626</v>
      </c>
      <c r="Z83">
        <f t="shared" si="43"/>
        <v>19.478060000000006</v>
      </c>
    </row>
    <row r="84" spans="1:26">
      <c r="A84" s="8">
        <v>15</v>
      </c>
      <c r="B84" s="9">
        <v>5</v>
      </c>
      <c r="C84" s="1">
        <v>10</v>
      </c>
      <c r="D84">
        <f t="shared" si="22"/>
        <v>800</v>
      </c>
      <c r="E84">
        <f t="shared" si="23"/>
        <v>225</v>
      </c>
      <c r="F84">
        <f t="shared" si="24"/>
        <v>52.5</v>
      </c>
      <c r="G84">
        <f t="shared" si="25"/>
        <v>0.13500000000000001</v>
      </c>
      <c r="H84">
        <f t="shared" si="26"/>
        <v>141.75</v>
      </c>
      <c r="I84">
        <f t="shared" si="27"/>
        <v>630</v>
      </c>
      <c r="J84">
        <f t="shared" si="28"/>
        <v>450</v>
      </c>
      <c r="K84">
        <f t="shared" si="29"/>
        <v>101.25</v>
      </c>
      <c r="L84">
        <f t="shared" si="30"/>
        <v>11.43135</v>
      </c>
      <c r="M84">
        <f t="shared" si="31"/>
        <v>11.57625</v>
      </c>
      <c r="N84">
        <f t="shared" si="32"/>
        <v>8.7664500000000007</v>
      </c>
      <c r="O84">
        <f t="shared" si="33"/>
        <v>8.0691882352941189</v>
      </c>
      <c r="P84">
        <f t="shared" si="34"/>
        <v>4.5356371490280782</v>
      </c>
      <c r="Q84">
        <f t="shared" si="35"/>
        <v>63</v>
      </c>
      <c r="R84">
        <f t="shared" si="36"/>
        <v>750</v>
      </c>
      <c r="S84">
        <f t="shared" si="37"/>
        <v>419.625</v>
      </c>
      <c r="T84">
        <f t="shared" si="38"/>
        <v>30.375000000000004</v>
      </c>
      <c r="U84">
        <f>I84*E84/'[1]Inverter Analysis'!$L$2</f>
        <v>339.67604207932845</v>
      </c>
      <c r="V84">
        <f t="shared" si="39"/>
        <v>177.77777777777777</v>
      </c>
      <c r="W84">
        <f t="shared" si="40"/>
        <v>190.64641048555256</v>
      </c>
      <c r="X84">
        <f t="shared" si="41"/>
        <v>126.98412698412699</v>
      </c>
      <c r="Y84">
        <f t="shared" si="42"/>
        <v>0.1635572422396161</v>
      </c>
      <c r="Z84">
        <f t="shared" si="43"/>
        <v>16.049426879882816</v>
      </c>
    </row>
    <row r="85" spans="1:26">
      <c r="A85">
        <v>14</v>
      </c>
      <c r="B85" s="9">
        <v>5</v>
      </c>
      <c r="C85" s="1">
        <v>10</v>
      </c>
      <c r="D85">
        <f t="shared" si="22"/>
        <v>800</v>
      </c>
      <c r="E85">
        <f t="shared" si="23"/>
        <v>225</v>
      </c>
      <c r="F85">
        <f t="shared" si="24"/>
        <v>49</v>
      </c>
      <c r="G85">
        <f t="shared" si="25"/>
        <v>0.126</v>
      </c>
      <c r="H85">
        <f t="shared" si="26"/>
        <v>132.30000000000001</v>
      </c>
      <c r="I85">
        <f t="shared" si="27"/>
        <v>588</v>
      </c>
      <c r="J85">
        <f t="shared" si="28"/>
        <v>420</v>
      </c>
      <c r="K85">
        <f t="shared" si="29"/>
        <v>94.5</v>
      </c>
      <c r="L85">
        <f t="shared" si="30"/>
        <v>10.669259999999998</v>
      </c>
      <c r="M85">
        <f t="shared" si="31"/>
        <v>10.804500000000001</v>
      </c>
      <c r="N85">
        <f t="shared" si="32"/>
        <v>8.1820199999999996</v>
      </c>
      <c r="O85">
        <f t="shared" si="33"/>
        <v>7.5312423529411756</v>
      </c>
      <c r="P85">
        <f t="shared" si="34"/>
        <v>4.2332613390928717</v>
      </c>
      <c r="Q85">
        <f t="shared" si="35"/>
        <v>58.8</v>
      </c>
      <c r="R85">
        <f t="shared" si="36"/>
        <v>700</v>
      </c>
      <c r="S85">
        <f t="shared" si="37"/>
        <v>391.65</v>
      </c>
      <c r="T85">
        <f t="shared" si="38"/>
        <v>28.35</v>
      </c>
      <c r="U85">
        <f>I85*E85/'[1]Inverter Analysis'!$L$2</f>
        <v>317.0309726073732</v>
      </c>
      <c r="V85">
        <f t="shared" si="39"/>
        <v>190.47619047619048</v>
      </c>
      <c r="W85">
        <f t="shared" si="40"/>
        <v>204.26401123452064</v>
      </c>
      <c r="X85">
        <f t="shared" si="41"/>
        <v>136.05442176870747</v>
      </c>
      <c r="Y85">
        <f t="shared" si="42"/>
        <v>0.18775703828527365</v>
      </c>
      <c r="Z85">
        <f t="shared" si="43"/>
        <v>13.0487784765625</v>
      </c>
    </row>
    <row r="86" spans="1:26">
      <c r="A86">
        <v>13</v>
      </c>
      <c r="B86" s="9">
        <v>5</v>
      </c>
      <c r="C86" s="1">
        <v>10</v>
      </c>
      <c r="D86">
        <f t="shared" si="22"/>
        <v>800</v>
      </c>
      <c r="E86">
        <f t="shared" si="23"/>
        <v>225</v>
      </c>
      <c r="F86">
        <f t="shared" si="24"/>
        <v>45.5</v>
      </c>
      <c r="G86">
        <f t="shared" si="25"/>
        <v>0.11700000000000001</v>
      </c>
      <c r="H86">
        <f t="shared" si="26"/>
        <v>122.85</v>
      </c>
      <c r="I86">
        <f t="shared" si="27"/>
        <v>546</v>
      </c>
      <c r="J86">
        <f t="shared" si="28"/>
        <v>390</v>
      </c>
      <c r="K86">
        <f t="shared" si="29"/>
        <v>87.75</v>
      </c>
      <c r="L86">
        <f t="shared" si="30"/>
        <v>9.9071700000000007</v>
      </c>
      <c r="M86">
        <f t="shared" si="31"/>
        <v>10.03275</v>
      </c>
      <c r="N86">
        <f t="shared" si="32"/>
        <v>7.5975900000000003</v>
      </c>
      <c r="O86">
        <f t="shared" si="33"/>
        <v>6.9932964705882359</v>
      </c>
      <c r="P86">
        <f t="shared" si="34"/>
        <v>3.930885529157667</v>
      </c>
      <c r="Q86">
        <f t="shared" si="35"/>
        <v>54.6</v>
      </c>
      <c r="R86">
        <f t="shared" si="36"/>
        <v>650</v>
      </c>
      <c r="S86">
        <f t="shared" si="37"/>
        <v>363.67500000000001</v>
      </c>
      <c r="T86">
        <f t="shared" si="38"/>
        <v>26.325000000000003</v>
      </c>
      <c r="U86">
        <f>I86*E86/'[1]Inverter Analysis'!$L$2</f>
        <v>294.385903135418</v>
      </c>
      <c r="V86">
        <f t="shared" si="39"/>
        <v>205.12820512820514</v>
      </c>
      <c r="W86">
        <f t="shared" si="40"/>
        <v>219.97662748332988</v>
      </c>
      <c r="X86">
        <f t="shared" si="41"/>
        <v>146.52014652014651</v>
      </c>
      <c r="Y86">
        <f t="shared" si="42"/>
        <v>0.21775372487522857</v>
      </c>
      <c r="Z86">
        <f t="shared" si="43"/>
        <v>10.447582475585939</v>
      </c>
    </row>
    <row r="87" spans="1:26">
      <c r="A87">
        <v>12</v>
      </c>
      <c r="B87" s="9">
        <v>5</v>
      </c>
      <c r="C87" s="1">
        <v>10</v>
      </c>
      <c r="D87">
        <f t="shared" si="22"/>
        <v>800</v>
      </c>
      <c r="E87">
        <f t="shared" si="23"/>
        <v>225</v>
      </c>
      <c r="F87">
        <f t="shared" si="24"/>
        <v>42</v>
      </c>
      <c r="G87">
        <f t="shared" si="25"/>
        <v>0.10800000000000001</v>
      </c>
      <c r="H87">
        <f t="shared" si="26"/>
        <v>113.4</v>
      </c>
      <c r="I87">
        <f t="shared" si="27"/>
        <v>504</v>
      </c>
      <c r="J87">
        <f t="shared" si="28"/>
        <v>360</v>
      </c>
      <c r="K87">
        <f t="shared" si="29"/>
        <v>81</v>
      </c>
      <c r="L87">
        <f t="shared" si="30"/>
        <v>9.1450800000000001</v>
      </c>
      <c r="M87">
        <f t="shared" si="31"/>
        <v>9.2609999999999992</v>
      </c>
      <c r="N87">
        <f t="shared" si="32"/>
        <v>7.0131600000000001</v>
      </c>
      <c r="O87">
        <f t="shared" si="33"/>
        <v>6.4553505882352944</v>
      </c>
      <c r="P87">
        <f t="shared" si="34"/>
        <v>3.6285097192224618</v>
      </c>
      <c r="Q87">
        <f t="shared" si="35"/>
        <v>50.4</v>
      </c>
      <c r="R87">
        <f t="shared" si="36"/>
        <v>600</v>
      </c>
      <c r="S87">
        <f t="shared" si="37"/>
        <v>335.7</v>
      </c>
      <c r="T87">
        <f t="shared" si="38"/>
        <v>24.300000000000004</v>
      </c>
      <c r="U87">
        <f>I87*E87/'[1]Inverter Analysis'!$L$2</f>
        <v>271.74083366346275</v>
      </c>
      <c r="V87">
        <f t="shared" si="39"/>
        <v>222.22222222222223</v>
      </c>
      <c r="W87">
        <f t="shared" si="40"/>
        <v>238.30801310694073</v>
      </c>
      <c r="X87">
        <f t="shared" si="41"/>
        <v>158.73015873015873</v>
      </c>
      <c r="Y87">
        <f t="shared" si="42"/>
        <v>0.25555819099940025</v>
      </c>
      <c r="Z87">
        <f t="shared" si="43"/>
        <v>8.2173065624999992</v>
      </c>
    </row>
    <row r="88" spans="1:26">
      <c r="A88">
        <v>11</v>
      </c>
      <c r="B88" s="9">
        <v>5</v>
      </c>
      <c r="C88" s="1">
        <v>10</v>
      </c>
      <c r="D88">
        <f t="shared" si="22"/>
        <v>800</v>
      </c>
      <c r="E88">
        <f t="shared" si="23"/>
        <v>225</v>
      </c>
      <c r="F88">
        <f t="shared" si="24"/>
        <v>38.5</v>
      </c>
      <c r="G88">
        <f t="shared" si="25"/>
        <v>9.8999999999999991E-2</v>
      </c>
      <c r="H88">
        <f t="shared" si="26"/>
        <v>103.95</v>
      </c>
      <c r="I88">
        <f t="shared" si="27"/>
        <v>462</v>
      </c>
      <c r="J88">
        <f t="shared" si="28"/>
        <v>330</v>
      </c>
      <c r="K88">
        <f t="shared" si="29"/>
        <v>74.25</v>
      </c>
      <c r="L88">
        <f t="shared" si="30"/>
        <v>8.3829899999999995</v>
      </c>
      <c r="M88">
        <f t="shared" si="31"/>
        <v>8.4892500000000002</v>
      </c>
      <c r="N88">
        <f t="shared" si="32"/>
        <v>6.4287299999999998</v>
      </c>
      <c r="O88">
        <f t="shared" si="33"/>
        <v>5.9174047058823529</v>
      </c>
      <c r="P88">
        <f t="shared" si="34"/>
        <v>3.3261339092872566</v>
      </c>
      <c r="Q88">
        <f t="shared" si="35"/>
        <v>46.2</v>
      </c>
      <c r="R88">
        <f t="shared" si="36"/>
        <v>550</v>
      </c>
      <c r="S88">
        <f t="shared" si="37"/>
        <v>307.72500000000002</v>
      </c>
      <c r="T88">
        <f t="shared" si="38"/>
        <v>22.274999999999999</v>
      </c>
      <c r="U88">
        <f>I88*E88/'[1]Inverter Analysis'!$L$2</f>
        <v>249.09576419150753</v>
      </c>
      <c r="V88">
        <f t="shared" si="39"/>
        <v>242.42424242424244</v>
      </c>
      <c r="W88">
        <f t="shared" si="40"/>
        <v>259.97237793484442</v>
      </c>
      <c r="X88">
        <f t="shared" si="41"/>
        <v>173.16017316017317</v>
      </c>
      <c r="Y88">
        <f t="shared" si="42"/>
        <v>0.30413536780093908</v>
      </c>
      <c r="Z88">
        <f t="shared" si="43"/>
        <v>6.3294184228515622</v>
      </c>
    </row>
    <row r="89" spans="1:26">
      <c r="A89">
        <v>10</v>
      </c>
      <c r="B89" s="9">
        <v>5</v>
      </c>
      <c r="C89" s="1">
        <v>10</v>
      </c>
      <c r="D89">
        <f t="shared" si="22"/>
        <v>800</v>
      </c>
      <c r="E89">
        <f t="shared" si="23"/>
        <v>225</v>
      </c>
      <c r="F89">
        <f t="shared" si="24"/>
        <v>35</v>
      </c>
      <c r="G89">
        <f t="shared" si="25"/>
        <v>0.09</v>
      </c>
      <c r="H89">
        <f t="shared" si="26"/>
        <v>94.5</v>
      </c>
      <c r="I89">
        <f t="shared" si="27"/>
        <v>420</v>
      </c>
      <c r="J89">
        <f t="shared" si="28"/>
        <v>300</v>
      </c>
      <c r="K89">
        <f t="shared" si="29"/>
        <v>67.5</v>
      </c>
      <c r="L89">
        <f t="shared" si="30"/>
        <v>7.6209000000000007</v>
      </c>
      <c r="M89">
        <f t="shared" si="31"/>
        <v>7.7175000000000002</v>
      </c>
      <c r="N89">
        <f t="shared" si="32"/>
        <v>5.8442999999999996</v>
      </c>
      <c r="O89">
        <f t="shared" si="33"/>
        <v>5.3794588235294123</v>
      </c>
      <c r="P89">
        <f t="shared" si="34"/>
        <v>3.0237580993520519</v>
      </c>
      <c r="Q89">
        <f t="shared" si="35"/>
        <v>42</v>
      </c>
      <c r="R89">
        <f t="shared" si="36"/>
        <v>500</v>
      </c>
      <c r="S89">
        <f t="shared" si="37"/>
        <v>279.75</v>
      </c>
      <c r="T89">
        <f t="shared" si="38"/>
        <v>20.25</v>
      </c>
      <c r="U89">
        <f>I89*E89/'[1]Inverter Analysis'!$L$2</f>
        <v>226.4506947195523</v>
      </c>
      <c r="V89">
        <f t="shared" si="39"/>
        <v>266.66666666666669</v>
      </c>
      <c r="W89">
        <f t="shared" si="40"/>
        <v>285.96961572832885</v>
      </c>
      <c r="X89">
        <f t="shared" si="41"/>
        <v>190.47619047619048</v>
      </c>
      <c r="Y89">
        <f t="shared" si="42"/>
        <v>0.36800379503913627</v>
      </c>
      <c r="Z89">
        <f t="shared" si="43"/>
        <v>4.7553857421875012</v>
      </c>
    </row>
    <row r="90" spans="1:26">
      <c r="A90">
        <v>16</v>
      </c>
      <c r="B90">
        <v>4</v>
      </c>
      <c r="C90" s="1">
        <v>10</v>
      </c>
      <c r="D90">
        <f t="shared" si="22"/>
        <v>640</v>
      </c>
      <c r="E90">
        <f t="shared" si="23"/>
        <v>180</v>
      </c>
      <c r="F90">
        <f t="shared" si="24"/>
        <v>44.8</v>
      </c>
      <c r="G90">
        <f t="shared" si="25"/>
        <v>0.18</v>
      </c>
      <c r="H90">
        <f t="shared" si="26"/>
        <v>120.96</v>
      </c>
      <c r="I90">
        <f t="shared" si="27"/>
        <v>672</v>
      </c>
      <c r="J90">
        <f t="shared" si="28"/>
        <v>480</v>
      </c>
      <c r="K90">
        <f t="shared" si="29"/>
        <v>86.4</v>
      </c>
      <c r="L90">
        <f t="shared" si="30"/>
        <v>9.7547519999999999</v>
      </c>
      <c r="M90">
        <f t="shared" si="31"/>
        <v>9.8783999999999992</v>
      </c>
      <c r="N90">
        <f t="shared" si="32"/>
        <v>7.4807039999999994</v>
      </c>
      <c r="O90">
        <f t="shared" si="33"/>
        <v>6.8857072941176476</v>
      </c>
      <c r="P90">
        <f t="shared" si="34"/>
        <v>3.8704103671706265</v>
      </c>
      <c r="Q90">
        <f t="shared" si="35"/>
        <v>67.2</v>
      </c>
      <c r="R90">
        <f t="shared" si="36"/>
        <v>640</v>
      </c>
      <c r="S90">
        <f t="shared" si="37"/>
        <v>447.6</v>
      </c>
      <c r="T90">
        <f t="shared" si="38"/>
        <v>32.4</v>
      </c>
      <c r="U90">
        <f>I90*E90/'[1]Inverter Analysis'!$L$2</f>
        <v>289.85688924102692</v>
      </c>
      <c r="V90">
        <f t="shared" si="39"/>
        <v>166.66666666666666</v>
      </c>
      <c r="W90">
        <f t="shared" si="40"/>
        <v>178.73100983020552</v>
      </c>
      <c r="X90">
        <f t="shared" si="41"/>
        <v>119.04761904761905</v>
      </c>
      <c r="Y90">
        <f t="shared" si="42"/>
        <v>0.1437514824371626</v>
      </c>
      <c r="Z90">
        <f t="shared" si="43"/>
        <v>15.582448000000005</v>
      </c>
    </row>
    <row r="91" spans="1:26">
      <c r="A91">
        <v>15</v>
      </c>
      <c r="B91">
        <v>4</v>
      </c>
      <c r="C91" s="1">
        <v>10</v>
      </c>
      <c r="D91">
        <f t="shared" si="22"/>
        <v>640</v>
      </c>
      <c r="E91">
        <f t="shared" si="23"/>
        <v>180</v>
      </c>
      <c r="F91">
        <f t="shared" si="24"/>
        <v>42</v>
      </c>
      <c r="G91">
        <f t="shared" si="25"/>
        <v>0.16874999999999998</v>
      </c>
      <c r="H91">
        <f t="shared" si="26"/>
        <v>113.4</v>
      </c>
      <c r="I91">
        <f t="shared" si="27"/>
        <v>630</v>
      </c>
      <c r="J91">
        <f t="shared" si="28"/>
        <v>450</v>
      </c>
      <c r="K91">
        <f t="shared" si="29"/>
        <v>81</v>
      </c>
      <c r="L91">
        <f t="shared" si="30"/>
        <v>9.1450800000000001</v>
      </c>
      <c r="M91">
        <f t="shared" si="31"/>
        <v>9.2609999999999992</v>
      </c>
      <c r="N91">
        <f t="shared" si="32"/>
        <v>7.0131600000000001</v>
      </c>
      <c r="O91">
        <f t="shared" si="33"/>
        <v>6.4553505882352944</v>
      </c>
      <c r="P91">
        <f t="shared" si="34"/>
        <v>3.6285097192224618</v>
      </c>
      <c r="Q91">
        <f t="shared" si="35"/>
        <v>63</v>
      </c>
      <c r="R91">
        <f t="shared" si="36"/>
        <v>600</v>
      </c>
      <c r="S91">
        <f t="shared" si="37"/>
        <v>419.625</v>
      </c>
      <c r="T91">
        <f t="shared" si="38"/>
        <v>30.374999999999996</v>
      </c>
      <c r="U91">
        <f>I91*E91/'[1]Inverter Analysis'!$L$2</f>
        <v>271.74083366346275</v>
      </c>
      <c r="V91">
        <f t="shared" si="39"/>
        <v>177.77777777777777</v>
      </c>
      <c r="W91">
        <f t="shared" si="40"/>
        <v>190.64641048555256</v>
      </c>
      <c r="X91">
        <f t="shared" si="41"/>
        <v>126.98412698412699</v>
      </c>
      <c r="Y91">
        <f t="shared" si="42"/>
        <v>0.1635572422396161</v>
      </c>
      <c r="Z91">
        <f t="shared" si="43"/>
        <v>12.839541503906254</v>
      </c>
    </row>
    <row r="92" spans="1:26">
      <c r="A92">
        <v>14</v>
      </c>
      <c r="B92">
        <v>4</v>
      </c>
      <c r="C92" s="1">
        <v>10</v>
      </c>
      <c r="D92">
        <f t="shared" si="22"/>
        <v>640</v>
      </c>
      <c r="E92">
        <f t="shared" si="23"/>
        <v>180</v>
      </c>
      <c r="F92">
        <f t="shared" si="24"/>
        <v>39.200000000000003</v>
      </c>
      <c r="G92">
        <f t="shared" si="25"/>
        <v>0.1575</v>
      </c>
      <c r="H92">
        <f t="shared" si="26"/>
        <v>105.84</v>
      </c>
      <c r="I92">
        <f t="shared" si="27"/>
        <v>588</v>
      </c>
      <c r="J92">
        <f t="shared" si="28"/>
        <v>420</v>
      </c>
      <c r="K92">
        <f t="shared" si="29"/>
        <v>75.599999999999994</v>
      </c>
      <c r="L92">
        <f t="shared" si="30"/>
        <v>8.5354080000000003</v>
      </c>
      <c r="M92">
        <f t="shared" si="31"/>
        <v>8.6436000000000011</v>
      </c>
      <c r="N92">
        <f t="shared" si="32"/>
        <v>6.5456159999999999</v>
      </c>
      <c r="O92">
        <f t="shared" si="33"/>
        <v>6.0249938823529421</v>
      </c>
      <c r="P92">
        <f t="shared" si="34"/>
        <v>3.386609071274298</v>
      </c>
      <c r="Q92">
        <f t="shared" si="35"/>
        <v>58.8</v>
      </c>
      <c r="R92">
        <f t="shared" si="36"/>
        <v>560</v>
      </c>
      <c r="S92">
        <f t="shared" si="37"/>
        <v>391.65</v>
      </c>
      <c r="T92">
        <f t="shared" si="38"/>
        <v>28.35</v>
      </c>
      <c r="U92">
        <f>I92*E92/'[1]Inverter Analysis'!$L$2</f>
        <v>253.62477808589858</v>
      </c>
      <c r="V92">
        <f t="shared" si="39"/>
        <v>190.47619047619048</v>
      </c>
      <c r="W92">
        <f t="shared" si="40"/>
        <v>204.26401123452064</v>
      </c>
      <c r="X92">
        <f t="shared" si="41"/>
        <v>136.05442176870747</v>
      </c>
      <c r="Y92">
        <f t="shared" si="42"/>
        <v>0.18775703828527365</v>
      </c>
      <c r="Z92">
        <f t="shared" si="43"/>
        <v>10.439022781249998</v>
      </c>
    </row>
    <row r="93" spans="1:26">
      <c r="A93">
        <v>13</v>
      </c>
      <c r="B93">
        <v>4</v>
      </c>
      <c r="C93" s="1">
        <v>10</v>
      </c>
      <c r="D93">
        <f t="shared" si="22"/>
        <v>640</v>
      </c>
      <c r="E93">
        <f t="shared" si="23"/>
        <v>180</v>
      </c>
      <c r="F93">
        <f t="shared" si="24"/>
        <v>36.4</v>
      </c>
      <c r="G93">
        <f t="shared" si="25"/>
        <v>0.14624999999999999</v>
      </c>
      <c r="H93">
        <f t="shared" si="26"/>
        <v>98.28</v>
      </c>
      <c r="I93">
        <f t="shared" si="27"/>
        <v>546</v>
      </c>
      <c r="J93">
        <f t="shared" si="28"/>
        <v>390</v>
      </c>
      <c r="K93">
        <f t="shared" si="29"/>
        <v>70.2</v>
      </c>
      <c r="L93">
        <f t="shared" si="30"/>
        <v>7.9257359999999997</v>
      </c>
      <c r="M93">
        <f t="shared" si="31"/>
        <v>8.0261999999999993</v>
      </c>
      <c r="N93">
        <f t="shared" si="32"/>
        <v>6.0780719999999997</v>
      </c>
      <c r="O93">
        <f t="shared" si="33"/>
        <v>5.594637176470588</v>
      </c>
      <c r="P93">
        <f t="shared" si="34"/>
        <v>3.1447084233261338</v>
      </c>
      <c r="Q93">
        <f t="shared" si="35"/>
        <v>54.6</v>
      </c>
      <c r="R93">
        <f t="shared" si="36"/>
        <v>520</v>
      </c>
      <c r="S93">
        <f t="shared" si="37"/>
        <v>363.67500000000001</v>
      </c>
      <c r="T93">
        <f t="shared" si="38"/>
        <v>26.324999999999999</v>
      </c>
      <c r="U93">
        <f>I93*E93/'[1]Inverter Analysis'!$L$2</f>
        <v>235.50872250833439</v>
      </c>
      <c r="V93">
        <f t="shared" si="39"/>
        <v>205.12820512820514</v>
      </c>
      <c r="W93">
        <f t="shared" si="40"/>
        <v>219.97662748332988</v>
      </c>
      <c r="X93">
        <f t="shared" si="41"/>
        <v>146.52014652014651</v>
      </c>
      <c r="Y93">
        <f t="shared" si="42"/>
        <v>0.21775372487522857</v>
      </c>
      <c r="Z93">
        <f t="shared" si="43"/>
        <v>8.3580659804687514</v>
      </c>
    </row>
    <row r="94" spans="1:26">
      <c r="A94">
        <v>12</v>
      </c>
      <c r="B94">
        <v>4</v>
      </c>
      <c r="C94" s="1">
        <v>10</v>
      </c>
      <c r="D94">
        <f t="shared" si="22"/>
        <v>640</v>
      </c>
      <c r="E94">
        <f t="shared" si="23"/>
        <v>180</v>
      </c>
      <c r="F94">
        <f t="shared" si="24"/>
        <v>33.6</v>
      </c>
      <c r="G94">
        <f t="shared" si="25"/>
        <v>0.13499999999999998</v>
      </c>
      <c r="H94">
        <f t="shared" si="26"/>
        <v>90.72</v>
      </c>
      <c r="I94">
        <f t="shared" si="27"/>
        <v>504</v>
      </c>
      <c r="J94">
        <f t="shared" si="28"/>
        <v>360</v>
      </c>
      <c r="K94">
        <f t="shared" si="29"/>
        <v>64.8</v>
      </c>
      <c r="L94">
        <f t="shared" si="30"/>
        <v>7.3160639999999999</v>
      </c>
      <c r="M94">
        <f t="shared" si="31"/>
        <v>7.4087999999999994</v>
      </c>
      <c r="N94">
        <f t="shared" si="32"/>
        <v>5.6105280000000004</v>
      </c>
      <c r="O94">
        <f t="shared" si="33"/>
        <v>5.1642804705882357</v>
      </c>
      <c r="P94">
        <f t="shared" si="34"/>
        <v>2.90280777537797</v>
      </c>
      <c r="Q94">
        <f t="shared" si="35"/>
        <v>50.4</v>
      </c>
      <c r="R94">
        <f t="shared" si="36"/>
        <v>480</v>
      </c>
      <c r="S94">
        <f t="shared" si="37"/>
        <v>335.7</v>
      </c>
      <c r="T94">
        <f t="shared" si="38"/>
        <v>24.299999999999997</v>
      </c>
      <c r="U94">
        <f>I94*E94/'[1]Inverter Analysis'!$L$2</f>
        <v>217.39266693077019</v>
      </c>
      <c r="V94">
        <f t="shared" si="39"/>
        <v>222.22222222222223</v>
      </c>
      <c r="W94">
        <f t="shared" si="40"/>
        <v>238.30801310694073</v>
      </c>
      <c r="X94">
        <f t="shared" si="41"/>
        <v>158.73015873015873</v>
      </c>
      <c r="Y94">
        <f t="shared" si="42"/>
        <v>0.25555819099940025</v>
      </c>
      <c r="Z94">
        <f t="shared" si="43"/>
        <v>6.5738452499999998</v>
      </c>
    </row>
    <row r="95" spans="1:26">
      <c r="A95">
        <v>11</v>
      </c>
      <c r="B95">
        <v>4</v>
      </c>
      <c r="C95" s="1">
        <v>10</v>
      </c>
      <c r="D95">
        <f t="shared" si="22"/>
        <v>640</v>
      </c>
      <c r="E95">
        <f t="shared" si="23"/>
        <v>180</v>
      </c>
      <c r="F95">
        <f t="shared" si="24"/>
        <v>30.8</v>
      </c>
      <c r="G95">
        <f t="shared" si="25"/>
        <v>0.12374999999999999</v>
      </c>
      <c r="H95">
        <f t="shared" si="26"/>
        <v>83.16</v>
      </c>
      <c r="I95">
        <f t="shared" si="27"/>
        <v>462</v>
      </c>
      <c r="J95">
        <f t="shared" si="28"/>
        <v>330</v>
      </c>
      <c r="K95">
        <f t="shared" si="29"/>
        <v>59.4</v>
      </c>
      <c r="L95">
        <f t="shared" si="30"/>
        <v>6.7063920000000001</v>
      </c>
      <c r="M95">
        <f t="shared" si="31"/>
        <v>6.7913999999999994</v>
      </c>
      <c r="N95">
        <f t="shared" si="32"/>
        <v>5.1429839999999993</v>
      </c>
      <c r="O95">
        <f t="shared" si="33"/>
        <v>4.7339237647058825</v>
      </c>
      <c r="P95">
        <f t="shared" si="34"/>
        <v>2.6609071274298057</v>
      </c>
      <c r="Q95">
        <f t="shared" si="35"/>
        <v>46.2</v>
      </c>
      <c r="R95">
        <f t="shared" si="36"/>
        <v>440</v>
      </c>
      <c r="S95">
        <f t="shared" si="37"/>
        <v>307.72500000000002</v>
      </c>
      <c r="T95">
        <f t="shared" si="38"/>
        <v>22.274999999999999</v>
      </c>
      <c r="U95">
        <f>I95*E95/'[1]Inverter Analysis'!$L$2</f>
        <v>199.27661135320602</v>
      </c>
      <c r="V95">
        <f t="shared" si="39"/>
        <v>242.42424242424244</v>
      </c>
      <c r="W95">
        <f t="shared" si="40"/>
        <v>259.97237793484442</v>
      </c>
      <c r="X95">
        <f t="shared" si="41"/>
        <v>173.16017316017317</v>
      </c>
      <c r="Y95">
        <f t="shared" si="42"/>
        <v>0.30413536780093908</v>
      </c>
      <c r="Z95">
        <f t="shared" si="43"/>
        <v>5.0635347382812501</v>
      </c>
    </row>
    <row r="96" spans="1:26">
      <c r="A96">
        <v>10</v>
      </c>
      <c r="B96">
        <v>4</v>
      </c>
      <c r="C96" s="1">
        <v>10</v>
      </c>
      <c r="D96">
        <f t="shared" si="22"/>
        <v>640</v>
      </c>
      <c r="E96">
        <f t="shared" si="23"/>
        <v>180</v>
      </c>
      <c r="F96">
        <f t="shared" si="24"/>
        <v>28</v>
      </c>
      <c r="G96">
        <f t="shared" si="25"/>
        <v>0.11249999999999999</v>
      </c>
      <c r="H96">
        <f t="shared" si="26"/>
        <v>75.599999999999994</v>
      </c>
      <c r="I96">
        <f t="shared" si="27"/>
        <v>420</v>
      </c>
      <c r="J96">
        <f t="shared" si="28"/>
        <v>300</v>
      </c>
      <c r="K96">
        <f t="shared" si="29"/>
        <v>54</v>
      </c>
      <c r="L96">
        <f t="shared" si="30"/>
        <v>6.0967200000000004</v>
      </c>
      <c r="M96">
        <f t="shared" si="31"/>
        <v>6.1740000000000004</v>
      </c>
      <c r="N96">
        <f t="shared" si="32"/>
        <v>4.67544</v>
      </c>
      <c r="O96">
        <f t="shared" si="33"/>
        <v>4.3035670588235302</v>
      </c>
      <c r="P96">
        <f t="shared" si="34"/>
        <v>2.4190064794816415</v>
      </c>
      <c r="Q96">
        <f t="shared" si="35"/>
        <v>42</v>
      </c>
      <c r="R96">
        <f t="shared" si="36"/>
        <v>400</v>
      </c>
      <c r="S96">
        <f t="shared" si="37"/>
        <v>279.75</v>
      </c>
      <c r="T96">
        <f t="shared" si="38"/>
        <v>20.249999999999996</v>
      </c>
      <c r="U96">
        <f>I96*E96/'[1]Inverter Analysis'!$L$2</f>
        <v>181.16055577564182</v>
      </c>
      <c r="V96">
        <f t="shared" si="39"/>
        <v>266.66666666666669</v>
      </c>
      <c r="W96">
        <f t="shared" si="40"/>
        <v>285.96961572832885</v>
      </c>
      <c r="X96">
        <f t="shared" si="41"/>
        <v>190.47619047619048</v>
      </c>
      <c r="Y96">
        <f t="shared" si="42"/>
        <v>0.36800379503913627</v>
      </c>
      <c r="Z96">
        <f t="shared" si="43"/>
        <v>3.804308593750001</v>
      </c>
    </row>
    <row r="97" spans="1:26">
      <c r="A97">
        <v>16</v>
      </c>
      <c r="B97">
        <v>3</v>
      </c>
      <c r="C97" s="1">
        <v>10</v>
      </c>
      <c r="D97">
        <f t="shared" si="22"/>
        <v>480</v>
      </c>
      <c r="E97">
        <f t="shared" si="23"/>
        <v>135</v>
      </c>
      <c r="F97">
        <f t="shared" si="24"/>
        <v>33.6</v>
      </c>
      <c r="G97">
        <f t="shared" si="25"/>
        <v>0.23999999999999996</v>
      </c>
      <c r="H97">
        <f t="shared" si="26"/>
        <v>90.72</v>
      </c>
      <c r="I97">
        <f t="shared" si="27"/>
        <v>672</v>
      </c>
      <c r="J97">
        <f t="shared" si="28"/>
        <v>480</v>
      </c>
      <c r="K97">
        <f t="shared" si="29"/>
        <v>64.8</v>
      </c>
      <c r="L97">
        <f t="shared" si="30"/>
        <v>7.3160639999999999</v>
      </c>
      <c r="M97">
        <f t="shared" si="31"/>
        <v>7.4087999999999994</v>
      </c>
      <c r="N97">
        <f t="shared" si="32"/>
        <v>5.6105280000000004</v>
      </c>
      <c r="O97">
        <f t="shared" si="33"/>
        <v>5.1642804705882357</v>
      </c>
      <c r="P97">
        <f t="shared" si="34"/>
        <v>2.90280777537797</v>
      </c>
      <c r="Q97">
        <f t="shared" si="35"/>
        <v>67.2</v>
      </c>
      <c r="R97">
        <f t="shared" si="36"/>
        <v>480</v>
      </c>
      <c r="S97">
        <f t="shared" si="37"/>
        <v>447.6</v>
      </c>
      <c r="T97">
        <f t="shared" si="38"/>
        <v>32.4</v>
      </c>
      <c r="U97">
        <f>I97*E97/'[1]Inverter Analysis'!$L$2</f>
        <v>217.39266693077019</v>
      </c>
      <c r="V97">
        <f t="shared" si="39"/>
        <v>166.66666666666666</v>
      </c>
      <c r="W97">
        <f t="shared" si="40"/>
        <v>178.73100983020552</v>
      </c>
      <c r="X97">
        <f t="shared" si="41"/>
        <v>119.04761904761905</v>
      </c>
      <c r="Y97">
        <f t="shared" si="42"/>
        <v>0.1437514824371626</v>
      </c>
      <c r="Z97">
        <f t="shared" si="43"/>
        <v>11.686836000000003</v>
      </c>
    </row>
    <row r="98" spans="1:26">
      <c r="A98">
        <v>15</v>
      </c>
      <c r="B98">
        <v>3</v>
      </c>
      <c r="C98" s="1">
        <v>10</v>
      </c>
      <c r="D98">
        <f t="shared" si="22"/>
        <v>480</v>
      </c>
      <c r="E98">
        <f t="shared" si="23"/>
        <v>135</v>
      </c>
      <c r="F98">
        <f t="shared" si="24"/>
        <v>31.5</v>
      </c>
      <c r="G98">
        <f t="shared" si="25"/>
        <v>0.22499999999999995</v>
      </c>
      <c r="H98">
        <f t="shared" si="26"/>
        <v>85.05</v>
      </c>
      <c r="I98">
        <f t="shared" si="27"/>
        <v>630</v>
      </c>
      <c r="J98">
        <f t="shared" si="28"/>
        <v>450</v>
      </c>
      <c r="K98">
        <f t="shared" si="29"/>
        <v>60.75</v>
      </c>
      <c r="L98">
        <f t="shared" si="30"/>
        <v>6.8588099999999992</v>
      </c>
      <c r="M98">
        <f t="shared" si="31"/>
        <v>6.9457500000000003</v>
      </c>
      <c r="N98">
        <f t="shared" si="32"/>
        <v>5.2598700000000003</v>
      </c>
      <c r="O98">
        <f t="shared" si="33"/>
        <v>4.8415129411764699</v>
      </c>
      <c r="P98">
        <f t="shared" si="34"/>
        <v>2.7213822894168467</v>
      </c>
      <c r="Q98">
        <f t="shared" si="35"/>
        <v>63</v>
      </c>
      <c r="R98">
        <f t="shared" si="36"/>
        <v>450</v>
      </c>
      <c r="S98">
        <f t="shared" si="37"/>
        <v>419.625</v>
      </c>
      <c r="T98">
        <f t="shared" si="38"/>
        <v>30.374999999999993</v>
      </c>
      <c r="U98">
        <f>I98*E98/'[1]Inverter Analysis'!$L$2</f>
        <v>203.80562524759708</v>
      </c>
      <c r="V98">
        <f t="shared" si="39"/>
        <v>177.77777777777777</v>
      </c>
      <c r="W98">
        <f t="shared" si="40"/>
        <v>190.64641048555256</v>
      </c>
      <c r="X98">
        <f t="shared" si="41"/>
        <v>126.98412698412699</v>
      </c>
      <c r="Y98">
        <f t="shared" si="42"/>
        <v>0.1635572422396161</v>
      </c>
      <c r="Z98">
        <f t="shared" si="43"/>
        <v>9.6296561279296906</v>
      </c>
    </row>
    <row r="99" spans="1:26">
      <c r="A99">
        <v>14</v>
      </c>
      <c r="B99">
        <v>3</v>
      </c>
      <c r="C99" s="1">
        <v>10</v>
      </c>
      <c r="D99">
        <f t="shared" si="22"/>
        <v>480</v>
      </c>
      <c r="E99">
        <f t="shared" si="23"/>
        <v>135</v>
      </c>
      <c r="F99">
        <f t="shared" si="24"/>
        <v>29.4</v>
      </c>
      <c r="G99">
        <f t="shared" si="25"/>
        <v>0.20999999999999996</v>
      </c>
      <c r="H99">
        <f t="shared" si="26"/>
        <v>79.38</v>
      </c>
      <c r="I99">
        <f t="shared" si="27"/>
        <v>588</v>
      </c>
      <c r="J99">
        <f t="shared" si="28"/>
        <v>420</v>
      </c>
      <c r="K99">
        <f t="shared" si="29"/>
        <v>56.7</v>
      </c>
      <c r="L99">
        <f t="shared" si="30"/>
        <v>6.4015559999999994</v>
      </c>
      <c r="M99">
        <f t="shared" si="31"/>
        <v>6.4827000000000004</v>
      </c>
      <c r="N99">
        <f t="shared" si="32"/>
        <v>4.9092119999999992</v>
      </c>
      <c r="O99">
        <f t="shared" si="33"/>
        <v>4.5187454117647059</v>
      </c>
      <c r="P99">
        <f t="shared" si="34"/>
        <v>2.5399568034557234</v>
      </c>
      <c r="Q99">
        <f t="shared" si="35"/>
        <v>58.8</v>
      </c>
      <c r="R99">
        <f t="shared" si="36"/>
        <v>420</v>
      </c>
      <c r="S99">
        <f t="shared" si="37"/>
        <v>391.65</v>
      </c>
      <c r="T99">
        <f t="shared" si="38"/>
        <v>28.349999999999994</v>
      </c>
      <c r="U99">
        <f>I99*E99/'[1]Inverter Analysis'!$L$2</f>
        <v>190.21858356442394</v>
      </c>
      <c r="V99">
        <f t="shared" si="39"/>
        <v>190.47619047619048</v>
      </c>
      <c r="W99">
        <f t="shared" si="40"/>
        <v>204.26401123452064</v>
      </c>
      <c r="X99">
        <f t="shared" si="41"/>
        <v>136.05442176870747</v>
      </c>
      <c r="Y99">
        <f t="shared" si="42"/>
        <v>0.18775703828527365</v>
      </c>
      <c r="Z99">
        <f t="shared" si="43"/>
        <v>7.8292670859374986</v>
      </c>
    </row>
    <row r="100" spans="1:26">
      <c r="A100">
        <v>13</v>
      </c>
      <c r="B100">
        <v>3</v>
      </c>
      <c r="C100" s="1">
        <v>10</v>
      </c>
      <c r="D100">
        <f t="shared" si="22"/>
        <v>480</v>
      </c>
      <c r="E100">
        <f t="shared" si="23"/>
        <v>135</v>
      </c>
      <c r="F100">
        <f t="shared" si="24"/>
        <v>27.3</v>
      </c>
      <c r="G100">
        <f t="shared" si="25"/>
        <v>0.19499999999999995</v>
      </c>
      <c r="H100">
        <f t="shared" si="26"/>
        <v>73.709999999999994</v>
      </c>
      <c r="I100">
        <f t="shared" si="27"/>
        <v>546</v>
      </c>
      <c r="J100">
        <f t="shared" si="28"/>
        <v>390</v>
      </c>
      <c r="K100">
        <f t="shared" si="29"/>
        <v>52.65</v>
      </c>
      <c r="L100">
        <f t="shared" si="30"/>
        <v>5.9443019999999995</v>
      </c>
      <c r="M100">
        <f t="shared" si="31"/>
        <v>6.0196499999999995</v>
      </c>
      <c r="N100">
        <f t="shared" si="32"/>
        <v>4.558554</v>
      </c>
      <c r="O100">
        <f t="shared" si="33"/>
        <v>4.195977882352941</v>
      </c>
      <c r="P100">
        <f t="shared" si="34"/>
        <v>2.3585313174946001</v>
      </c>
      <c r="Q100">
        <f t="shared" si="35"/>
        <v>54.6</v>
      </c>
      <c r="R100">
        <f t="shared" si="36"/>
        <v>390</v>
      </c>
      <c r="S100">
        <f t="shared" si="37"/>
        <v>363.67500000000001</v>
      </c>
      <c r="T100">
        <f t="shared" si="38"/>
        <v>26.324999999999992</v>
      </c>
      <c r="U100">
        <f>I100*E100/'[1]Inverter Analysis'!$L$2</f>
        <v>176.6315418812508</v>
      </c>
      <c r="V100">
        <f t="shared" si="39"/>
        <v>205.12820512820514</v>
      </c>
      <c r="W100">
        <f t="shared" si="40"/>
        <v>219.97662748332988</v>
      </c>
      <c r="X100">
        <f t="shared" si="41"/>
        <v>146.52014652014651</v>
      </c>
      <c r="Y100">
        <f t="shared" si="42"/>
        <v>0.21775372487522857</v>
      </c>
      <c r="Z100">
        <f t="shared" si="43"/>
        <v>6.2685494853515644</v>
      </c>
    </row>
    <row r="101" spans="1:26">
      <c r="A101">
        <v>12</v>
      </c>
      <c r="B101">
        <v>3</v>
      </c>
      <c r="C101" s="1">
        <v>10</v>
      </c>
      <c r="D101">
        <f t="shared" si="22"/>
        <v>480</v>
      </c>
      <c r="E101">
        <f t="shared" si="23"/>
        <v>135</v>
      </c>
      <c r="F101">
        <f t="shared" si="24"/>
        <v>25.2</v>
      </c>
      <c r="G101">
        <f t="shared" si="25"/>
        <v>0.18</v>
      </c>
      <c r="H101">
        <f t="shared" si="26"/>
        <v>68.040000000000006</v>
      </c>
      <c r="I101">
        <f t="shared" si="27"/>
        <v>504</v>
      </c>
      <c r="J101">
        <f t="shared" si="28"/>
        <v>360</v>
      </c>
      <c r="K101">
        <f t="shared" si="29"/>
        <v>48.6</v>
      </c>
      <c r="L101">
        <f t="shared" si="30"/>
        <v>5.4870480000000006</v>
      </c>
      <c r="M101">
        <f t="shared" si="31"/>
        <v>5.5565999999999995</v>
      </c>
      <c r="N101">
        <f t="shared" si="32"/>
        <v>4.2078960000000007</v>
      </c>
      <c r="O101">
        <f t="shared" si="33"/>
        <v>3.873210352941177</v>
      </c>
      <c r="P101">
        <f t="shared" si="34"/>
        <v>2.1771058315334773</v>
      </c>
      <c r="Q101">
        <f t="shared" si="35"/>
        <v>50.4</v>
      </c>
      <c r="R101">
        <f t="shared" si="36"/>
        <v>360</v>
      </c>
      <c r="S101">
        <f t="shared" si="37"/>
        <v>335.7</v>
      </c>
      <c r="T101">
        <f t="shared" si="38"/>
        <v>24.3</v>
      </c>
      <c r="U101">
        <f>I101*E101/'[1]Inverter Analysis'!$L$2</f>
        <v>163.04450019807766</v>
      </c>
      <c r="V101">
        <f t="shared" si="39"/>
        <v>222.22222222222223</v>
      </c>
      <c r="W101">
        <f t="shared" si="40"/>
        <v>238.30801310694073</v>
      </c>
      <c r="X101">
        <f t="shared" si="41"/>
        <v>158.73015873015873</v>
      </c>
      <c r="Y101">
        <f t="shared" si="42"/>
        <v>0.25555819099940025</v>
      </c>
      <c r="Z101">
        <f t="shared" si="43"/>
        <v>4.9303839374999994</v>
      </c>
    </row>
    <row r="102" spans="1:26">
      <c r="A102">
        <v>11</v>
      </c>
      <c r="B102">
        <v>3</v>
      </c>
      <c r="C102" s="1">
        <v>10</v>
      </c>
      <c r="D102">
        <f t="shared" si="22"/>
        <v>480</v>
      </c>
      <c r="E102">
        <f t="shared" si="23"/>
        <v>135</v>
      </c>
      <c r="F102">
        <f t="shared" si="24"/>
        <v>23.1</v>
      </c>
      <c r="G102">
        <f t="shared" si="25"/>
        <v>0.16499999999999998</v>
      </c>
      <c r="H102">
        <f t="shared" si="26"/>
        <v>62.37</v>
      </c>
      <c r="I102">
        <f t="shared" si="27"/>
        <v>462</v>
      </c>
      <c r="J102">
        <f t="shared" si="28"/>
        <v>330</v>
      </c>
      <c r="K102">
        <f t="shared" si="29"/>
        <v>44.55</v>
      </c>
      <c r="L102">
        <f t="shared" si="30"/>
        <v>5.0297939999999999</v>
      </c>
      <c r="M102">
        <f t="shared" si="31"/>
        <v>5.0935499999999996</v>
      </c>
      <c r="N102">
        <f t="shared" si="32"/>
        <v>3.8572379999999993</v>
      </c>
      <c r="O102">
        <f t="shared" si="33"/>
        <v>3.5504428235294121</v>
      </c>
      <c r="P102">
        <f t="shared" si="34"/>
        <v>1.9956803455723542</v>
      </c>
      <c r="Q102">
        <f t="shared" si="35"/>
        <v>46.2</v>
      </c>
      <c r="R102">
        <f t="shared" si="36"/>
        <v>330</v>
      </c>
      <c r="S102">
        <f t="shared" si="37"/>
        <v>307.72500000000002</v>
      </c>
      <c r="T102">
        <f t="shared" si="38"/>
        <v>22.274999999999999</v>
      </c>
      <c r="U102">
        <f>I102*E102/'[1]Inverter Analysis'!$L$2</f>
        <v>149.45745851490452</v>
      </c>
      <c r="V102">
        <f t="shared" si="39"/>
        <v>242.42424242424244</v>
      </c>
      <c r="W102">
        <f t="shared" si="40"/>
        <v>259.97237793484442</v>
      </c>
      <c r="X102">
        <f t="shared" si="41"/>
        <v>173.16017316017317</v>
      </c>
      <c r="Y102">
        <f t="shared" si="42"/>
        <v>0.30413536780093908</v>
      </c>
      <c r="Z102">
        <f t="shared" si="43"/>
        <v>3.797651053710938</v>
      </c>
    </row>
    <row r="103" spans="1:26">
      <c r="A103">
        <v>10</v>
      </c>
      <c r="B103">
        <v>3</v>
      </c>
      <c r="C103" s="1">
        <v>10</v>
      </c>
      <c r="D103">
        <f t="shared" si="22"/>
        <v>480</v>
      </c>
      <c r="E103">
        <f t="shared" si="23"/>
        <v>135</v>
      </c>
      <c r="F103">
        <f t="shared" si="24"/>
        <v>21</v>
      </c>
      <c r="G103">
        <f t="shared" si="25"/>
        <v>0.14999999999999997</v>
      </c>
      <c r="H103">
        <f t="shared" si="26"/>
        <v>56.7</v>
      </c>
      <c r="I103">
        <f t="shared" si="27"/>
        <v>420</v>
      </c>
      <c r="J103">
        <f t="shared" si="28"/>
        <v>300</v>
      </c>
      <c r="K103">
        <f t="shared" si="29"/>
        <v>40.5</v>
      </c>
      <c r="L103">
        <f t="shared" si="30"/>
        <v>4.57254</v>
      </c>
      <c r="M103">
        <f t="shared" si="31"/>
        <v>4.6304999999999996</v>
      </c>
      <c r="N103">
        <f t="shared" si="32"/>
        <v>3.50658</v>
      </c>
      <c r="O103">
        <f t="shared" si="33"/>
        <v>3.2276752941176472</v>
      </c>
      <c r="P103">
        <f t="shared" si="34"/>
        <v>1.8142548596112309</v>
      </c>
      <c r="Q103">
        <f t="shared" si="35"/>
        <v>42</v>
      </c>
      <c r="R103">
        <f t="shared" si="36"/>
        <v>300</v>
      </c>
      <c r="S103">
        <f t="shared" si="37"/>
        <v>279.75</v>
      </c>
      <c r="T103">
        <f t="shared" si="38"/>
        <v>20.249999999999996</v>
      </c>
      <c r="U103">
        <f>I103*E103/'[1]Inverter Analysis'!$L$2</f>
        <v>135.87041683173138</v>
      </c>
      <c r="V103">
        <f t="shared" si="39"/>
        <v>266.66666666666669</v>
      </c>
      <c r="W103">
        <f t="shared" si="40"/>
        <v>285.96961572832885</v>
      </c>
      <c r="X103">
        <f t="shared" si="41"/>
        <v>190.47619047619048</v>
      </c>
      <c r="Y103">
        <f t="shared" si="42"/>
        <v>0.36800379503913627</v>
      </c>
      <c r="Z103">
        <f t="shared" si="43"/>
        <v>2.8532314453125007</v>
      </c>
    </row>
    <row r="104" spans="1:26">
      <c r="A104">
        <v>16</v>
      </c>
      <c r="B104">
        <v>2</v>
      </c>
      <c r="C104" s="1">
        <v>10</v>
      </c>
      <c r="D104">
        <f t="shared" si="22"/>
        <v>320</v>
      </c>
      <c r="E104">
        <f t="shared" si="23"/>
        <v>90</v>
      </c>
      <c r="F104">
        <f t="shared" si="24"/>
        <v>22.4</v>
      </c>
      <c r="G104">
        <f t="shared" si="25"/>
        <v>0.36</v>
      </c>
      <c r="H104">
        <f t="shared" si="26"/>
        <v>60.48</v>
      </c>
      <c r="I104">
        <f t="shared" si="27"/>
        <v>672</v>
      </c>
      <c r="J104">
        <f t="shared" si="28"/>
        <v>480</v>
      </c>
      <c r="K104">
        <f t="shared" si="29"/>
        <v>43.2</v>
      </c>
      <c r="L104">
        <f t="shared" si="30"/>
        <v>4.8773759999999999</v>
      </c>
      <c r="M104">
        <f t="shared" si="31"/>
        <v>4.9391999999999996</v>
      </c>
      <c r="N104">
        <f t="shared" si="32"/>
        <v>3.7403519999999997</v>
      </c>
      <c r="O104">
        <f t="shared" si="33"/>
        <v>3.4428536470588238</v>
      </c>
      <c r="P104">
        <f t="shared" si="34"/>
        <v>1.9352051835853132</v>
      </c>
      <c r="Q104">
        <f t="shared" si="35"/>
        <v>67.2</v>
      </c>
      <c r="R104">
        <f t="shared" si="36"/>
        <v>320</v>
      </c>
      <c r="S104">
        <f t="shared" si="37"/>
        <v>447.6</v>
      </c>
      <c r="T104">
        <f t="shared" si="38"/>
        <v>32.4</v>
      </c>
      <c r="U104">
        <f>I104*E104/'[1]Inverter Analysis'!$L$2</f>
        <v>144.92844462051346</v>
      </c>
      <c r="V104">
        <f t="shared" si="39"/>
        <v>166.66666666666666</v>
      </c>
      <c r="W104">
        <f t="shared" si="40"/>
        <v>178.73100983020552</v>
      </c>
      <c r="X104">
        <f t="shared" si="41"/>
        <v>119.04761904761905</v>
      </c>
      <c r="Y104">
        <f t="shared" si="42"/>
        <v>0.1437514824371626</v>
      </c>
      <c r="Z104">
        <f t="shared" si="43"/>
        <v>7.7912240000000024</v>
      </c>
    </row>
    <row r="105" spans="1:26">
      <c r="A105">
        <v>15</v>
      </c>
      <c r="B105">
        <v>2</v>
      </c>
      <c r="C105" s="1">
        <v>10</v>
      </c>
      <c r="D105">
        <f t="shared" si="22"/>
        <v>320</v>
      </c>
      <c r="E105">
        <f t="shared" si="23"/>
        <v>90</v>
      </c>
      <c r="F105">
        <f t="shared" si="24"/>
        <v>21</v>
      </c>
      <c r="G105">
        <f t="shared" si="25"/>
        <v>0.33749999999999997</v>
      </c>
      <c r="H105">
        <f t="shared" si="26"/>
        <v>56.7</v>
      </c>
      <c r="I105">
        <f t="shared" si="27"/>
        <v>630</v>
      </c>
      <c r="J105">
        <f t="shared" si="28"/>
        <v>450</v>
      </c>
      <c r="K105">
        <f t="shared" si="29"/>
        <v>40.5</v>
      </c>
      <c r="L105">
        <f t="shared" si="30"/>
        <v>4.57254</v>
      </c>
      <c r="M105">
        <f t="shared" si="31"/>
        <v>4.6304999999999996</v>
      </c>
      <c r="N105">
        <f t="shared" si="32"/>
        <v>3.50658</v>
      </c>
      <c r="O105">
        <f t="shared" si="33"/>
        <v>3.2276752941176472</v>
      </c>
      <c r="P105">
        <f t="shared" si="34"/>
        <v>1.8142548596112309</v>
      </c>
      <c r="Q105">
        <f t="shared" si="35"/>
        <v>63</v>
      </c>
      <c r="R105">
        <f t="shared" si="36"/>
        <v>300</v>
      </c>
      <c r="S105">
        <f t="shared" si="37"/>
        <v>419.625</v>
      </c>
      <c r="T105">
        <f t="shared" si="38"/>
        <v>30.374999999999996</v>
      </c>
      <c r="U105">
        <f>I105*E105/'[1]Inverter Analysis'!$L$2</f>
        <v>135.87041683173138</v>
      </c>
      <c r="V105">
        <f t="shared" si="39"/>
        <v>177.77777777777777</v>
      </c>
      <c r="W105">
        <f t="shared" si="40"/>
        <v>190.64641048555256</v>
      </c>
      <c r="X105">
        <f t="shared" si="41"/>
        <v>126.98412698412699</v>
      </c>
      <c r="Y105">
        <f t="shared" si="42"/>
        <v>0.1635572422396161</v>
      </c>
      <c r="Z105">
        <f t="shared" si="43"/>
        <v>6.4197707519531271</v>
      </c>
    </row>
    <row r="106" spans="1:26">
      <c r="A106">
        <v>14</v>
      </c>
      <c r="B106">
        <v>2</v>
      </c>
      <c r="C106" s="1">
        <v>10</v>
      </c>
      <c r="D106">
        <f t="shared" si="22"/>
        <v>320</v>
      </c>
      <c r="E106">
        <f t="shared" si="23"/>
        <v>90</v>
      </c>
      <c r="F106">
        <f t="shared" si="24"/>
        <v>19.600000000000001</v>
      </c>
      <c r="G106">
        <f t="shared" si="25"/>
        <v>0.315</v>
      </c>
      <c r="H106">
        <f t="shared" si="26"/>
        <v>52.92</v>
      </c>
      <c r="I106">
        <f t="shared" si="27"/>
        <v>588</v>
      </c>
      <c r="J106">
        <f t="shared" si="28"/>
        <v>420</v>
      </c>
      <c r="K106">
        <f t="shared" si="29"/>
        <v>37.799999999999997</v>
      </c>
      <c r="L106">
        <f t="shared" si="30"/>
        <v>4.2677040000000002</v>
      </c>
      <c r="M106">
        <f t="shared" si="31"/>
        <v>4.3218000000000005</v>
      </c>
      <c r="N106">
        <f t="shared" si="32"/>
        <v>3.2728079999999999</v>
      </c>
      <c r="O106">
        <f t="shared" si="33"/>
        <v>3.012496941176471</v>
      </c>
      <c r="P106">
        <f t="shared" si="34"/>
        <v>1.693304535637149</v>
      </c>
      <c r="Q106">
        <f t="shared" si="35"/>
        <v>58.8</v>
      </c>
      <c r="R106">
        <f t="shared" si="36"/>
        <v>280</v>
      </c>
      <c r="S106">
        <f t="shared" si="37"/>
        <v>391.65</v>
      </c>
      <c r="T106">
        <f t="shared" si="38"/>
        <v>28.35</v>
      </c>
      <c r="U106">
        <f>I106*E106/'[1]Inverter Analysis'!$L$2</f>
        <v>126.81238904294929</v>
      </c>
      <c r="V106">
        <f t="shared" si="39"/>
        <v>190.47619047619048</v>
      </c>
      <c r="W106">
        <f t="shared" si="40"/>
        <v>204.26401123452064</v>
      </c>
      <c r="X106">
        <f t="shared" si="41"/>
        <v>136.05442176870747</v>
      </c>
      <c r="Y106">
        <f t="shared" si="42"/>
        <v>0.18775703828527365</v>
      </c>
      <c r="Z106">
        <f t="shared" si="43"/>
        <v>5.2195113906249988</v>
      </c>
    </row>
    <row r="107" spans="1:26">
      <c r="A107">
        <v>13</v>
      </c>
      <c r="B107">
        <v>2</v>
      </c>
      <c r="C107" s="1">
        <v>10</v>
      </c>
      <c r="D107">
        <f t="shared" si="22"/>
        <v>320</v>
      </c>
      <c r="E107">
        <f t="shared" si="23"/>
        <v>90</v>
      </c>
      <c r="F107">
        <f t="shared" si="24"/>
        <v>18.2</v>
      </c>
      <c r="G107">
        <f t="shared" si="25"/>
        <v>0.29249999999999998</v>
      </c>
      <c r="H107">
        <f t="shared" si="26"/>
        <v>49.14</v>
      </c>
      <c r="I107">
        <f t="shared" si="27"/>
        <v>546</v>
      </c>
      <c r="J107">
        <f t="shared" si="28"/>
        <v>390</v>
      </c>
      <c r="K107">
        <f t="shared" si="29"/>
        <v>35.1</v>
      </c>
      <c r="L107">
        <f t="shared" si="30"/>
        <v>3.9628679999999998</v>
      </c>
      <c r="M107">
        <f t="shared" si="31"/>
        <v>4.0130999999999997</v>
      </c>
      <c r="N107">
        <f t="shared" si="32"/>
        <v>3.0390359999999998</v>
      </c>
      <c r="O107">
        <f t="shared" si="33"/>
        <v>2.797318588235294</v>
      </c>
      <c r="P107">
        <f t="shared" si="34"/>
        <v>1.5723542116630669</v>
      </c>
      <c r="Q107">
        <f t="shared" si="35"/>
        <v>54.6</v>
      </c>
      <c r="R107">
        <f t="shared" si="36"/>
        <v>260</v>
      </c>
      <c r="S107">
        <f t="shared" si="37"/>
        <v>363.67500000000001</v>
      </c>
      <c r="T107">
        <f t="shared" si="38"/>
        <v>26.324999999999999</v>
      </c>
      <c r="U107">
        <f>I107*E107/'[1]Inverter Analysis'!$L$2</f>
        <v>117.75436125416719</v>
      </c>
      <c r="V107">
        <f t="shared" si="39"/>
        <v>205.12820512820514</v>
      </c>
      <c r="W107">
        <f t="shared" si="40"/>
        <v>219.97662748332988</v>
      </c>
      <c r="X107">
        <f t="shared" si="41"/>
        <v>146.52014652014651</v>
      </c>
      <c r="Y107">
        <f t="shared" si="42"/>
        <v>0.21775372487522857</v>
      </c>
      <c r="Z107">
        <f t="shared" si="43"/>
        <v>4.1790329902343757</v>
      </c>
    </row>
    <row r="108" spans="1:26">
      <c r="A108">
        <v>12</v>
      </c>
      <c r="B108">
        <v>2</v>
      </c>
      <c r="C108" s="1">
        <v>10</v>
      </c>
      <c r="D108">
        <f t="shared" si="22"/>
        <v>320</v>
      </c>
      <c r="E108">
        <f t="shared" si="23"/>
        <v>90</v>
      </c>
      <c r="F108">
        <f t="shared" si="24"/>
        <v>16.8</v>
      </c>
      <c r="G108">
        <f t="shared" si="25"/>
        <v>0.26999999999999996</v>
      </c>
      <c r="H108">
        <f t="shared" si="26"/>
        <v>45.36</v>
      </c>
      <c r="I108">
        <f t="shared" si="27"/>
        <v>504</v>
      </c>
      <c r="J108">
        <f t="shared" si="28"/>
        <v>360</v>
      </c>
      <c r="K108">
        <f t="shared" si="29"/>
        <v>32.4</v>
      </c>
      <c r="L108">
        <f t="shared" si="30"/>
        <v>3.658032</v>
      </c>
      <c r="M108">
        <f t="shared" si="31"/>
        <v>3.7043999999999997</v>
      </c>
      <c r="N108">
        <f t="shared" si="32"/>
        <v>2.8052640000000002</v>
      </c>
      <c r="O108">
        <f t="shared" si="33"/>
        <v>2.5821402352941178</v>
      </c>
      <c r="P108">
        <f t="shared" si="34"/>
        <v>1.451403887688985</v>
      </c>
      <c r="Q108">
        <f t="shared" si="35"/>
        <v>50.4</v>
      </c>
      <c r="R108">
        <f t="shared" si="36"/>
        <v>240</v>
      </c>
      <c r="S108">
        <f t="shared" si="37"/>
        <v>335.7</v>
      </c>
      <c r="T108">
        <f t="shared" si="38"/>
        <v>24.299999999999997</v>
      </c>
      <c r="U108">
        <f>I108*E108/'[1]Inverter Analysis'!$L$2</f>
        <v>108.69633346538509</v>
      </c>
      <c r="V108">
        <f t="shared" si="39"/>
        <v>222.22222222222223</v>
      </c>
      <c r="W108">
        <f t="shared" si="40"/>
        <v>238.30801310694073</v>
      </c>
      <c r="X108">
        <f t="shared" si="41"/>
        <v>158.73015873015873</v>
      </c>
      <c r="Y108">
        <f t="shared" si="42"/>
        <v>0.25555819099940025</v>
      </c>
      <c r="Z108">
        <f t="shared" si="43"/>
        <v>3.2869226249999999</v>
      </c>
    </row>
    <row r="109" spans="1:26">
      <c r="A109">
        <v>11</v>
      </c>
      <c r="B109">
        <v>2</v>
      </c>
      <c r="C109" s="1">
        <v>10</v>
      </c>
      <c r="D109">
        <f t="shared" si="22"/>
        <v>320</v>
      </c>
      <c r="E109">
        <f t="shared" si="23"/>
        <v>90</v>
      </c>
      <c r="F109">
        <f t="shared" si="24"/>
        <v>15.4</v>
      </c>
      <c r="G109">
        <f t="shared" si="25"/>
        <v>0.24749999999999997</v>
      </c>
      <c r="H109">
        <f t="shared" si="26"/>
        <v>41.58</v>
      </c>
      <c r="I109">
        <f t="shared" si="27"/>
        <v>462</v>
      </c>
      <c r="J109">
        <f t="shared" si="28"/>
        <v>330</v>
      </c>
      <c r="K109">
        <f t="shared" si="29"/>
        <v>29.7</v>
      </c>
      <c r="L109">
        <f t="shared" si="30"/>
        <v>3.3531960000000001</v>
      </c>
      <c r="M109">
        <f t="shared" si="31"/>
        <v>3.3956999999999997</v>
      </c>
      <c r="N109">
        <f t="shared" si="32"/>
        <v>2.5714919999999997</v>
      </c>
      <c r="O109">
        <f t="shared" si="33"/>
        <v>2.3669618823529412</v>
      </c>
      <c r="P109">
        <f t="shared" si="34"/>
        <v>1.3304535637149029</v>
      </c>
      <c r="Q109">
        <f t="shared" si="35"/>
        <v>46.2</v>
      </c>
      <c r="R109">
        <f t="shared" si="36"/>
        <v>220</v>
      </c>
      <c r="S109">
        <f t="shared" si="37"/>
        <v>307.72500000000002</v>
      </c>
      <c r="T109">
        <f t="shared" si="38"/>
        <v>22.274999999999999</v>
      </c>
      <c r="U109">
        <f>I109*E109/'[1]Inverter Analysis'!$L$2</f>
        <v>99.638305676603011</v>
      </c>
      <c r="V109">
        <f t="shared" si="39"/>
        <v>242.42424242424244</v>
      </c>
      <c r="W109">
        <f t="shared" si="40"/>
        <v>259.97237793484442</v>
      </c>
      <c r="X109">
        <f t="shared" si="41"/>
        <v>173.16017316017317</v>
      </c>
      <c r="Y109">
        <f t="shared" si="42"/>
        <v>0.30413536780093908</v>
      </c>
      <c r="Z109">
        <f t="shared" si="43"/>
        <v>2.5317673691406251</v>
      </c>
    </row>
    <row r="110" spans="1:26">
      <c r="A110">
        <v>10</v>
      </c>
      <c r="B110">
        <v>2</v>
      </c>
      <c r="C110" s="1">
        <v>10</v>
      </c>
      <c r="D110">
        <f t="shared" si="22"/>
        <v>320</v>
      </c>
      <c r="E110">
        <f t="shared" si="23"/>
        <v>90</v>
      </c>
      <c r="F110">
        <f t="shared" si="24"/>
        <v>14</v>
      </c>
      <c r="G110">
        <f t="shared" si="25"/>
        <v>0.22499999999999998</v>
      </c>
      <c r="H110">
        <f t="shared" si="26"/>
        <v>37.799999999999997</v>
      </c>
      <c r="I110">
        <f t="shared" si="27"/>
        <v>420</v>
      </c>
      <c r="J110">
        <f t="shared" si="28"/>
        <v>300</v>
      </c>
      <c r="K110">
        <f t="shared" si="29"/>
        <v>27</v>
      </c>
      <c r="L110">
        <f t="shared" si="30"/>
        <v>3.0483600000000002</v>
      </c>
      <c r="M110">
        <f t="shared" si="31"/>
        <v>3.0870000000000002</v>
      </c>
      <c r="N110">
        <f t="shared" si="32"/>
        <v>2.33772</v>
      </c>
      <c r="O110">
        <f t="shared" si="33"/>
        <v>2.1517835294117651</v>
      </c>
      <c r="P110">
        <f t="shared" si="34"/>
        <v>1.2095032397408207</v>
      </c>
      <c r="Q110">
        <f t="shared" si="35"/>
        <v>42</v>
      </c>
      <c r="R110">
        <f t="shared" si="36"/>
        <v>200</v>
      </c>
      <c r="S110">
        <f t="shared" si="37"/>
        <v>279.75</v>
      </c>
      <c r="T110">
        <f t="shared" si="38"/>
        <v>20.249999999999996</v>
      </c>
      <c r="U110">
        <f>I110*E110/'[1]Inverter Analysis'!$L$2</f>
        <v>90.580277887820912</v>
      </c>
      <c r="V110">
        <f t="shared" si="39"/>
        <v>266.66666666666669</v>
      </c>
      <c r="W110">
        <f t="shared" si="40"/>
        <v>285.96961572832885</v>
      </c>
      <c r="X110">
        <f t="shared" si="41"/>
        <v>190.47619047619048</v>
      </c>
      <c r="Y110">
        <f t="shared" si="42"/>
        <v>0.36800379503913627</v>
      </c>
      <c r="Z110">
        <f t="shared" si="43"/>
        <v>1.9021542968750005</v>
      </c>
    </row>
    <row r="111" spans="1:26">
      <c r="A111" s="8">
        <v>16</v>
      </c>
      <c r="B111" s="1">
        <v>6</v>
      </c>
      <c r="C111" s="1">
        <v>9</v>
      </c>
      <c r="D111">
        <f t="shared" si="22"/>
        <v>960</v>
      </c>
      <c r="E111">
        <f t="shared" si="23"/>
        <v>270</v>
      </c>
      <c r="F111">
        <f t="shared" si="24"/>
        <v>60.48</v>
      </c>
      <c r="G111">
        <f t="shared" si="25"/>
        <v>0.10799999999999998</v>
      </c>
      <c r="H111">
        <f t="shared" si="26"/>
        <v>163.29600000000002</v>
      </c>
      <c r="I111">
        <f t="shared" si="27"/>
        <v>604.80000000000007</v>
      </c>
      <c r="J111">
        <f t="shared" si="28"/>
        <v>432</v>
      </c>
      <c r="K111">
        <f t="shared" si="29"/>
        <v>116.64</v>
      </c>
      <c r="L111">
        <f t="shared" si="30"/>
        <v>13.168915200000002</v>
      </c>
      <c r="M111">
        <f t="shared" si="31"/>
        <v>13.335840000000003</v>
      </c>
      <c r="N111">
        <f t="shared" si="32"/>
        <v>10.0989504</v>
      </c>
      <c r="O111">
        <f t="shared" si="33"/>
        <v>9.2957048470588255</v>
      </c>
      <c r="P111">
        <f t="shared" si="34"/>
        <v>5.8056155507559399</v>
      </c>
      <c r="Q111">
        <f t="shared" si="35"/>
        <v>67.2</v>
      </c>
      <c r="R111">
        <f t="shared" si="36"/>
        <v>864</v>
      </c>
      <c r="S111">
        <f t="shared" si="37"/>
        <v>402.84000000000003</v>
      </c>
      <c r="T111">
        <f t="shared" si="38"/>
        <v>29.159999999999997</v>
      </c>
      <c r="U111">
        <f>I111*E111/'[1]Inverter Analysis'!$L$2</f>
        <v>391.30680047538641</v>
      </c>
      <c r="V111">
        <f t="shared" si="39"/>
        <v>185.18518518518519</v>
      </c>
      <c r="W111">
        <f t="shared" si="40"/>
        <v>198.59001092245057</v>
      </c>
      <c r="X111">
        <f t="shared" si="41"/>
        <v>132.27513227513225</v>
      </c>
      <c r="Y111">
        <f t="shared" si="42"/>
        <v>0.17747096597180567</v>
      </c>
      <c r="Z111">
        <f t="shared" si="43"/>
        <v>17.039406888000002</v>
      </c>
    </row>
    <row r="112" spans="1:26">
      <c r="A112" s="8">
        <v>15</v>
      </c>
      <c r="B112" s="1">
        <v>6</v>
      </c>
      <c r="C112" s="1">
        <v>9</v>
      </c>
      <c r="D112">
        <f t="shared" si="22"/>
        <v>960</v>
      </c>
      <c r="E112">
        <f t="shared" si="23"/>
        <v>270</v>
      </c>
      <c r="F112">
        <f t="shared" si="24"/>
        <v>56.7</v>
      </c>
      <c r="G112">
        <f t="shared" si="25"/>
        <v>0.10124999999999998</v>
      </c>
      <c r="H112">
        <f t="shared" si="26"/>
        <v>153.09</v>
      </c>
      <c r="I112">
        <f t="shared" si="27"/>
        <v>567</v>
      </c>
      <c r="J112">
        <f t="shared" si="28"/>
        <v>405</v>
      </c>
      <c r="K112">
        <f t="shared" si="29"/>
        <v>109.35</v>
      </c>
      <c r="L112">
        <f t="shared" si="30"/>
        <v>12.345858</v>
      </c>
      <c r="M112">
        <f t="shared" si="31"/>
        <v>12.502349999999998</v>
      </c>
      <c r="N112">
        <f t="shared" si="32"/>
        <v>9.4677659999999992</v>
      </c>
      <c r="O112">
        <f t="shared" si="33"/>
        <v>8.7147232941176469</v>
      </c>
      <c r="P112">
        <f t="shared" si="34"/>
        <v>5.4427645788336925</v>
      </c>
      <c r="Q112">
        <f t="shared" si="35"/>
        <v>63</v>
      </c>
      <c r="R112">
        <f t="shared" si="36"/>
        <v>810</v>
      </c>
      <c r="S112">
        <f t="shared" si="37"/>
        <v>377.66250000000002</v>
      </c>
      <c r="T112">
        <f t="shared" si="38"/>
        <v>27.337499999999995</v>
      </c>
      <c r="U112">
        <f>I112*E112/'[1]Inverter Analysis'!$L$2</f>
        <v>366.85012544567473</v>
      </c>
      <c r="V112">
        <f t="shared" si="39"/>
        <v>197.53086419753086</v>
      </c>
      <c r="W112">
        <f t="shared" si="40"/>
        <v>211.82934498394729</v>
      </c>
      <c r="X112">
        <f t="shared" si="41"/>
        <v>141.09347442680777</v>
      </c>
      <c r="Y112">
        <f t="shared" si="42"/>
        <v>0.20192252128347671</v>
      </c>
      <c r="Z112">
        <f t="shared" si="43"/>
        <v>14.040038634521485</v>
      </c>
    </row>
    <row r="113" spans="1:26">
      <c r="A113">
        <v>14</v>
      </c>
      <c r="B113" s="1">
        <v>6</v>
      </c>
      <c r="C113" s="1">
        <v>9</v>
      </c>
      <c r="D113">
        <f t="shared" si="22"/>
        <v>960</v>
      </c>
      <c r="E113">
        <f t="shared" si="23"/>
        <v>270</v>
      </c>
      <c r="F113">
        <f t="shared" si="24"/>
        <v>52.92</v>
      </c>
      <c r="G113">
        <f t="shared" si="25"/>
        <v>9.4499999999999987E-2</v>
      </c>
      <c r="H113">
        <f t="shared" si="26"/>
        <v>142.88399999999999</v>
      </c>
      <c r="I113">
        <f t="shared" si="27"/>
        <v>529.20000000000005</v>
      </c>
      <c r="J113">
        <f t="shared" si="28"/>
        <v>378</v>
      </c>
      <c r="K113">
        <f t="shared" si="29"/>
        <v>102.06</v>
      </c>
      <c r="L113">
        <f t="shared" si="30"/>
        <v>11.522800800000001</v>
      </c>
      <c r="M113">
        <f t="shared" si="31"/>
        <v>11.66886</v>
      </c>
      <c r="N113">
        <f t="shared" si="32"/>
        <v>8.8365815999999988</v>
      </c>
      <c r="O113">
        <f t="shared" si="33"/>
        <v>8.1337417411764719</v>
      </c>
      <c r="P113">
        <f t="shared" si="34"/>
        <v>5.0799136069114477</v>
      </c>
      <c r="Q113">
        <f t="shared" si="35"/>
        <v>58.800000000000004</v>
      </c>
      <c r="R113">
        <f t="shared" si="36"/>
        <v>756</v>
      </c>
      <c r="S113">
        <f t="shared" si="37"/>
        <v>352.48500000000001</v>
      </c>
      <c r="T113">
        <f t="shared" si="38"/>
        <v>25.514999999999997</v>
      </c>
      <c r="U113">
        <f>I113*E113/'[1]Inverter Analysis'!$L$2</f>
        <v>342.39345041596306</v>
      </c>
      <c r="V113">
        <f t="shared" si="39"/>
        <v>211.64021164021165</v>
      </c>
      <c r="W113">
        <f t="shared" si="40"/>
        <v>226.96001248280066</v>
      </c>
      <c r="X113">
        <f t="shared" si="41"/>
        <v>151.17157974300829</v>
      </c>
      <c r="Y113">
        <f t="shared" si="42"/>
        <v>0.23179881269786864</v>
      </c>
      <c r="Z113">
        <f t="shared" si="43"/>
        <v>11.415071411296879</v>
      </c>
    </row>
    <row r="114" spans="1:26">
      <c r="A114">
        <v>13</v>
      </c>
      <c r="B114" s="1">
        <v>6</v>
      </c>
      <c r="C114" s="1">
        <v>9</v>
      </c>
      <c r="D114">
        <f t="shared" si="22"/>
        <v>960</v>
      </c>
      <c r="E114">
        <f t="shared" si="23"/>
        <v>270</v>
      </c>
      <c r="F114">
        <f t="shared" si="24"/>
        <v>49.14</v>
      </c>
      <c r="G114">
        <f t="shared" si="25"/>
        <v>8.7749999999999981E-2</v>
      </c>
      <c r="H114">
        <f t="shared" si="26"/>
        <v>132.678</v>
      </c>
      <c r="I114">
        <f t="shared" si="27"/>
        <v>491.40000000000003</v>
      </c>
      <c r="J114">
        <f t="shared" si="28"/>
        <v>351</v>
      </c>
      <c r="K114">
        <f t="shared" si="29"/>
        <v>94.77</v>
      </c>
      <c r="L114">
        <f t="shared" si="30"/>
        <v>10.6997436</v>
      </c>
      <c r="M114">
        <f t="shared" si="31"/>
        <v>10.835369999999999</v>
      </c>
      <c r="N114">
        <f t="shared" si="32"/>
        <v>8.2053972000000002</v>
      </c>
      <c r="O114">
        <f t="shared" si="33"/>
        <v>7.5527601882352942</v>
      </c>
      <c r="P114">
        <f t="shared" si="34"/>
        <v>4.7170626349892011</v>
      </c>
      <c r="Q114">
        <f t="shared" si="35"/>
        <v>54.6</v>
      </c>
      <c r="R114">
        <f t="shared" si="36"/>
        <v>702</v>
      </c>
      <c r="S114">
        <f t="shared" si="37"/>
        <v>327.3075</v>
      </c>
      <c r="T114">
        <f t="shared" si="38"/>
        <v>23.692499999999995</v>
      </c>
      <c r="U114">
        <f>I114*E114/'[1]Inverter Analysis'!$L$2</f>
        <v>317.93677538625144</v>
      </c>
      <c r="V114">
        <f t="shared" si="39"/>
        <v>227.92022792022792</v>
      </c>
      <c r="W114">
        <f t="shared" si="40"/>
        <v>244.41847498147766</v>
      </c>
      <c r="X114">
        <f t="shared" si="41"/>
        <v>162.80016280016278</v>
      </c>
      <c r="Y114">
        <f t="shared" si="42"/>
        <v>0.2688317591052205</v>
      </c>
      <c r="Z114">
        <f t="shared" si="43"/>
        <v>9.1395451496425775</v>
      </c>
    </row>
    <row r="115" spans="1:26">
      <c r="A115">
        <v>12</v>
      </c>
      <c r="B115" s="1">
        <v>6</v>
      </c>
      <c r="C115" s="1">
        <v>9</v>
      </c>
      <c r="D115">
        <f t="shared" si="22"/>
        <v>960</v>
      </c>
      <c r="E115">
        <f t="shared" si="23"/>
        <v>270</v>
      </c>
      <c r="F115">
        <f t="shared" si="24"/>
        <v>45.36</v>
      </c>
      <c r="G115">
        <f t="shared" si="25"/>
        <v>8.0999999999999989E-2</v>
      </c>
      <c r="H115">
        <f t="shared" si="26"/>
        <v>122.47199999999999</v>
      </c>
      <c r="I115">
        <f t="shared" si="27"/>
        <v>453.6</v>
      </c>
      <c r="J115">
        <f t="shared" si="28"/>
        <v>324</v>
      </c>
      <c r="K115">
        <f t="shared" si="29"/>
        <v>87.48</v>
      </c>
      <c r="L115">
        <f t="shared" si="30"/>
        <v>9.8766864000000005</v>
      </c>
      <c r="M115">
        <f t="shared" si="31"/>
        <v>10.001880000000002</v>
      </c>
      <c r="N115">
        <f t="shared" si="32"/>
        <v>7.5742127999999997</v>
      </c>
      <c r="O115">
        <f t="shared" si="33"/>
        <v>6.9717786352941182</v>
      </c>
      <c r="P115">
        <f t="shared" si="34"/>
        <v>4.3542116630669554</v>
      </c>
      <c r="Q115">
        <f t="shared" si="35"/>
        <v>50.400000000000006</v>
      </c>
      <c r="R115">
        <f t="shared" si="36"/>
        <v>648</v>
      </c>
      <c r="S115">
        <f t="shared" si="37"/>
        <v>302.13</v>
      </c>
      <c r="T115">
        <f t="shared" si="38"/>
        <v>21.869999999999997</v>
      </c>
      <c r="U115">
        <f>I115*E115/'[1]Inverter Analysis'!$L$2</f>
        <v>293.48010035653977</v>
      </c>
      <c r="V115">
        <f t="shared" si="39"/>
        <v>246.91358024691357</v>
      </c>
      <c r="W115">
        <f t="shared" si="40"/>
        <v>264.78668122993412</v>
      </c>
      <c r="X115">
        <f t="shared" si="41"/>
        <v>176.3668430335097</v>
      </c>
      <c r="Y115">
        <f t="shared" si="42"/>
        <v>0.31550393950543232</v>
      </c>
      <c r="Z115">
        <f t="shared" si="43"/>
        <v>7.1884997808750031</v>
      </c>
    </row>
    <row r="116" spans="1:26">
      <c r="A116">
        <v>11</v>
      </c>
      <c r="B116" s="1">
        <v>6</v>
      </c>
      <c r="C116" s="1">
        <v>9</v>
      </c>
      <c r="D116">
        <f t="shared" si="22"/>
        <v>960</v>
      </c>
      <c r="E116">
        <f t="shared" si="23"/>
        <v>270</v>
      </c>
      <c r="F116">
        <f t="shared" si="24"/>
        <v>41.58</v>
      </c>
      <c r="G116">
        <f t="shared" si="25"/>
        <v>7.4249999999999983E-2</v>
      </c>
      <c r="H116">
        <f t="shared" si="26"/>
        <v>112.26600000000001</v>
      </c>
      <c r="I116">
        <f t="shared" si="27"/>
        <v>415.8</v>
      </c>
      <c r="J116">
        <f t="shared" si="28"/>
        <v>297</v>
      </c>
      <c r="K116">
        <f t="shared" si="29"/>
        <v>80.19</v>
      </c>
      <c r="L116">
        <f t="shared" si="30"/>
        <v>9.0536291999999996</v>
      </c>
      <c r="M116">
        <f t="shared" si="31"/>
        <v>9.1683899999999987</v>
      </c>
      <c r="N116">
        <f t="shared" si="32"/>
        <v>6.9430283999999993</v>
      </c>
      <c r="O116">
        <f t="shared" si="33"/>
        <v>6.3907970823529414</v>
      </c>
      <c r="P116">
        <f t="shared" si="34"/>
        <v>3.9913606911447084</v>
      </c>
      <c r="Q116">
        <f t="shared" si="35"/>
        <v>46.2</v>
      </c>
      <c r="R116">
        <f t="shared" si="36"/>
        <v>594</v>
      </c>
      <c r="S116">
        <f t="shared" si="37"/>
        <v>276.95249999999999</v>
      </c>
      <c r="T116">
        <f t="shared" si="38"/>
        <v>20.047499999999996</v>
      </c>
      <c r="U116">
        <f>I116*E116/'[1]Inverter Analysis'!$L$2</f>
        <v>269.02342532682815</v>
      </c>
      <c r="V116">
        <f t="shared" si="39"/>
        <v>269.36026936026934</v>
      </c>
      <c r="W116">
        <f t="shared" si="40"/>
        <v>288.85819770538268</v>
      </c>
      <c r="X116">
        <f t="shared" si="41"/>
        <v>192.4001924001924</v>
      </c>
      <c r="Y116">
        <f t="shared" si="42"/>
        <v>0.37547576271720873</v>
      </c>
      <c r="Z116">
        <f t="shared" si="43"/>
        <v>5.5369752363105471</v>
      </c>
    </row>
    <row r="117" spans="1:26">
      <c r="A117">
        <v>10</v>
      </c>
      <c r="B117" s="1">
        <v>6</v>
      </c>
      <c r="C117" s="1">
        <v>9</v>
      </c>
      <c r="D117">
        <f t="shared" si="22"/>
        <v>960</v>
      </c>
      <c r="E117">
        <f t="shared" si="23"/>
        <v>270</v>
      </c>
      <c r="F117">
        <f t="shared" si="24"/>
        <v>37.799999999999997</v>
      </c>
      <c r="G117">
        <f t="shared" si="25"/>
        <v>6.7499999999999991E-2</v>
      </c>
      <c r="H117">
        <f t="shared" si="26"/>
        <v>102.06</v>
      </c>
      <c r="I117">
        <f t="shared" si="27"/>
        <v>378</v>
      </c>
      <c r="J117">
        <f t="shared" si="28"/>
        <v>270</v>
      </c>
      <c r="K117">
        <f t="shared" si="29"/>
        <v>72.900000000000006</v>
      </c>
      <c r="L117">
        <f t="shared" si="30"/>
        <v>8.2305720000000004</v>
      </c>
      <c r="M117">
        <f t="shared" si="31"/>
        <v>8.3348999999999993</v>
      </c>
      <c r="N117">
        <f t="shared" si="32"/>
        <v>6.3118439999999989</v>
      </c>
      <c r="O117">
        <f t="shared" si="33"/>
        <v>5.8098155294117655</v>
      </c>
      <c r="P117">
        <f t="shared" si="34"/>
        <v>3.6285097192224622</v>
      </c>
      <c r="Q117">
        <f t="shared" si="35"/>
        <v>42</v>
      </c>
      <c r="R117">
        <f t="shared" si="36"/>
        <v>540</v>
      </c>
      <c r="S117">
        <f t="shared" si="37"/>
        <v>251.77500000000001</v>
      </c>
      <c r="T117">
        <f t="shared" si="38"/>
        <v>18.224999999999998</v>
      </c>
      <c r="U117">
        <f>I117*E117/'[1]Inverter Analysis'!$L$2</f>
        <v>244.56675029711647</v>
      </c>
      <c r="V117">
        <f t="shared" si="39"/>
        <v>296.2962962962963</v>
      </c>
      <c r="W117">
        <f t="shared" si="40"/>
        <v>317.74401747592094</v>
      </c>
      <c r="X117">
        <f t="shared" si="41"/>
        <v>211.64021164021165</v>
      </c>
      <c r="Y117">
        <f t="shared" si="42"/>
        <v>0.4543256728878225</v>
      </c>
      <c r="Z117">
        <f t="shared" si="43"/>
        <v>4.1600114472656262</v>
      </c>
    </row>
    <row r="118" spans="1:26">
      <c r="A118" s="8">
        <v>16</v>
      </c>
      <c r="B118" s="9">
        <v>5</v>
      </c>
      <c r="C118" s="1">
        <v>9</v>
      </c>
      <c r="D118">
        <f t="shared" si="22"/>
        <v>800</v>
      </c>
      <c r="E118">
        <f t="shared" si="23"/>
        <v>225</v>
      </c>
      <c r="F118">
        <f t="shared" si="24"/>
        <v>50.4</v>
      </c>
      <c r="G118">
        <f t="shared" si="25"/>
        <v>0.12959999999999999</v>
      </c>
      <c r="H118">
        <f t="shared" si="26"/>
        <v>136.08000000000004</v>
      </c>
      <c r="I118">
        <f t="shared" si="27"/>
        <v>604.80000000000007</v>
      </c>
      <c r="J118">
        <f t="shared" si="28"/>
        <v>432</v>
      </c>
      <c r="K118">
        <f t="shared" si="29"/>
        <v>97.2</v>
      </c>
      <c r="L118">
        <f t="shared" si="30"/>
        <v>10.974096000000001</v>
      </c>
      <c r="M118">
        <f t="shared" si="31"/>
        <v>11.113200000000001</v>
      </c>
      <c r="N118">
        <f t="shared" si="32"/>
        <v>8.4157919999999997</v>
      </c>
      <c r="O118">
        <f t="shared" si="33"/>
        <v>7.746420705882354</v>
      </c>
      <c r="P118">
        <f t="shared" si="34"/>
        <v>4.8380129589632839</v>
      </c>
      <c r="Q118">
        <f t="shared" si="35"/>
        <v>67.2</v>
      </c>
      <c r="R118">
        <f t="shared" si="36"/>
        <v>720</v>
      </c>
      <c r="S118">
        <f t="shared" si="37"/>
        <v>402.84</v>
      </c>
      <c r="T118">
        <f t="shared" si="38"/>
        <v>29.16</v>
      </c>
      <c r="U118">
        <f>I118*E118/'[1]Inverter Analysis'!$L$2</f>
        <v>326.08900039615537</v>
      </c>
      <c r="V118">
        <f t="shared" si="39"/>
        <v>185.18518518518519</v>
      </c>
      <c r="W118">
        <f t="shared" si="40"/>
        <v>198.5900109224506</v>
      </c>
      <c r="X118">
        <f t="shared" si="41"/>
        <v>132.27513227513225</v>
      </c>
      <c r="Y118">
        <f t="shared" si="42"/>
        <v>0.1774709659718057</v>
      </c>
      <c r="Z118">
        <f t="shared" si="43"/>
        <v>14.199505740000003</v>
      </c>
    </row>
    <row r="119" spans="1:26">
      <c r="A119" s="8">
        <v>15</v>
      </c>
      <c r="B119" s="9">
        <v>5</v>
      </c>
      <c r="C119" s="1">
        <v>9</v>
      </c>
      <c r="D119">
        <f t="shared" si="22"/>
        <v>800</v>
      </c>
      <c r="E119">
        <f t="shared" si="23"/>
        <v>225</v>
      </c>
      <c r="F119">
        <f t="shared" si="24"/>
        <v>47.25</v>
      </c>
      <c r="G119">
        <f t="shared" si="25"/>
        <v>0.1215</v>
      </c>
      <c r="H119">
        <f t="shared" si="26"/>
        <v>127.575</v>
      </c>
      <c r="I119">
        <f t="shared" si="27"/>
        <v>567</v>
      </c>
      <c r="J119">
        <f t="shared" si="28"/>
        <v>405</v>
      </c>
      <c r="K119">
        <f t="shared" si="29"/>
        <v>91.125</v>
      </c>
      <c r="L119">
        <f t="shared" si="30"/>
        <v>10.288215000000001</v>
      </c>
      <c r="M119">
        <f t="shared" si="31"/>
        <v>10.418625</v>
      </c>
      <c r="N119">
        <f t="shared" si="32"/>
        <v>7.889805</v>
      </c>
      <c r="O119">
        <f t="shared" si="33"/>
        <v>7.2622694117647066</v>
      </c>
      <c r="P119">
        <f t="shared" si="34"/>
        <v>4.5356371490280774</v>
      </c>
      <c r="Q119">
        <f t="shared" si="35"/>
        <v>63</v>
      </c>
      <c r="R119">
        <f t="shared" si="36"/>
        <v>675</v>
      </c>
      <c r="S119">
        <f t="shared" si="37"/>
        <v>377.66250000000002</v>
      </c>
      <c r="T119">
        <f t="shared" si="38"/>
        <v>27.337499999999999</v>
      </c>
      <c r="U119">
        <f>I119*E119/'[1]Inverter Analysis'!$L$2</f>
        <v>305.70843787139557</v>
      </c>
      <c r="V119">
        <f t="shared" si="39"/>
        <v>197.53086419753086</v>
      </c>
      <c r="W119">
        <f t="shared" si="40"/>
        <v>211.82934498394729</v>
      </c>
      <c r="X119">
        <f t="shared" si="41"/>
        <v>141.09347442680777</v>
      </c>
      <c r="Y119">
        <f t="shared" si="42"/>
        <v>0.20192252128347671</v>
      </c>
      <c r="Z119">
        <f t="shared" si="43"/>
        <v>11.700032195434574</v>
      </c>
    </row>
    <row r="120" spans="1:26">
      <c r="A120">
        <v>14</v>
      </c>
      <c r="B120" s="9">
        <v>5</v>
      </c>
      <c r="C120" s="1">
        <v>9</v>
      </c>
      <c r="D120">
        <f t="shared" si="22"/>
        <v>800</v>
      </c>
      <c r="E120">
        <f t="shared" si="23"/>
        <v>225</v>
      </c>
      <c r="F120">
        <f t="shared" si="24"/>
        <v>44.1</v>
      </c>
      <c r="G120">
        <f t="shared" si="25"/>
        <v>0.1134</v>
      </c>
      <c r="H120">
        <f t="shared" si="26"/>
        <v>119.07000000000002</v>
      </c>
      <c r="I120">
        <f t="shared" si="27"/>
        <v>529.20000000000005</v>
      </c>
      <c r="J120">
        <f t="shared" si="28"/>
        <v>378</v>
      </c>
      <c r="K120">
        <f t="shared" si="29"/>
        <v>85.05</v>
      </c>
      <c r="L120">
        <f t="shared" si="30"/>
        <v>9.6023340000000008</v>
      </c>
      <c r="M120">
        <f t="shared" si="31"/>
        <v>9.7240500000000019</v>
      </c>
      <c r="N120">
        <f t="shared" si="32"/>
        <v>7.3638180000000002</v>
      </c>
      <c r="O120">
        <f t="shared" si="33"/>
        <v>6.7781181176470602</v>
      </c>
      <c r="P120">
        <f t="shared" si="34"/>
        <v>4.2332613390928726</v>
      </c>
      <c r="Q120">
        <f t="shared" si="35"/>
        <v>58.800000000000004</v>
      </c>
      <c r="R120">
        <f t="shared" si="36"/>
        <v>630</v>
      </c>
      <c r="S120">
        <f t="shared" si="37"/>
        <v>352.48500000000001</v>
      </c>
      <c r="T120">
        <f t="shared" si="38"/>
        <v>25.515000000000001</v>
      </c>
      <c r="U120">
        <f>I120*E120/'[1]Inverter Analysis'!$L$2</f>
        <v>285.32787534663595</v>
      </c>
      <c r="V120">
        <f t="shared" si="39"/>
        <v>211.64021164021165</v>
      </c>
      <c r="W120">
        <f t="shared" si="40"/>
        <v>226.96001248280066</v>
      </c>
      <c r="X120">
        <f t="shared" si="41"/>
        <v>151.17157974300829</v>
      </c>
      <c r="Y120">
        <f t="shared" si="42"/>
        <v>0.23179881269786864</v>
      </c>
      <c r="Z120">
        <f t="shared" si="43"/>
        <v>9.5125595094140643</v>
      </c>
    </row>
    <row r="121" spans="1:26">
      <c r="A121">
        <v>13</v>
      </c>
      <c r="B121" s="9">
        <v>5</v>
      </c>
      <c r="C121" s="1">
        <v>9</v>
      </c>
      <c r="D121">
        <f t="shared" si="22"/>
        <v>800</v>
      </c>
      <c r="E121">
        <f t="shared" si="23"/>
        <v>225</v>
      </c>
      <c r="F121">
        <f t="shared" si="24"/>
        <v>40.950000000000003</v>
      </c>
      <c r="G121">
        <f t="shared" si="25"/>
        <v>0.1053</v>
      </c>
      <c r="H121">
        <f t="shared" si="26"/>
        <v>110.56500000000001</v>
      </c>
      <c r="I121">
        <f t="shared" si="27"/>
        <v>491.40000000000003</v>
      </c>
      <c r="J121">
        <f t="shared" si="28"/>
        <v>351</v>
      </c>
      <c r="K121">
        <f t="shared" si="29"/>
        <v>78.974999999999994</v>
      </c>
      <c r="L121">
        <f t="shared" si="30"/>
        <v>8.9164529999999989</v>
      </c>
      <c r="M121">
        <f t="shared" si="31"/>
        <v>9.0294749999999997</v>
      </c>
      <c r="N121">
        <f t="shared" si="32"/>
        <v>6.8378310000000004</v>
      </c>
      <c r="O121">
        <f t="shared" si="33"/>
        <v>6.2939668235294111</v>
      </c>
      <c r="P121">
        <f t="shared" si="34"/>
        <v>3.9308855291576674</v>
      </c>
      <c r="Q121">
        <f t="shared" si="35"/>
        <v>54.6</v>
      </c>
      <c r="R121">
        <f t="shared" si="36"/>
        <v>585</v>
      </c>
      <c r="S121">
        <f t="shared" si="37"/>
        <v>327.3075</v>
      </c>
      <c r="T121">
        <f t="shared" si="38"/>
        <v>23.692500000000003</v>
      </c>
      <c r="U121">
        <f>I121*E121/'[1]Inverter Analysis'!$L$2</f>
        <v>264.94731282187621</v>
      </c>
      <c r="V121">
        <f t="shared" si="39"/>
        <v>227.92022792022792</v>
      </c>
      <c r="W121">
        <f t="shared" si="40"/>
        <v>244.41847498147766</v>
      </c>
      <c r="X121">
        <f t="shared" si="41"/>
        <v>162.80016280016278</v>
      </c>
      <c r="Y121">
        <f t="shared" si="42"/>
        <v>0.2688317591052205</v>
      </c>
      <c r="Z121">
        <f t="shared" si="43"/>
        <v>7.6162876247021485</v>
      </c>
    </row>
    <row r="122" spans="1:26">
      <c r="A122">
        <v>12</v>
      </c>
      <c r="B122" s="9">
        <v>5</v>
      </c>
      <c r="C122" s="1">
        <v>9</v>
      </c>
      <c r="D122">
        <f t="shared" si="22"/>
        <v>800</v>
      </c>
      <c r="E122">
        <f t="shared" si="23"/>
        <v>225</v>
      </c>
      <c r="F122">
        <f t="shared" si="24"/>
        <v>37.799999999999997</v>
      </c>
      <c r="G122">
        <f t="shared" si="25"/>
        <v>9.7200000000000009E-2</v>
      </c>
      <c r="H122">
        <f t="shared" si="26"/>
        <v>102.06</v>
      </c>
      <c r="I122">
        <f t="shared" si="27"/>
        <v>453.6</v>
      </c>
      <c r="J122">
        <f t="shared" si="28"/>
        <v>324</v>
      </c>
      <c r="K122">
        <f t="shared" si="29"/>
        <v>72.900000000000006</v>
      </c>
      <c r="L122">
        <f t="shared" si="30"/>
        <v>8.2305720000000004</v>
      </c>
      <c r="M122">
        <f t="shared" si="31"/>
        <v>8.3348999999999993</v>
      </c>
      <c r="N122">
        <f t="shared" si="32"/>
        <v>6.3118439999999998</v>
      </c>
      <c r="O122">
        <f t="shared" si="33"/>
        <v>5.8098155294117655</v>
      </c>
      <c r="P122">
        <f t="shared" si="34"/>
        <v>3.6285097192224622</v>
      </c>
      <c r="Q122">
        <f t="shared" si="35"/>
        <v>50.400000000000006</v>
      </c>
      <c r="R122">
        <f t="shared" si="36"/>
        <v>540</v>
      </c>
      <c r="S122">
        <f t="shared" si="37"/>
        <v>302.13</v>
      </c>
      <c r="T122">
        <f t="shared" si="38"/>
        <v>21.87</v>
      </c>
      <c r="U122">
        <f>I122*E122/'[1]Inverter Analysis'!$L$2</f>
        <v>244.56675029711647</v>
      </c>
      <c r="V122">
        <f t="shared" si="39"/>
        <v>246.91358024691357</v>
      </c>
      <c r="W122">
        <f t="shared" si="40"/>
        <v>264.78668122993412</v>
      </c>
      <c r="X122">
        <f t="shared" si="41"/>
        <v>176.3668430335097</v>
      </c>
      <c r="Y122">
        <f t="shared" si="42"/>
        <v>0.31550393950543232</v>
      </c>
      <c r="Z122">
        <f t="shared" si="43"/>
        <v>5.9904164840625018</v>
      </c>
    </row>
    <row r="123" spans="1:26">
      <c r="A123">
        <v>11</v>
      </c>
      <c r="B123" s="9">
        <v>5</v>
      </c>
      <c r="C123" s="1">
        <v>9</v>
      </c>
      <c r="D123">
        <f t="shared" si="22"/>
        <v>800</v>
      </c>
      <c r="E123">
        <f t="shared" si="23"/>
        <v>225</v>
      </c>
      <c r="F123">
        <f t="shared" si="24"/>
        <v>34.65</v>
      </c>
      <c r="G123">
        <f t="shared" si="25"/>
        <v>8.9099999999999985E-2</v>
      </c>
      <c r="H123">
        <f t="shared" si="26"/>
        <v>93.555000000000007</v>
      </c>
      <c r="I123">
        <f t="shared" si="27"/>
        <v>415.8</v>
      </c>
      <c r="J123">
        <f t="shared" si="28"/>
        <v>297</v>
      </c>
      <c r="K123">
        <f t="shared" si="29"/>
        <v>66.825000000000003</v>
      </c>
      <c r="L123">
        <f t="shared" si="30"/>
        <v>7.5446910000000011</v>
      </c>
      <c r="M123">
        <f t="shared" si="31"/>
        <v>7.6403250000000007</v>
      </c>
      <c r="N123">
        <f t="shared" si="32"/>
        <v>5.785857</v>
      </c>
      <c r="O123">
        <f t="shared" si="33"/>
        <v>5.325664235294119</v>
      </c>
      <c r="P123">
        <f t="shared" si="34"/>
        <v>3.3261339092872566</v>
      </c>
      <c r="Q123">
        <f t="shared" si="35"/>
        <v>46.2</v>
      </c>
      <c r="R123">
        <f t="shared" si="36"/>
        <v>495</v>
      </c>
      <c r="S123">
        <f t="shared" si="37"/>
        <v>276.95249999999999</v>
      </c>
      <c r="T123">
        <f t="shared" si="38"/>
        <v>20.047499999999996</v>
      </c>
      <c r="U123">
        <f>I123*E123/'[1]Inverter Analysis'!$L$2</f>
        <v>224.18618777235676</v>
      </c>
      <c r="V123">
        <f t="shared" si="39"/>
        <v>269.36026936026934</v>
      </c>
      <c r="W123">
        <f t="shared" si="40"/>
        <v>288.85819770538268</v>
      </c>
      <c r="X123">
        <f t="shared" si="41"/>
        <v>192.4001924001924</v>
      </c>
      <c r="Y123">
        <f t="shared" si="42"/>
        <v>0.37547576271720873</v>
      </c>
      <c r="Z123">
        <f t="shared" si="43"/>
        <v>4.61414603025879</v>
      </c>
    </row>
    <row r="124" spans="1:26">
      <c r="A124">
        <v>10</v>
      </c>
      <c r="B124" s="9">
        <v>5</v>
      </c>
      <c r="C124" s="1">
        <v>9</v>
      </c>
      <c r="D124">
        <f t="shared" si="22"/>
        <v>800</v>
      </c>
      <c r="E124">
        <f t="shared" si="23"/>
        <v>225</v>
      </c>
      <c r="F124">
        <f t="shared" si="24"/>
        <v>31.5</v>
      </c>
      <c r="G124">
        <f t="shared" si="25"/>
        <v>8.0999999999999989E-2</v>
      </c>
      <c r="H124">
        <f t="shared" si="26"/>
        <v>85.05</v>
      </c>
      <c r="I124">
        <f t="shared" si="27"/>
        <v>378</v>
      </c>
      <c r="J124">
        <f t="shared" si="28"/>
        <v>270</v>
      </c>
      <c r="K124">
        <f t="shared" si="29"/>
        <v>60.75</v>
      </c>
      <c r="L124">
        <f t="shared" si="30"/>
        <v>6.8588099999999992</v>
      </c>
      <c r="M124">
        <f t="shared" si="31"/>
        <v>6.9457499999999994</v>
      </c>
      <c r="N124">
        <f t="shared" si="32"/>
        <v>5.2598700000000003</v>
      </c>
      <c r="O124">
        <f t="shared" si="33"/>
        <v>4.8415129411764699</v>
      </c>
      <c r="P124">
        <f t="shared" si="34"/>
        <v>3.0237580993520519</v>
      </c>
      <c r="Q124">
        <f t="shared" si="35"/>
        <v>42</v>
      </c>
      <c r="R124">
        <f t="shared" si="36"/>
        <v>450</v>
      </c>
      <c r="S124">
        <f t="shared" si="37"/>
        <v>251.77500000000001</v>
      </c>
      <c r="T124">
        <f t="shared" si="38"/>
        <v>18.224999999999998</v>
      </c>
      <c r="U124">
        <f>I124*E124/'[1]Inverter Analysis'!$L$2</f>
        <v>203.80562524759708</v>
      </c>
      <c r="V124">
        <f t="shared" si="39"/>
        <v>296.2962962962963</v>
      </c>
      <c r="W124">
        <f t="shared" si="40"/>
        <v>317.74401747592094</v>
      </c>
      <c r="X124">
        <f t="shared" si="41"/>
        <v>211.64021164021165</v>
      </c>
      <c r="Y124">
        <f t="shared" si="42"/>
        <v>0.4543256728878225</v>
      </c>
      <c r="Z124">
        <f t="shared" si="43"/>
        <v>3.4666762060546885</v>
      </c>
    </row>
    <row r="125" spans="1:26">
      <c r="A125">
        <v>16</v>
      </c>
      <c r="B125">
        <v>4</v>
      </c>
      <c r="C125" s="1">
        <v>9</v>
      </c>
      <c r="D125">
        <f t="shared" si="22"/>
        <v>640</v>
      </c>
      <c r="E125">
        <f t="shared" si="23"/>
        <v>180</v>
      </c>
      <c r="F125">
        <f t="shared" si="24"/>
        <v>40.32</v>
      </c>
      <c r="G125">
        <f t="shared" si="25"/>
        <v>0.16199999999999998</v>
      </c>
      <c r="H125">
        <f t="shared" si="26"/>
        <v>108.86400000000002</v>
      </c>
      <c r="I125">
        <f t="shared" si="27"/>
        <v>604.80000000000007</v>
      </c>
      <c r="J125">
        <f t="shared" si="28"/>
        <v>432</v>
      </c>
      <c r="K125">
        <f t="shared" si="29"/>
        <v>77.760000000000005</v>
      </c>
      <c r="L125">
        <f t="shared" si="30"/>
        <v>8.7792768000000017</v>
      </c>
      <c r="M125">
        <f t="shared" si="31"/>
        <v>8.8905600000000007</v>
      </c>
      <c r="N125">
        <f t="shared" si="32"/>
        <v>6.7326335999999998</v>
      </c>
      <c r="O125">
        <f t="shared" si="33"/>
        <v>6.1971365647058843</v>
      </c>
      <c r="P125">
        <f t="shared" si="34"/>
        <v>3.8704103671706269</v>
      </c>
      <c r="Q125">
        <f t="shared" si="35"/>
        <v>67.2</v>
      </c>
      <c r="R125">
        <f t="shared" si="36"/>
        <v>576</v>
      </c>
      <c r="S125">
        <f t="shared" si="37"/>
        <v>402.84000000000003</v>
      </c>
      <c r="T125">
        <f t="shared" si="38"/>
        <v>29.159999999999997</v>
      </c>
      <c r="U125">
        <f>I125*E125/'[1]Inverter Analysis'!$L$2</f>
        <v>260.87120031692427</v>
      </c>
      <c r="V125">
        <f t="shared" si="39"/>
        <v>185.18518518518519</v>
      </c>
      <c r="W125">
        <f t="shared" si="40"/>
        <v>198.59001092245057</v>
      </c>
      <c r="X125">
        <f t="shared" si="41"/>
        <v>132.27513227513225</v>
      </c>
      <c r="Y125">
        <f t="shared" si="42"/>
        <v>0.17747096597180567</v>
      </c>
      <c r="Z125">
        <f t="shared" si="43"/>
        <v>11.359604592000004</v>
      </c>
    </row>
    <row r="126" spans="1:26">
      <c r="A126">
        <v>15</v>
      </c>
      <c r="B126">
        <v>4</v>
      </c>
      <c r="C126" s="1">
        <v>9</v>
      </c>
      <c r="D126">
        <f t="shared" si="22"/>
        <v>640</v>
      </c>
      <c r="E126">
        <f t="shared" si="23"/>
        <v>180</v>
      </c>
      <c r="F126">
        <f t="shared" si="24"/>
        <v>37.799999999999997</v>
      </c>
      <c r="G126">
        <f t="shared" si="25"/>
        <v>0.15187499999999998</v>
      </c>
      <c r="H126">
        <f t="shared" si="26"/>
        <v>102.06</v>
      </c>
      <c r="I126">
        <f t="shared" si="27"/>
        <v>567</v>
      </c>
      <c r="J126">
        <f t="shared" si="28"/>
        <v>405</v>
      </c>
      <c r="K126">
        <f t="shared" si="29"/>
        <v>72.900000000000006</v>
      </c>
      <c r="L126">
        <f t="shared" si="30"/>
        <v>8.2305720000000004</v>
      </c>
      <c r="M126">
        <f t="shared" si="31"/>
        <v>8.3348999999999993</v>
      </c>
      <c r="N126">
        <f t="shared" si="32"/>
        <v>6.3118439999999998</v>
      </c>
      <c r="O126">
        <f t="shared" si="33"/>
        <v>5.8098155294117655</v>
      </c>
      <c r="P126">
        <f t="shared" si="34"/>
        <v>3.6285097192224622</v>
      </c>
      <c r="Q126">
        <f t="shared" si="35"/>
        <v>63</v>
      </c>
      <c r="R126">
        <f t="shared" si="36"/>
        <v>540</v>
      </c>
      <c r="S126">
        <f t="shared" si="37"/>
        <v>377.66250000000002</v>
      </c>
      <c r="T126">
        <f t="shared" si="38"/>
        <v>27.337499999999999</v>
      </c>
      <c r="U126">
        <f>I126*E126/'[1]Inverter Analysis'!$L$2</f>
        <v>244.56675029711647</v>
      </c>
      <c r="V126">
        <f t="shared" si="39"/>
        <v>197.53086419753086</v>
      </c>
      <c r="W126">
        <f t="shared" si="40"/>
        <v>211.82934498394729</v>
      </c>
      <c r="X126">
        <f t="shared" si="41"/>
        <v>141.09347442680777</v>
      </c>
      <c r="Y126">
        <f t="shared" si="42"/>
        <v>0.20192252128347671</v>
      </c>
      <c r="Z126">
        <f t="shared" si="43"/>
        <v>9.3600257563476568</v>
      </c>
    </row>
    <row r="127" spans="1:26">
      <c r="A127">
        <v>14</v>
      </c>
      <c r="B127">
        <v>4</v>
      </c>
      <c r="C127" s="1">
        <v>9</v>
      </c>
      <c r="D127">
        <f t="shared" si="22"/>
        <v>640</v>
      </c>
      <c r="E127">
        <f t="shared" si="23"/>
        <v>180</v>
      </c>
      <c r="F127">
        <f t="shared" si="24"/>
        <v>35.28</v>
      </c>
      <c r="G127">
        <f t="shared" si="25"/>
        <v>0.14174999999999999</v>
      </c>
      <c r="H127">
        <f t="shared" si="26"/>
        <v>95.256000000000014</v>
      </c>
      <c r="I127">
        <f t="shared" si="27"/>
        <v>529.20000000000005</v>
      </c>
      <c r="J127">
        <f t="shared" si="28"/>
        <v>378</v>
      </c>
      <c r="K127">
        <f t="shared" si="29"/>
        <v>68.040000000000006</v>
      </c>
      <c r="L127">
        <f t="shared" si="30"/>
        <v>7.681867200000001</v>
      </c>
      <c r="M127">
        <f t="shared" si="31"/>
        <v>7.7792400000000006</v>
      </c>
      <c r="N127">
        <f t="shared" si="32"/>
        <v>5.8910543999999998</v>
      </c>
      <c r="O127">
        <f t="shared" si="33"/>
        <v>5.4224944941176485</v>
      </c>
      <c r="P127">
        <f t="shared" si="34"/>
        <v>3.3866090712742984</v>
      </c>
      <c r="Q127">
        <f t="shared" si="35"/>
        <v>58.800000000000004</v>
      </c>
      <c r="R127">
        <f t="shared" si="36"/>
        <v>504</v>
      </c>
      <c r="S127">
        <f t="shared" si="37"/>
        <v>352.48500000000001</v>
      </c>
      <c r="T127">
        <f t="shared" si="38"/>
        <v>25.514999999999997</v>
      </c>
      <c r="U127">
        <f>I127*E127/'[1]Inverter Analysis'!$L$2</f>
        <v>228.26230027730875</v>
      </c>
      <c r="V127">
        <f t="shared" si="39"/>
        <v>211.64021164021165</v>
      </c>
      <c r="W127">
        <f t="shared" si="40"/>
        <v>226.96001248280066</v>
      </c>
      <c r="X127">
        <f t="shared" si="41"/>
        <v>151.17157974300829</v>
      </c>
      <c r="Y127">
        <f t="shared" si="42"/>
        <v>0.23179881269786864</v>
      </c>
      <c r="Z127">
        <f t="shared" si="43"/>
        <v>7.6100476075312518</v>
      </c>
    </row>
    <row r="128" spans="1:26">
      <c r="A128">
        <v>13</v>
      </c>
      <c r="B128">
        <v>4</v>
      </c>
      <c r="C128" s="1">
        <v>9</v>
      </c>
      <c r="D128">
        <f t="shared" si="22"/>
        <v>640</v>
      </c>
      <c r="E128">
        <f t="shared" si="23"/>
        <v>180</v>
      </c>
      <c r="F128">
        <f t="shared" si="24"/>
        <v>32.76</v>
      </c>
      <c r="G128">
        <f t="shared" si="25"/>
        <v>0.13162499999999999</v>
      </c>
      <c r="H128">
        <f t="shared" si="26"/>
        <v>88.451999999999998</v>
      </c>
      <c r="I128">
        <f t="shared" si="27"/>
        <v>491.40000000000003</v>
      </c>
      <c r="J128">
        <f t="shared" si="28"/>
        <v>351</v>
      </c>
      <c r="K128">
        <f t="shared" si="29"/>
        <v>63.18</v>
      </c>
      <c r="L128">
        <f t="shared" si="30"/>
        <v>7.1331623999999998</v>
      </c>
      <c r="M128">
        <f t="shared" si="31"/>
        <v>7.2235800000000001</v>
      </c>
      <c r="N128">
        <f t="shared" si="32"/>
        <v>5.4702647999999998</v>
      </c>
      <c r="O128">
        <f t="shared" si="33"/>
        <v>5.0351734588235297</v>
      </c>
      <c r="P128">
        <f t="shared" si="34"/>
        <v>3.1447084233261342</v>
      </c>
      <c r="Q128">
        <f t="shared" si="35"/>
        <v>54.6</v>
      </c>
      <c r="R128">
        <f t="shared" si="36"/>
        <v>468</v>
      </c>
      <c r="S128">
        <f t="shared" si="37"/>
        <v>327.3075</v>
      </c>
      <c r="T128">
        <f t="shared" si="38"/>
        <v>23.692499999999999</v>
      </c>
      <c r="U128">
        <f>I128*E128/'[1]Inverter Analysis'!$L$2</f>
        <v>211.95785025750095</v>
      </c>
      <c r="V128">
        <f t="shared" si="39"/>
        <v>227.92022792022792</v>
      </c>
      <c r="W128">
        <f t="shared" si="40"/>
        <v>244.41847498147766</v>
      </c>
      <c r="X128">
        <f t="shared" si="41"/>
        <v>162.80016280016278</v>
      </c>
      <c r="Y128">
        <f t="shared" si="42"/>
        <v>0.2688317591052205</v>
      </c>
      <c r="Z128">
        <f t="shared" si="43"/>
        <v>6.0930300997617177</v>
      </c>
    </row>
    <row r="129" spans="1:26">
      <c r="A129">
        <v>12</v>
      </c>
      <c r="B129">
        <v>4</v>
      </c>
      <c r="C129" s="1">
        <v>9</v>
      </c>
      <c r="D129">
        <f t="shared" si="22"/>
        <v>640</v>
      </c>
      <c r="E129">
        <f t="shared" si="23"/>
        <v>180</v>
      </c>
      <c r="F129">
        <f t="shared" si="24"/>
        <v>30.24</v>
      </c>
      <c r="G129">
        <f t="shared" si="25"/>
        <v>0.12149999999999998</v>
      </c>
      <c r="H129">
        <f t="shared" si="26"/>
        <v>81.647999999999996</v>
      </c>
      <c r="I129">
        <f t="shared" si="27"/>
        <v>453.6</v>
      </c>
      <c r="J129">
        <f t="shared" si="28"/>
        <v>324</v>
      </c>
      <c r="K129">
        <f t="shared" si="29"/>
        <v>58.32</v>
      </c>
      <c r="L129">
        <f t="shared" si="30"/>
        <v>6.5844576000000004</v>
      </c>
      <c r="M129">
        <f t="shared" si="31"/>
        <v>6.6679200000000005</v>
      </c>
      <c r="N129">
        <f t="shared" si="32"/>
        <v>5.0494751999999998</v>
      </c>
      <c r="O129">
        <f t="shared" si="33"/>
        <v>4.6478524235294127</v>
      </c>
      <c r="P129">
        <f t="shared" si="34"/>
        <v>2.90280777537797</v>
      </c>
      <c r="Q129">
        <f t="shared" si="35"/>
        <v>50.400000000000006</v>
      </c>
      <c r="R129">
        <f t="shared" si="36"/>
        <v>432</v>
      </c>
      <c r="S129">
        <f t="shared" si="37"/>
        <v>302.13</v>
      </c>
      <c r="T129">
        <f t="shared" si="38"/>
        <v>21.869999999999997</v>
      </c>
      <c r="U129">
        <f>I129*E129/'[1]Inverter Analysis'!$L$2</f>
        <v>195.65340023769318</v>
      </c>
      <c r="V129">
        <f t="shared" si="39"/>
        <v>246.91358024691357</v>
      </c>
      <c r="W129">
        <f t="shared" si="40"/>
        <v>264.78668122993412</v>
      </c>
      <c r="X129">
        <f t="shared" si="41"/>
        <v>176.3668430335097</v>
      </c>
      <c r="Y129">
        <f t="shared" si="42"/>
        <v>0.31550393950543232</v>
      </c>
      <c r="Z129">
        <f t="shared" si="43"/>
        <v>4.7923331872500006</v>
      </c>
    </row>
    <row r="130" spans="1:26">
      <c r="A130">
        <v>11</v>
      </c>
      <c r="B130">
        <v>4</v>
      </c>
      <c r="C130" s="1">
        <v>9</v>
      </c>
      <c r="D130">
        <f t="shared" si="22"/>
        <v>640</v>
      </c>
      <c r="E130">
        <f t="shared" si="23"/>
        <v>180</v>
      </c>
      <c r="F130">
        <f t="shared" si="24"/>
        <v>27.72</v>
      </c>
      <c r="G130">
        <f t="shared" si="25"/>
        <v>0.11137499999999999</v>
      </c>
      <c r="H130">
        <f t="shared" si="26"/>
        <v>74.843999999999994</v>
      </c>
      <c r="I130">
        <f t="shared" si="27"/>
        <v>415.8</v>
      </c>
      <c r="J130">
        <f t="shared" si="28"/>
        <v>297</v>
      </c>
      <c r="K130">
        <f t="shared" si="29"/>
        <v>53.46</v>
      </c>
      <c r="L130">
        <f t="shared" si="30"/>
        <v>6.0357528</v>
      </c>
      <c r="M130">
        <f t="shared" si="31"/>
        <v>6.11226</v>
      </c>
      <c r="N130">
        <f t="shared" si="32"/>
        <v>4.6286855999999998</v>
      </c>
      <c r="O130">
        <f t="shared" si="33"/>
        <v>4.260531388235294</v>
      </c>
      <c r="P130">
        <f t="shared" si="34"/>
        <v>2.6609071274298057</v>
      </c>
      <c r="Q130">
        <f t="shared" si="35"/>
        <v>46.2</v>
      </c>
      <c r="R130">
        <f t="shared" si="36"/>
        <v>396</v>
      </c>
      <c r="S130">
        <f t="shared" si="37"/>
        <v>276.95249999999999</v>
      </c>
      <c r="T130">
        <f t="shared" si="38"/>
        <v>20.047499999999999</v>
      </c>
      <c r="U130">
        <f>I130*E130/'[1]Inverter Analysis'!$L$2</f>
        <v>179.34895021788543</v>
      </c>
      <c r="V130">
        <f t="shared" si="39"/>
        <v>269.36026936026934</v>
      </c>
      <c r="W130">
        <f t="shared" si="40"/>
        <v>288.85819770538268</v>
      </c>
      <c r="X130">
        <f t="shared" si="41"/>
        <v>192.4001924001924</v>
      </c>
      <c r="Y130">
        <f t="shared" si="42"/>
        <v>0.37547576271720873</v>
      </c>
      <c r="Z130">
        <f t="shared" si="43"/>
        <v>3.6913168242070316</v>
      </c>
    </row>
    <row r="131" spans="1:26">
      <c r="A131">
        <v>10</v>
      </c>
      <c r="B131">
        <v>4</v>
      </c>
      <c r="C131" s="1">
        <v>9</v>
      </c>
      <c r="D131">
        <f t="shared" si="22"/>
        <v>640</v>
      </c>
      <c r="E131">
        <f t="shared" si="23"/>
        <v>180</v>
      </c>
      <c r="F131">
        <f t="shared" si="24"/>
        <v>25.2</v>
      </c>
      <c r="G131">
        <f t="shared" si="25"/>
        <v>0.10124999999999999</v>
      </c>
      <c r="H131">
        <f t="shared" si="26"/>
        <v>68.040000000000006</v>
      </c>
      <c r="I131">
        <f t="shared" si="27"/>
        <v>378</v>
      </c>
      <c r="J131">
        <f t="shared" si="28"/>
        <v>270</v>
      </c>
      <c r="K131">
        <f t="shared" si="29"/>
        <v>48.6</v>
      </c>
      <c r="L131">
        <f t="shared" si="30"/>
        <v>5.4870479999999997</v>
      </c>
      <c r="M131">
        <f t="shared" si="31"/>
        <v>5.5565999999999995</v>
      </c>
      <c r="N131">
        <f t="shared" si="32"/>
        <v>4.2078959999999999</v>
      </c>
      <c r="O131">
        <f t="shared" si="33"/>
        <v>3.8732103529411765</v>
      </c>
      <c r="P131">
        <f t="shared" si="34"/>
        <v>2.4190064794816415</v>
      </c>
      <c r="Q131">
        <f t="shared" si="35"/>
        <v>42</v>
      </c>
      <c r="R131">
        <f t="shared" si="36"/>
        <v>360</v>
      </c>
      <c r="S131">
        <f t="shared" si="37"/>
        <v>251.77500000000001</v>
      </c>
      <c r="T131">
        <f t="shared" si="38"/>
        <v>18.224999999999998</v>
      </c>
      <c r="U131">
        <f>I131*E131/'[1]Inverter Analysis'!$L$2</f>
        <v>163.04450019807766</v>
      </c>
      <c r="V131">
        <f t="shared" si="39"/>
        <v>296.2962962962963</v>
      </c>
      <c r="W131">
        <f t="shared" si="40"/>
        <v>317.74401747592094</v>
      </c>
      <c r="X131">
        <f t="shared" si="41"/>
        <v>211.64021164021165</v>
      </c>
      <c r="Y131">
        <f t="shared" si="42"/>
        <v>0.4543256728878225</v>
      </c>
      <c r="Z131">
        <f t="shared" si="43"/>
        <v>2.7733409648437508</v>
      </c>
    </row>
    <row r="132" spans="1:26">
      <c r="A132">
        <v>16</v>
      </c>
      <c r="B132">
        <v>3</v>
      </c>
      <c r="C132" s="1">
        <v>9</v>
      </c>
      <c r="D132">
        <f t="shared" si="22"/>
        <v>480</v>
      </c>
      <c r="E132">
        <f t="shared" si="23"/>
        <v>135</v>
      </c>
      <c r="F132">
        <f t="shared" si="24"/>
        <v>30.24</v>
      </c>
      <c r="G132">
        <f t="shared" si="25"/>
        <v>0.21599999999999997</v>
      </c>
      <c r="H132">
        <f t="shared" si="26"/>
        <v>81.64800000000001</v>
      </c>
      <c r="I132">
        <f t="shared" si="27"/>
        <v>604.80000000000007</v>
      </c>
      <c r="J132">
        <f t="shared" si="28"/>
        <v>432</v>
      </c>
      <c r="K132">
        <f t="shared" si="29"/>
        <v>58.32</v>
      </c>
      <c r="L132">
        <f t="shared" si="30"/>
        <v>6.5844576000000012</v>
      </c>
      <c r="M132">
        <f t="shared" si="31"/>
        <v>6.6679200000000014</v>
      </c>
      <c r="N132">
        <f t="shared" si="32"/>
        <v>5.0494751999999998</v>
      </c>
      <c r="O132">
        <f t="shared" si="33"/>
        <v>4.6478524235294127</v>
      </c>
      <c r="P132">
        <f t="shared" si="34"/>
        <v>2.90280777537797</v>
      </c>
      <c r="Q132">
        <f t="shared" si="35"/>
        <v>67.2</v>
      </c>
      <c r="R132">
        <f t="shared" si="36"/>
        <v>432</v>
      </c>
      <c r="S132">
        <f t="shared" si="37"/>
        <v>402.84000000000003</v>
      </c>
      <c r="T132">
        <f t="shared" si="38"/>
        <v>29.159999999999997</v>
      </c>
      <c r="U132">
        <f>I132*E132/'[1]Inverter Analysis'!$L$2</f>
        <v>195.65340023769321</v>
      </c>
      <c r="V132">
        <f t="shared" si="39"/>
        <v>185.18518518518519</v>
      </c>
      <c r="W132">
        <f t="shared" si="40"/>
        <v>198.59001092245057</v>
      </c>
      <c r="X132">
        <f t="shared" si="41"/>
        <v>132.27513227513225</v>
      </c>
      <c r="Y132">
        <f t="shared" si="42"/>
        <v>0.17747096597180567</v>
      </c>
      <c r="Z132">
        <f t="shared" si="43"/>
        <v>8.519703444000001</v>
      </c>
    </row>
    <row r="133" spans="1:26">
      <c r="A133">
        <v>15</v>
      </c>
      <c r="B133">
        <v>3</v>
      </c>
      <c r="C133" s="1">
        <v>9</v>
      </c>
      <c r="D133">
        <f t="shared" si="22"/>
        <v>480</v>
      </c>
      <c r="E133">
        <f t="shared" si="23"/>
        <v>135</v>
      </c>
      <c r="F133">
        <f t="shared" si="24"/>
        <v>28.35</v>
      </c>
      <c r="G133">
        <f t="shared" si="25"/>
        <v>0.20249999999999996</v>
      </c>
      <c r="H133">
        <f t="shared" si="26"/>
        <v>76.545000000000002</v>
      </c>
      <c r="I133">
        <f t="shared" si="27"/>
        <v>567</v>
      </c>
      <c r="J133">
        <f t="shared" si="28"/>
        <v>405</v>
      </c>
      <c r="K133">
        <f t="shared" si="29"/>
        <v>54.674999999999997</v>
      </c>
      <c r="L133">
        <f t="shared" si="30"/>
        <v>6.1729289999999999</v>
      </c>
      <c r="M133">
        <f t="shared" si="31"/>
        <v>6.251174999999999</v>
      </c>
      <c r="N133">
        <f t="shared" si="32"/>
        <v>4.7338829999999996</v>
      </c>
      <c r="O133">
        <f t="shared" si="33"/>
        <v>4.3573616470588235</v>
      </c>
      <c r="P133">
        <f t="shared" si="34"/>
        <v>2.7213822894168462</v>
      </c>
      <c r="Q133">
        <f t="shared" si="35"/>
        <v>63</v>
      </c>
      <c r="R133">
        <f t="shared" si="36"/>
        <v>405</v>
      </c>
      <c r="S133">
        <f t="shared" si="37"/>
        <v>377.66250000000002</v>
      </c>
      <c r="T133">
        <f t="shared" si="38"/>
        <v>27.337499999999995</v>
      </c>
      <c r="U133">
        <f>I133*E133/'[1]Inverter Analysis'!$L$2</f>
        <v>183.42506272283737</v>
      </c>
      <c r="V133">
        <f t="shared" si="39"/>
        <v>197.53086419753086</v>
      </c>
      <c r="W133">
        <f t="shared" si="40"/>
        <v>211.82934498394729</v>
      </c>
      <c r="X133">
        <f t="shared" si="41"/>
        <v>141.09347442680777</v>
      </c>
      <c r="Y133">
        <f t="shared" si="42"/>
        <v>0.20192252128347671</v>
      </c>
      <c r="Z133">
        <f t="shared" si="43"/>
        <v>7.0200193172607426</v>
      </c>
    </row>
    <row r="134" spans="1:26">
      <c r="A134">
        <v>14</v>
      </c>
      <c r="B134">
        <v>3</v>
      </c>
      <c r="C134" s="1">
        <v>9</v>
      </c>
      <c r="D134">
        <f t="shared" si="22"/>
        <v>480</v>
      </c>
      <c r="E134">
        <f t="shared" si="23"/>
        <v>135</v>
      </c>
      <c r="F134">
        <f t="shared" si="24"/>
        <v>26.46</v>
      </c>
      <c r="G134">
        <f t="shared" si="25"/>
        <v>0.18899999999999997</v>
      </c>
      <c r="H134">
        <f t="shared" si="26"/>
        <v>71.441999999999993</v>
      </c>
      <c r="I134">
        <f t="shared" si="27"/>
        <v>529.20000000000005</v>
      </c>
      <c r="J134">
        <f t="shared" si="28"/>
        <v>378</v>
      </c>
      <c r="K134">
        <f t="shared" si="29"/>
        <v>51.03</v>
      </c>
      <c r="L134">
        <f t="shared" si="30"/>
        <v>5.7614004000000003</v>
      </c>
      <c r="M134">
        <f t="shared" si="31"/>
        <v>5.8344300000000002</v>
      </c>
      <c r="N134">
        <f t="shared" si="32"/>
        <v>4.4182907999999994</v>
      </c>
      <c r="O134">
        <f t="shared" si="33"/>
        <v>4.0668708705882359</v>
      </c>
      <c r="P134">
        <f t="shared" si="34"/>
        <v>2.5399568034557238</v>
      </c>
      <c r="Q134">
        <f t="shared" si="35"/>
        <v>58.800000000000004</v>
      </c>
      <c r="R134">
        <f t="shared" si="36"/>
        <v>378</v>
      </c>
      <c r="S134">
        <f t="shared" si="37"/>
        <v>352.48500000000001</v>
      </c>
      <c r="T134">
        <f t="shared" si="38"/>
        <v>25.514999999999997</v>
      </c>
      <c r="U134">
        <f>I134*E134/'[1]Inverter Analysis'!$L$2</f>
        <v>171.19672520798153</v>
      </c>
      <c r="V134">
        <f t="shared" si="39"/>
        <v>211.64021164021165</v>
      </c>
      <c r="W134">
        <f t="shared" si="40"/>
        <v>226.96001248280066</v>
      </c>
      <c r="X134">
        <f t="shared" si="41"/>
        <v>151.17157974300829</v>
      </c>
      <c r="Y134">
        <f t="shared" si="42"/>
        <v>0.23179881269786864</v>
      </c>
      <c r="Z134">
        <f t="shared" si="43"/>
        <v>5.7075357056484393</v>
      </c>
    </row>
    <row r="135" spans="1:26">
      <c r="A135">
        <v>13</v>
      </c>
      <c r="B135">
        <v>3</v>
      </c>
      <c r="C135" s="1">
        <v>9</v>
      </c>
      <c r="D135">
        <f t="shared" ref="D135:D198" si="44">B135*$J$3</f>
        <v>480</v>
      </c>
      <c r="E135">
        <f t="shared" ref="E135:E198" si="45">B135*$I$3</f>
        <v>135</v>
      </c>
      <c r="F135">
        <f t="shared" ref="F135:F198" si="46">A135*B135*C135*$Q$3/1000</f>
        <v>24.57</v>
      </c>
      <c r="G135">
        <f t="shared" ref="G135:G198" si="47">((B135*$R$3^(-1))^(-1))*A135*C135</f>
        <v>0.17549999999999996</v>
      </c>
      <c r="H135">
        <f t="shared" ref="H135:H198" si="48">E135*I135/1000</f>
        <v>66.338999999999999</v>
      </c>
      <c r="I135">
        <f t="shared" ref="I135:I198" si="49">A135*C135*4.2</f>
        <v>491.40000000000003</v>
      </c>
      <c r="J135">
        <f t="shared" ref="J135:J198" si="50">C135*A135*$K$3</f>
        <v>351</v>
      </c>
      <c r="K135">
        <f t="shared" ref="K135:K198" si="51">E135*J135/1000</f>
        <v>47.384999999999998</v>
      </c>
      <c r="L135">
        <f t="shared" ref="L135:L198" si="52">$N$3/1000*I135*B135/1000</f>
        <v>5.3498717999999998</v>
      </c>
      <c r="M135">
        <f t="shared" ref="M135:M198" si="53">$O$3/1000*I135*B135/1000</f>
        <v>5.4176849999999996</v>
      </c>
      <c r="N135">
        <f t="shared" ref="N135:N198" si="54">$P$3/1000*I135*B135/1000</f>
        <v>4.1026986000000001</v>
      </c>
      <c r="O135">
        <f t="shared" ref="O135:O198" si="55">L135*(($L$3-$K$3)/($L$3-$M$3))</f>
        <v>3.7763800941176471</v>
      </c>
      <c r="P135">
        <f t="shared" ref="P135:P198" si="56">$H$3/1000*B135*I135/277.8/C135</f>
        <v>2.3585313174946005</v>
      </c>
      <c r="Q135">
        <f t="shared" ref="Q135:Q198" si="57">I135/C135</f>
        <v>54.6</v>
      </c>
      <c r="R135">
        <f t="shared" ref="R135:R198" si="58">(A135*B135*C135)</f>
        <v>351</v>
      </c>
      <c r="S135">
        <f t="shared" ref="S135:S198" si="59">J135-(G135*E135)</f>
        <v>327.3075</v>
      </c>
      <c r="T135">
        <f t="shared" ref="T135:T198" si="60">G135*E135</f>
        <v>23.692499999999995</v>
      </c>
      <c r="U135">
        <f>I135*E135/'[1]Inverter Analysis'!$L$2</f>
        <v>158.96838769312572</v>
      </c>
      <c r="V135">
        <f t="shared" ref="V135:V198" si="61">80000/J135</f>
        <v>227.92022792022792</v>
      </c>
      <c r="W135">
        <f t="shared" ref="W135:W198" si="62">80000/S135</f>
        <v>244.41847498147766</v>
      </c>
      <c r="X135">
        <f t="shared" ref="X135:X198" si="63">80000/I135</f>
        <v>162.80016280016278</v>
      </c>
      <c r="Y135">
        <f t="shared" ref="Y135:Y198" si="64">(MAX(V135:X135)^2)*$R$3/1000</f>
        <v>0.2688317591052205</v>
      </c>
      <c r="Z135">
        <f t="shared" ref="Z135:Z198" si="65">($S$3*F135/(Y135*1000))*10</f>
        <v>4.5697725748212887</v>
      </c>
    </row>
    <row r="136" spans="1:26">
      <c r="A136">
        <v>12</v>
      </c>
      <c r="B136">
        <v>3</v>
      </c>
      <c r="C136" s="1">
        <v>9</v>
      </c>
      <c r="D136">
        <f t="shared" si="44"/>
        <v>480</v>
      </c>
      <c r="E136">
        <f t="shared" si="45"/>
        <v>135</v>
      </c>
      <c r="F136">
        <f t="shared" si="46"/>
        <v>22.68</v>
      </c>
      <c r="G136">
        <f t="shared" si="47"/>
        <v>0.16199999999999998</v>
      </c>
      <c r="H136">
        <f t="shared" si="48"/>
        <v>61.235999999999997</v>
      </c>
      <c r="I136">
        <f t="shared" si="49"/>
        <v>453.6</v>
      </c>
      <c r="J136">
        <f t="shared" si="50"/>
        <v>324</v>
      </c>
      <c r="K136">
        <f t="shared" si="51"/>
        <v>43.74</v>
      </c>
      <c r="L136">
        <f t="shared" si="52"/>
        <v>4.9383432000000003</v>
      </c>
      <c r="M136">
        <f t="shared" si="53"/>
        <v>5.0009400000000008</v>
      </c>
      <c r="N136">
        <f t="shared" si="54"/>
        <v>3.7871063999999999</v>
      </c>
      <c r="O136">
        <f t="shared" si="55"/>
        <v>3.4858893176470591</v>
      </c>
      <c r="P136">
        <f t="shared" si="56"/>
        <v>2.1771058315334777</v>
      </c>
      <c r="Q136">
        <f t="shared" si="57"/>
        <v>50.400000000000006</v>
      </c>
      <c r="R136">
        <f t="shared" si="58"/>
        <v>324</v>
      </c>
      <c r="S136">
        <f t="shared" si="59"/>
        <v>302.13</v>
      </c>
      <c r="T136">
        <f t="shared" si="60"/>
        <v>21.869999999999997</v>
      </c>
      <c r="U136">
        <f>I136*E136/'[1]Inverter Analysis'!$L$2</f>
        <v>146.74005017826988</v>
      </c>
      <c r="V136">
        <f t="shared" si="61"/>
        <v>246.91358024691357</v>
      </c>
      <c r="W136">
        <f t="shared" si="62"/>
        <v>264.78668122993412</v>
      </c>
      <c r="X136">
        <f t="shared" si="63"/>
        <v>176.3668430335097</v>
      </c>
      <c r="Y136">
        <f t="shared" si="64"/>
        <v>0.31550393950543232</v>
      </c>
      <c r="Z136">
        <f t="shared" si="65"/>
        <v>3.5942498904375015</v>
      </c>
    </row>
    <row r="137" spans="1:26">
      <c r="A137">
        <v>11</v>
      </c>
      <c r="B137">
        <v>3</v>
      </c>
      <c r="C137" s="1">
        <v>9</v>
      </c>
      <c r="D137">
        <f t="shared" si="44"/>
        <v>480</v>
      </c>
      <c r="E137">
        <f t="shared" si="45"/>
        <v>135</v>
      </c>
      <c r="F137">
        <f t="shared" si="46"/>
        <v>20.79</v>
      </c>
      <c r="G137">
        <f t="shared" si="47"/>
        <v>0.14849999999999997</v>
      </c>
      <c r="H137">
        <f t="shared" si="48"/>
        <v>56.133000000000003</v>
      </c>
      <c r="I137">
        <f t="shared" si="49"/>
        <v>415.8</v>
      </c>
      <c r="J137">
        <f t="shared" si="50"/>
        <v>297</v>
      </c>
      <c r="K137">
        <f t="shared" si="51"/>
        <v>40.094999999999999</v>
      </c>
      <c r="L137">
        <f t="shared" si="52"/>
        <v>4.5268145999999998</v>
      </c>
      <c r="M137">
        <f t="shared" si="53"/>
        <v>4.5841949999999994</v>
      </c>
      <c r="N137">
        <f t="shared" si="54"/>
        <v>3.4715141999999997</v>
      </c>
      <c r="O137">
        <f t="shared" si="55"/>
        <v>3.1953985411764707</v>
      </c>
      <c r="P137">
        <f t="shared" si="56"/>
        <v>1.9956803455723542</v>
      </c>
      <c r="Q137">
        <f t="shared" si="57"/>
        <v>46.2</v>
      </c>
      <c r="R137">
        <f t="shared" si="58"/>
        <v>297</v>
      </c>
      <c r="S137">
        <f t="shared" si="59"/>
        <v>276.95249999999999</v>
      </c>
      <c r="T137">
        <f t="shared" si="60"/>
        <v>20.047499999999996</v>
      </c>
      <c r="U137">
        <f>I137*E137/'[1]Inverter Analysis'!$L$2</f>
        <v>134.51171266341407</v>
      </c>
      <c r="V137">
        <f t="shared" si="61"/>
        <v>269.36026936026934</v>
      </c>
      <c r="W137">
        <f t="shared" si="62"/>
        <v>288.85819770538268</v>
      </c>
      <c r="X137">
        <f t="shared" si="63"/>
        <v>192.4001924001924</v>
      </c>
      <c r="Y137">
        <f t="shared" si="64"/>
        <v>0.37547576271720873</v>
      </c>
      <c r="Z137">
        <f t="shared" si="65"/>
        <v>2.7684876181552736</v>
      </c>
    </row>
    <row r="138" spans="1:26">
      <c r="A138">
        <v>10</v>
      </c>
      <c r="B138">
        <v>3</v>
      </c>
      <c r="C138" s="1">
        <v>9</v>
      </c>
      <c r="D138">
        <f t="shared" si="44"/>
        <v>480</v>
      </c>
      <c r="E138">
        <f t="shared" si="45"/>
        <v>135</v>
      </c>
      <c r="F138">
        <f t="shared" si="46"/>
        <v>18.899999999999999</v>
      </c>
      <c r="G138">
        <f t="shared" si="47"/>
        <v>0.13499999999999998</v>
      </c>
      <c r="H138">
        <f t="shared" si="48"/>
        <v>51.03</v>
      </c>
      <c r="I138">
        <f t="shared" si="49"/>
        <v>378</v>
      </c>
      <c r="J138">
        <f t="shared" si="50"/>
        <v>270</v>
      </c>
      <c r="K138">
        <f t="shared" si="51"/>
        <v>36.450000000000003</v>
      </c>
      <c r="L138">
        <f t="shared" si="52"/>
        <v>4.1152860000000002</v>
      </c>
      <c r="M138">
        <f t="shared" si="53"/>
        <v>4.1674499999999997</v>
      </c>
      <c r="N138">
        <f t="shared" si="54"/>
        <v>3.1559219999999994</v>
      </c>
      <c r="O138">
        <f t="shared" si="55"/>
        <v>2.9049077647058827</v>
      </c>
      <c r="P138">
        <f t="shared" si="56"/>
        <v>1.8142548596112311</v>
      </c>
      <c r="Q138">
        <f t="shared" si="57"/>
        <v>42</v>
      </c>
      <c r="R138">
        <f t="shared" si="58"/>
        <v>270</v>
      </c>
      <c r="S138">
        <f t="shared" si="59"/>
        <v>251.77500000000001</v>
      </c>
      <c r="T138">
        <f t="shared" si="60"/>
        <v>18.224999999999998</v>
      </c>
      <c r="U138">
        <f>I138*E138/'[1]Inverter Analysis'!$L$2</f>
        <v>122.28337514855824</v>
      </c>
      <c r="V138">
        <f t="shared" si="61"/>
        <v>296.2962962962963</v>
      </c>
      <c r="W138">
        <f t="shared" si="62"/>
        <v>317.74401747592094</v>
      </c>
      <c r="X138">
        <f t="shared" si="63"/>
        <v>211.64021164021165</v>
      </c>
      <c r="Y138">
        <f t="shared" si="64"/>
        <v>0.4543256728878225</v>
      </c>
      <c r="Z138">
        <f t="shared" si="65"/>
        <v>2.0800057236328131</v>
      </c>
    </row>
    <row r="139" spans="1:26">
      <c r="A139">
        <v>16</v>
      </c>
      <c r="B139">
        <v>2</v>
      </c>
      <c r="C139" s="1">
        <v>9</v>
      </c>
      <c r="D139">
        <f t="shared" si="44"/>
        <v>320</v>
      </c>
      <c r="E139">
        <f t="shared" si="45"/>
        <v>90</v>
      </c>
      <c r="F139">
        <f t="shared" si="46"/>
        <v>20.16</v>
      </c>
      <c r="G139">
        <f t="shared" si="47"/>
        <v>0.32399999999999995</v>
      </c>
      <c r="H139">
        <f t="shared" si="48"/>
        <v>54.432000000000009</v>
      </c>
      <c r="I139">
        <f t="shared" si="49"/>
        <v>604.80000000000007</v>
      </c>
      <c r="J139">
        <f t="shared" si="50"/>
        <v>432</v>
      </c>
      <c r="K139">
        <f t="shared" si="51"/>
        <v>38.880000000000003</v>
      </c>
      <c r="L139">
        <f t="shared" si="52"/>
        <v>4.3896384000000008</v>
      </c>
      <c r="M139">
        <f t="shared" si="53"/>
        <v>4.4452800000000003</v>
      </c>
      <c r="N139">
        <f t="shared" si="54"/>
        <v>3.3663167999999999</v>
      </c>
      <c r="O139">
        <f t="shared" si="55"/>
        <v>3.0985682823529421</v>
      </c>
      <c r="P139">
        <f t="shared" si="56"/>
        <v>1.9352051835853135</v>
      </c>
      <c r="Q139">
        <f t="shared" si="57"/>
        <v>67.2</v>
      </c>
      <c r="R139">
        <f t="shared" si="58"/>
        <v>288</v>
      </c>
      <c r="S139">
        <f t="shared" si="59"/>
        <v>402.84000000000003</v>
      </c>
      <c r="T139">
        <f t="shared" si="60"/>
        <v>29.159999999999997</v>
      </c>
      <c r="U139">
        <f>I139*E139/'[1]Inverter Analysis'!$L$2</f>
        <v>130.43560015846214</v>
      </c>
      <c r="V139">
        <f t="shared" si="61"/>
        <v>185.18518518518519</v>
      </c>
      <c r="W139">
        <f t="shared" si="62"/>
        <v>198.59001092245057</v>
      </c>
      <c r="X139">
        <f t="shared" si="63"/>
        <v>132.27513227513225</v>
      </c>
      <c r="Y139">
        <f t="shared" si="64"/>
        <v>0.17747096597180567</v>
      </c>
      <c r="Z139">
        <f t="shared" si="65"/>
        <v>5.6798022960000019</v>
      </c>
    </row>
    <row r="140" spans="1:26">
      <c r="A140">
        <v>15</v>
      </c>
      <c r="B140">
        <v>2</v>
      </c>
      <c r="C140" s="1">
        <v>9</v>
      </c>
      <c r="D140">
        <f t="shared" si="44"/>
        <v>320</v>
      </c>
      <c r="E140">
        <f t="shared" si="45"/>
        <v>90</v>
      </c>
      <c r="F140">
        <f t="shared" si="46"/>
        <v>18.899999999999999</v>
      </c>
      <c r="G140">
        <f t="shared" si="47"/>
        <v>0.30374999999999996</v>
      </c>
      <c r="H140">
        <f t="shared" si="48"/>
        <v>51.03</v>
      </c>
      <c r="I140">
        <f t="shared" si="49"/>
        <v>567</v>
      </c>
      <c r="J140">
        <f t="shared" si="50"/>
        <v>405</v>
      </c>
      <c r="K140">
        <f t="shared" si="51"/>
        <v>36.450000000000003</v>
      </c>
      <c r="L140">
        <f t="shared" si="52"/>
        <v>4.1152860000000002</v>
      </c>
      <c r="M140">
        <f t="shared" si="53"/>
        <v>4.1674499999999997</v>
      </c>
      <c r="N140">
        <f t="shared" si="54"/>
        <v>3.1559219999999999</v>
      </c>
      <c r="O140">
        <f t="shared" si="55"/>
        <v>2.9049077647058827</v>
      </c>
      <c r="P140">
        <f t="shared" si="56"/>
        <v>1.8142548596112311</v>
      </c>
      <c r="Q140">
        <f t="shared" si="57"/>
        <v>63</v>
      </c>
      <c r="R140">
        <f t="shared" si="58"/>
        <v>270</v>
      </c>
      <c r="S140">
        <f t="shared" si="59"/>
        <v>377.66250000000002</v>
      </c>
      <c r="T140">
        <f t="shared" si="60"/>
        <v>27.337499999999999</v>
      </c>
      <c r="U140">
        <f>I140*E140/'[1]Inverter Analysis'!$L$2</f>
        <v>122.28337514855824</v>
      </c>
      <c r="V140">
        <f t="shared" si="61"/>
        <v>197.53086419753086</v>
      </c>
      <c r="W140">
        <f t="shared" si="62"/>
        <v>211.82934498394729</v>
      </c>
      <c r="X140">
        <f t="shared" si="63"/>
        <v>141.09347442680777</v>
      </c>
      <c r="Y140">
        <f t="shared" si="64"/>
        <v>0.20192252128347671</v>
      </c>
      <c r="Z140">
        <f t="shared" si="65"/>
        <v>4.6800128781738284</v>
      </c>
    </row>
    <row r="141" spans="1:26">
      <c r="A141">
        <v>14</v>
      </c>
      <c r="B141">
        <v>2</v>
      </c>
      <c r="C141" s="1">
        <v>9</v>
      </c>
      <c r="D141">
        <f t="shared" si="44"/>
        <v>320</v>
      </c>
      <c r="E141">
        <f t="shared" si="45"/>
        <v>90</v>
      </c>
      <c r="F141">
        <f t="shared" si="46"/>
        <v>17.64</v>
      </c>
      <c r="G141">
        <f t="shared" si="47"/>
        <v>0.28349999999999997</v>
      </c>
      <c r="H141">
        <f t="shared" si="48"/>
        <v>47.628000000000007</v>
      </c>
      <c r="I141">
        <f t="shared" si="49"/>
        <v>529.20000000000005</v>
      </c>
      <c r="J141">
        <f t="shared" si="50"/>
        <v>378</v>
      </c>
      <c r="K141">
        <f t="shared" si="51"/>
        <v>34.020000000000003</v>
      </c>
      <c r="L141">
        <f t="shared" si="52"/>
        <v>3.8409336000000005</v>
      </c>
      <c r="M141">
        <f t="shared" si="53"/>
        <v>3.8896200000000003</v>
      </c>
      <c r="N141">
        <f t="shared" si="54"/>
        <v>2.9455271999999999</v>
      </c>
      <c r="O141">
        <f t="shared" si="55"/>
        <v>2.7112472470588243</v>
      </c>
      <c r="P141">
        <f t="shared" si="56"/>
        <v>1.6933045356371492</v>
      </c>
      <c r="Q141">
        <f t="shared" si="57"/>
        <v>58.800000000000004</v>
      </c>
      <c r="R141">
        <f t="shared" si="58"/>
        <v>252</v>
      </c>
      <c r="S141">
        <f t="shared" si="59"/>
        <v>352.48500000000001</v>
      </c>
      <c r="T141">
        <f t="shared" si="60"/>
        <v>25.514999999999997</v>
      </c>
      <c r="U141">
        <f>I141*E141/'[1]Inverter Analysis'!$L$2</f>
        <v>114.13115013865438</v>
      </c>
      <c r="V141">
        <f t="shared" si="61"/>
        <v>211.64021164021165</v>
      </c>
      <c r="W141">
        <f t="shared" si="62"/>
        <v>226.96001248280066</v>
      </c>
      <c r="X141">
        <f t="shared" si="63"/>
        <v>151.17157974300829</v>
      </c>
      <c r="Y141">
        <f t="shared" si="64"/>
        <v>0.23179881269786864</v>
      </c>
      <c r="Z141">
        <f t="shared" si="65"/>
        <v>3.8050238037656259</v>
      </c>
    </row>
    <row r="142" spans="1:26">
      <c r="A142">
        <v>13</v>
      </c>
      <c r="B142">
        <v>2</v>
      </c>
      <c r="C142" s="1">
        <v>9</v>
      </c>
      <c r="D142">
        <f t="shared" si="44"/>
        <v>320</v>
      </c>
      <c r="E142">
        <f t="shared" si="45"/>
        <v>90</v>
      </c>
      <c r="F142">
        <f t="shared" si="46"/>
        <v>16.38</v>
      </c>
      <c r="G142">
        <f t="shared" si="47"/>
        <v>0.26324999999999998</v>
      </c>
      <c r="H142">
        <f t="shared" si="48"/>
        <v>44.225999999999999</v>
      </c>
      <c r="I142">
        <f t="shared" si="49"/>
        <v>491.40000000000003</v>
      </c>
      <c r="J142">
        <f t="shared" si="50"/>
        <v>351</v>
      </c>
      <c r="K142">
        <f t="shared" si="51"/>
        <v>31.59</v>
      </c>
      <c r="L142">
        <f t="shared" si="52"/>
        <v>3.5665811999999999</v>
      </c>
      <c r="M142">
        <f t="shared" si="53"/>
        <v>3.6117900000000001</v>
      </c>
      <c r="N142">
        <f t="shared" si="54"/>
        <v>2.7351323999999999</v>
      </c>
      <c r="O142">
        <f t="shared" si="55"/>
        <v>2.5175867294117649</v>
      </c>
      <c r="P142">
        <f t="shared" si="56"/>
        <v>1.5723542116630671</v>
      </c>
      <c r="Q142">
        <f t="shared" si="57"/>
        <v>54.6</v>
      </c>
      <c r="R142">
        <f t="shared" si="58"/>
        <v>234</v>
      </c>
      <c r="S142">
        <f t="shared" si="59"/>
        <v>327.3075</v>
      </c>
      <c r="T142">
        <f t="shared" si="60"/>
        <v>23.692499999999999</v>
      </c>
      <c r="U142">
        <f>I142*E142/'[1]Inverter Analysis'!$L$2</f>
        <v>105.97892512875048</v>
      </c>
      <c r="V142">
        <f t="shared" si="61"/>
        <v>227.92022792022792</v>
      </c>
      <c r="W142">
        <f t="shared" si="62"/>
        <v>244.41847498147766</v>
      </c>
      <c r="X142">
        <f t="shared" si="63"/>
        <v>162.80016280016278</v>
      </c>
      <c r="Y142">
        <f t="shared" si="64"/>
        <v>0.2688317591052205</v>
      </c>
      <c r="Z142">
        <f t="shared" si="65"/>
        <v>3.0465150498808589</v>
      </c>
    </row>
    <row r="143" spans="1:26">
      <c r="A143">
        <v>12</v>
      </c>
      <c r="B143">
        <v>2</v>
      </c>
      <c r="C143" s="1">
        <v>9</v>
      </c>
      <c r="D143">
        <f t="shared" si="44"/>
        <v>320</v>
      </c>
      <c r="E143">
        <f t="shared" si="45"/>
        <v>90</v>
      </c>
      <c r="F143">
        <f t="shared" si="46"/>
        <v>15.12</v>
      </c>
      <c r="G143">
        <f t="shared" si="47"/>
        <v>0.24299999999999997</v>
      </c>
      <c r="H143">
        <f t="shared" si="48"/>
        <v>40.823999999999998</v>
      </c>
      <c r="I143">
        <f t="shared" si="49"/>
        <v>453.6</v>
      </c>
      <c r="J143">
        <f t="shared" si="50"/>
        <v>324</v>
      </c>
      <c r="K143">
        <f t="shared" si="51"/>
        <v>29.16</v>
      </c>
      <c r="L143">
        <f t="shared" si="52"/>
        <v>3.2922288000000002</v>
      </c>
      <c r="M143">
        <f t="shared" si="53"/>
        <v>3.3339600000000003</v>
      </c>
      <c r="N143">
        <f t="shared" si="54"/>
        <v>2.5247375999999999</v>
      </c>
      <c r="O143">
        <f t="shared" si="55"/>
        <v>2.3239262117647064</v>
      </c>
      <c r="P143">
        <f t="shared" si="56"/>
        <v>1.451403887688985</v>
      </c>
      <c r="Q143">
        <f t="shared" si="57"/>
        <v>50.400000000000006</v>
      </c>
      <c r="R143">
        <f t="shared" si="58"/>
        <v>216</v>
      </c>
      <c r="S143">
        <f t="shared" si="59"/>
        <v>302.13</v>
      </c>
      <c r="T143">
        <f t="shared" si="60"/>
        <v>21.869999999999997</v>
      </c>
      <c r="U143">
        <f>I143*E143/'[1]Inverter Analysis'!$L$2</f>
        <v>97.826700118846588</v>
      </c>
      <c r="V143">
        <f t="shared" si="61"/>
        <v>246.91358024691357</v>
      </c>
      <c r="W143">
        <f t="shared" si="62"/>
        <v>264.78668122993412</v>
      </c>
      <c r="X143">
        <f t="shared" si="63"/>
        <v>176.3668430335097</v>
      </c>
      <c r="Y143">
        <f t="shared" si="64"/>
        <v>0.31550393950543232</v>
      </c>
      <c r="Z143">
        <f t="shared" si="65"/>
        <v>2.3961665936250003</v>
      </c>
    </row>
    <row r="144" spans="1:26">
      <c r="A144">
        <v>11</v>
      </c>
      <c r="B144">
        <v>2</v>
      </c>
      <c r="C144" s="1">
        <v>9</v>
      </c>
      <c r="D144">
        <f t="shared" si="44"/>
        <v>320</v>
      </c>
      <c r="E144">
        <f t="shared" si="45"/>
        <v>90</v>
      </c>
      <c r="F144">
        <f t="shared" si="46"/>
        <v>13.86</v>
      </c>
      <c r="G144">
        <f t="shared" si="47"/>
        <v>0.22274999999999998</v>
      </c>
      <c r="H144">
        <f t="shared" si="48"/>
        <v>37.421999999999997</v>
      </c>
      <c r="I144">
        <f t="shared" si="49"/>
        <v>415.8</v>
      </c>
      <c r="J144">
        <f t="shared" si="50"/>
        <v>297</v>
      </c>
      <c r="K144">
        <f t="shared" si="51"/>
        <v>26.73</v>
      </c>
      <c r="L144">
        <f t="shared" si="52"/>
        <v>3.0178764</v>
      </c>
      <c r="M144">
        <f t="shared" si="53"/>
        <v>3.05613</v>
      </c>
      <c r="N144">
        <f t="shared" si="54"/>
        <v>2.3143427999999999</v>
      </c>
      <c r="O144">
        <f t="shared" si="55"/>
        <v>2.130265694117647</v>
      </c>
      <c r="P144">
        <f t="shared" si="56"/>
        <v>1.3304535637149029</v>
      </c>
      <c r="Q144">
        <f t="shared" si="57"/>
        <v>46.2</v>
      </c>
      <c r="R144">
        <f t="shared" si="58"/>
        <v>198</v>
      </c>
      <c r="S144">
        <f t="shared" si="59"/>
        <v>276.95249999999999</v>
      </c>
      <c r="T144">
        <f t="shared" si="60"/>
        <v>20.047499999999999</v>
      </c>
      <c r="U144">
        <f>I144*E144/'[1]Inverter Analysis'!$L$2</f>
        <v>89.674475108942715</v>
      </c>
      <c r="V144">
        <f t="shared" si="61"/>
        <v>269.36026936026934</v>
      </c>
      <c r="W144">
        <f t="shared" si="62"/>
        <v>288.85819770538268</v>
      </c>
      <c r="X144">
        <f t="shared" si="63"/>
        <v>192.4001924001924</v>
      </c>
      <c r="Y144">
        <f t="shared" si="64"/>
        <v>0.37547576271720873</v>
      </c>
      <c r="Z144">
        <f t="shared" si="65"/>
        <v>1.8456584121035158</v>
      </c>
    </row>
    <row r="145" spans="1:26">
      <c r="A145">
        <v>10</v>
      </c>
      <c r="B145">
        <v>2</v>
      </c>
      <c r="C145" s="1">
        <v>9</v>
      </c>
      <c r="D145">
        <f t="shared" si="44"/>
        <v>320</v>
      </c>
      <c r="E145">
        <f t="shared" si="45"/>
        <v>90</v>
      </c>
      <c r="F145">
        <f t="shared" si="46"/>
        <v>12.6</v>
      </c>
      <c r="G145">
        <f t="shared" si="47"/>
        <v>0.20249999999999999</v>
      </c>
      <c r="H145">
        <f t="shared" si="48"/>
        <v>34.020000000000003</v>
      </c>
      <c r="I145">
        <f t="shared" si="49"/>
        <v>378</v>
      </c>
      <c r="J145">
        <f t="shared" si="50"/>
        <v>270</v>
      </c>
      <c r="K145">
        <f t="shared" si="51"/>
        <v>24.3</v>
      </c>
      <c r="L145">
        <f t="shared" si="52"/>
        <v>2.7435239999999999</v>
      </c>
      <c r="M145">
        <f t="shared" si="53"/>
        <v>2.7782999999999998</v>
      </c>
      <c r="N145">
        <f t="shared" si="54"/>
        <v>2.1039479999999999</v>
      </c>
      <c r="O145">
        <f t="shared" si="55"/>
        <v>1.9366051764705883</v>
      </c>
      <c r="P145">
        <f t="shared" si="56"/>
        <v>1.2095032397408207</v>
      </c>
      <c r="Q145">
        <f t="shared" si="57"/>
        <v>42</v>
      </c>
      <c r="R145">
        <f t="shared" si="58"/>
        <v>180</v>
      </c>
      <c r="S145">
        <f t="shared" si="59"/>
        <v>251.77500000000001</v>
      </c>
      <c r="T145">
        <f t="shared" si="60"/>
        <v>18.224999999999998</v>
      </c>
      <c r="U145">
        <f>I145*E145/'[1]Inverter Analysis'!$L$2</f>
        <v>81.522250099038828</v>
      </c>
      <c r="V145">
        <f t="shared" si="61"/>
        <v>296.2962962962963</v>
      </c>
      <c r="W145">
        <f t="shared" si="62"/>
        <v>317.74401747592094</v>
      </c>
      <c r="X145">
        <f t="shared" si="63"/>
        <v>211.64021164021165</v>
      </c>
      <c r="Y145">
        <f t="shared" si="64"/>
        <v>0.4543256728878225</v>
      </c>
      <c r="Z145">
        <f t="shared" si="65"/>
        <v>1.3866704824218754</v>
      </c>
    </row>
    <row r="146" spans="1:26">
      <c r="A146" s="8">
        <v>16</v>
      </c>
      <c r="B146" s="1">
        <v>6</v>
      </c>
      <c r="C146" s="1">
        <v>8</v>
      </c>
      <c r="D146">
        <f t="shared" si="44"/>
        <v>960</v>
      </c>
      <c r="E146">
        <f t="shared" si="45"/>
        <v>270</v>
      </c>
      <c r="F146">
        <f t="shared" si="46"/>
        <v>53.76</v>
      </c>
      <c r="G146">
        <f t="shared" si="47"/>
        <v>9.5999999999999988E-2</v>
      </c>
      <c r="H146">
        <f t="shared" si="48"/>
        <v>145.15199999999999</v>
      </c>
      <c r="I146">
        <f t="shared" si="49"/>
        <v>537.6</v>
      </c>
      <c r="J146">
        <f t="shared" si="50"/>
        <v>384</v>
      </c>
      <c r="K146">
        <f t="shared" si="51"/>
        <v>103.68</v>
      </c>
      <c r="L146">
        <f t="shared" si="52"/>
        <v>11.705702400000002</v>
      </c>
      <c r="M146">
        <f t="shared" si="53"/>
        <v>11.85408</v>
      </c>
      <c r="N146">
        <f t="shared" si="54"/>
        <v>8.9768448000000003</v>
      </c>
      <c r="O146">
        <f t="shared" si="55"/>
        <v>8.2628487529411778</v>
      </c>
      <c r="P146">
        <f t="shared" si="56"/>
        <v>5.8056155507559399</v>
      </c>
      <c r="Q146">
        <f t="shared" si="57"/>
        <v>67.2</v>
      </c>
      <c r="R146">
        <f t="shared" si="58"/>
        <v>768</v>
      </c>
      <c r="S146">
        <f t="shared" si="59"/>
        <v>358.08</v>
      </c>
      <c r="T146">
        <f t="shared" si="60"/>
        <v>25.919999999999998</v>
      </c>
      <c r="U146">
        <f>I146*E146/'[1]Inverter Analysis'!$L$2</f>
        <v>347.82826708923233</v>
      </c>
      <c r="V146">
        <f t="shared" si="61"/>
        <v>208.33333333333334</v>
      </c>
      <c r="W146">
        <f t="shared" si="62"/>
        <v>223.41376228775692</v>
      </c>
      <c r="X146">
        <f t="shared" si="63"/>
        <v>148.8095238095238</v>
      </c>
      <c r="Y146">
        <f t="shared" si="64"/>
        <v>0.2246116913080666</v>
      </c>
      <c r="Z146">
        <f t="shared" si="65"/>
        <v>11.967320063999999</v>
      </c>
    </row>
    <row r="147" spans="1:26">
      <c r="A147" s="8">
        <v>15</v>
      </c>
      <c r="B147" s="1">
        <v>6</v>
      </c>
      <c r="C147" s="1">
        <v>8</v>
      </c>
      <c r="D147">
        <f t="shared" si="44"/>
        <v>960</v>
      </c>
      <c r="E147">
        <f t="shared" si="45"/>
        <v>270</v>
      </c>
      <c r="F147">
        <f t="shared" si="46"/>
        <v>50.4</v>
      </c>
      <c r="G147">
        <f t="shared" si="47"/>
        <v>8.9999999999999983E-2</v>
      </c>
      <c r="H147">
        <f t="shared" si="48"/>
        <v>136.08000000000001</v>
      </c>
      <c r="I147">
        <f t="shared" si="49"/>
        <v>504</v>
      </c>
      <c r="J147">
        <f t="shared" si="50"/>
        <v>360</v>
      </c>
      <c r="K147">
        <f t="shared" si="51"/>
        <v>97.2</v>
      </c>
      <c r="L147">
        <f t="shared" si="52"/>
        <v>10.974096000000001</v>
      </c>
      <c r="M147">
        <f t="shared" si="53"/>
        <v>11.113199999999999</v>
      </c>
      <c r="N147">
        <f t="shared" si="54"/>
        <v>8.4157920000000015</v>
      </c>
      <c r="O147">
        <f t="shared" si="55"/>
        <v>7.746420705882354</v>
      </c>
      <c r="P147">
        <f t="shared" si="56"/>
        <v>5.4427645788336934</v>
      </c>
      <c r="Q147">
        <f t="shared" si="57"/>
        <v>63</v>
      </c>
      <c r="R147">
        <f t="shared" si="58"/>
        <v>720</v>
      </c>
      <c r="S147">
        <f t="shared" si="59"/>
        <v>335.7</v>
      </c>
      <c r="T147">
        <f t="shared" si="60"/>
        <v>24.299999999999994</v>
      </c>
      <c r="U147">
        <f>I147*E147/'[1]Inverter Analysis'!$L$2</f>
        <v>326.08900039615531</v>
      </c>
      <c r="V147">
        <f t="shared" si="61"/>
        <v>222.22222222222223</v>
      </c>
      <c r="W147">
        <f t="shared" si="62"/>
        <v>238.30801310694073</v>
      </c>
      <c r="X147">
        <f t="shared" si="63"/>
        <v>158.73015873015873</v>
      </c>
      <c r="Y147">
        <f t="shared" si="64"/>
        <v>0.25555819099940025</v>
      </c>
      <c r="Z147">
        <f t="shared" si="65"/>
        <v>9.8607678749999987</v>
      </c>
    </row>
    <row r="148" spans="1:26">
      <c r="A148">
        <v>14</v>
      </c>
      <c r="B148" s="1">
        <v>6</v>
      </c>
      <c r="C148" s="1">
        <v>8</v>
      </c>
      <c r="D148">
        <f t="shared" si="44"/>
        <v>960</v>
      </c>
      <c r="E148">
        <f t="shared" si="45"/>
        <v>270</v>
      </c>
      <c r="F148">
        <f t="shared" si="46"/>
        <v>47.04</v>
      </c>
      <c r="G148">
        <f t="shared" si="47"/>
        <v>8.3999999999999991E-2</v>
      </c>
      <c r="H148">
        <f t="shared" si="48"/>
        <v>127.00800000000001</v>
      </c>
      <c r="I148">
        <f t="shared" si="49"/>
        <v>470.40000000000003</v>
      </c>
      <c r="J148">
        <f t="shared" si="50"/>
        <v>336</v>
      </c>
      <c r="K148">
        <f t="shared" si="51"/>
        <v>90.72</v>
      </c>
      <c r="L148">
        <f t="shared" si="52"/>
        <v>10.242489600000001</v>
      </c>
      <c r="M148">
        <f t="shared" si="53"/>
        <v>10.37232</v>
      </c>
      <c r="N148">
        <f t="shared" si="54"/>
        <v>7.8547392</v>
      </c>
      <c r="O148">
        <f t="shared" si="55"/>
        <v>7.2299926588235301</v>
      </c>
      <c r="P148">
        <f t="shared" si="56"/>
        <v>5.0799136069114468</v>
      </c>
      <c r="Q148">
        <f t="shared" si="57"/>
        <v>58.800000000000004</v>
      </c>
      <c r="R148">
        <f t="shared" si="58"/>
        <v>672</v>
      </c>
      <c r="S148">
        <f t="shared" si="59"/>
        <v>313.32</v>
      </c>
      <c r="T148">
        <f t="shared" si="60"/>
        <v>22.679999999999996</v>
      </c>
      <c r="U148">
        <f>I148*E148/'[1]Inverter Analysis'!$L$2</f>
        <v>304.3497337030783</v>
      </c>
      <c r="V148">
        <f t="shared" si="61"/>
        <v>238.0952380952381</v>
      </c>
      <c r="W148">
        <f t="shared" si="62"/>
        <v>255.33001404315078</v>
      </c>
      <c r="X148">
        <f t="shared" si="63"/>
        <v>170.06802721088434</v>
      </c>
      <c r="Y148">
        <f t="shared" si="64"/>
        <v>0.29337037232074004</v>
      </c>
      <c r="Z148">
        <f t="shared" si="65"/>
        <v>8.0171694960000011</v>
      </c>
    </row>
    <row r="149" spans="1:26">
      <c r="A149">
        <v>13</v>
      </c>
      <c r="B149" s="1">
        <v>6</v>
      </c>
      <c r="C149" s="1">
        <v>8</v>
      </c>
      <c r="D149">
        <f t="shared" si="44"/>
        <v>960</v>
      </c>
      <c r="E149">
        <f t="shared" si="45"/>
        <v>270</v>
      </c>
      <c r="F149">
        <f t="shared" si="46"/>
        <v>43.68</v>
      </c>
      <c r="G149">
        <f t="shared" si="47"/>
        <v>7.7999999999999986E-2</v>
      </c>
      <c r="H149">
        <f t="shared" si="48"/>
        <v>117.93600000000001</v>
      </c>
      <c r="I149">
        <f t="shared" si="49"/>
        <v>436.8</v>
      </c>
      <c r="J149">
        <f t="shared" si="50"/>
        <v>312</v>
      </c>
      <c r="K149">
        <f t="shared" si="51"/>
        <v>84.24</v>
      </c>
      <c r="L149">
        <f t="shared" si="52"/>
        <v>9.5108832000000003</v>
      </c>
      <c r="M149">
        <f t="shared" si="53"/>
        <v>9.6314400000000013</v>
      </c>
      <c r="N149">
        <f t="shared" si="54"/>
        <v>7.2936863999999995</v>
      </c>
      <c r="O149">
        <f t="shared" si="55"/>
        <v>6.7135646117647063</v>
      </c>
      <c r="P149">
        <f t="shared" si="56"/>
        <v>4.7170626349892011</v>
      </c>
      <c r="Q149">
        <f t="shared" si="57"/>
        <v>54.6</v>
      </c>
      <c r="R149">
        <f t="shared" si="58"/>
        <v>624</v>
      </c>
      <c r="S149">
        <f t="shared" si="59"/>
        <v>290.94</v>
      </c>
      <c r="T149">
        <f t="shared" si="60"/>
        <v>21.059999999999995</v>
      </c>
      <c r="U149">
        <f>I149*E149/'[1]Inverter Analysis'!$L$2</f>
        <v>282.61046701000129</v>
      </c>
      <c r="V149">
        <f t="shared" si="61"/>
        <v>256.41025641025641</v>
      </c>
      <c r="W149">
        <f t="shared" si="62"/>
        <v>274.97078435416239</v>
      </c>
      <c r="X149">
        <f t="shared" si="63"/>
        <v>183.15018315018315</v>
      </c>
      <c r="Y149">
        <f t="shared" si="64"/>
        <v>0.34024019511754472</v>
      </c>
      <c r="Z149">
        <f t="shared" si="65"/>
        <v>6.4189946730000003</v>
      </c>
    </row>
    <row r="150" spans="1:26">
      <c r="A150">
        <v>12</v>
      </c>
      <c r="B150" s="1">
        <v>6</v>
      </c>
      <c r="C150" s="1">
        <v>8</v>
      </c>
      <c r="D150">
        <f t="shared" si="44"/>
        <v>960</v>
      </c>
      <c r="E150">
        <f t="shared" si="45"/>
        <v>270</v>
      </c>
      <c r="F150">
        <f t="shared" si="46"/>
        <v>40.32</v>
      </c>
      <c r="G150">
        <f t="shared" si="47"/>
        <v>7.1999999999999995E-2</v>
      </c>
      <c r="H150">
        <f t="shared" si="48"/>
        <v>108.86400000000002</v>
      </c>
      <c r="I150">
        <f t="shared" si="49"/>
        <v>403.20000000000005</v>
      </c>
      <c r="J150">
        <f t="shared" si="50"/>
        <v>288</v>
      </c>
      <c r="K150">
        <f t="shared" si="51"/>
        <v>77.760000000000005</v>
      </c>
      <c r="L150">
        <f t="shared" si="52"/>
        <v>8.7792768000000017</v>
      </c>
      <c r="M150">
        <f t="shared" si="53"/>
        <v>8.8905599999999989</v>
      </c>
      <c r="N150">
        <f t="shared" si="54"/>
        <v>6.7326336000000007</v>
      </c>
      <c r="O150">
        <f t="shared" si="55"/>
        <v>6.1971365647058843</v>
      </c>
      <c r="P150">
        <f t="shared" si="56"/>
        <v>4.3542116630669554</v>
      </c>
      <c r="Q150">
        <f t="shared" si="57"/>
        <v>50.400000000000006</v>
      </c>
      <c r="R150">
        <f t="shared" si="58"/>
        <v>576</v>
      </c>
      <c r="S150">
        <f t="shared" si="59"/>
        <v>268.56</v>
      </c>
      <c r="T150">
        <f t="shared" si="60"/>
        <v>19.439999999999998</v>
      </c>
      <c r="U150">
        <f>I150*E150/'[1]Inverter Analysis'!$L$2</f>
        <v>260.87120031692427</v>
      </c>
      <c r="V150">
        <f t="shared" si="61"/>
        <v>277.77777777777777</v>
      </c>
      <c r="W150">
        <f t="shared" si="62"/>
        <v>297.88501638367592</v>
      </c>
      <c r="X150">
        <f t="shared" si="63"/>
        <v>198.4126984126984</v>
      </c>
      <c r="Y150">
        <f t="shared" si="64"/>
        <v>0.39930967343656287</v>
      </c>
      <c r="Z150">
        <f t="shared" si="65"/>
        <v>5.0487131519999995</v>
      </c>
    </row>
    <row r="151" spans="1:26">
      <c r="A151">
        <v>11</v>
      </c>
      <c r="B151" s="1">
        <v>6</v>
      </c>
      <c r="C151" s="1">
        <v>8</v>
      </c>
      <c r="D151">
        <f t="shared" si="44"/>
        <v>960</v>
      </c>
      <c r="E151">
        <f t="shared" si="45"/>
        <v>270</v>
      </c>
      <c r="F151">
        <f t="shared" si="46"/>
        <v>36.96</v>
      </c>
      <c r="G151">
        <f t="shared" si="47"/>
        <v>6.5999999999999989E-2</v>
      </c>
      <c r="H151">
        <f t="shared" si="48"/>
        <v>99.792000000000002</v>
      </c>
      <c r="I151">
        <f t="shared" si="49"/>
        <v>369.6</v>
      </c>
      <c r="J151">
        <f t="shared" si="50"/>
        <v>264</v>
      </c>
      <c r="K151">
        <f t="shared" si="51"/>
        <v>71.28</v>
      </c>
      <c r="L151">
        <f t="shared" si="52"/>
        <v>8.0476704000000012</v>
      </c>
      <c r="M151">
        <f t="shared" si="53"/>
        <v>8.14968</v>
      </c>
      <c r="N151">
        <f t="shared" si="54"/>
        <v>6.1715808000000001</v>
      </c>
      <c r="O151">
        <f t="shared" si="55"/>
        <v>5.6807085176470604</v>
      </c>
      <c r="P151">
        <f t="shared" si="56"/>
        <v>3.9913606911447088</v>
      </c>
      <c r="Q151">
        <f t="shared" si="57"/>
        <v>46.2</v>
      </c>
      <c r="R151">
        <f t="shared" si="58"/>
        <v>528</v>
      </c>
      <c r="S151">
        <f t="shared" si="59"/>
        <v>246.18</v>
      </c>
      <c r="T151">
        <f t="shared" si="60"/>
        <v>17.819999999999997</v>
      </c>
      <c r="U151">
        <f>I151*E151/'[1]Inverter Analysis'!$L$2</f>
        <v>239.13193362384723</v>
      </c>
      <c r="V151">
        <f t="shared" si="61"/>
        <v>303.030303030303</v>
      </c>
      <c r="W151">
        <f t="shared" si="62"/>
        <v>324.96547241855552</v>
      </c>
      <c r="X151">
        <f t="shared" si="63"/>
        <v>216.45021645021643</v>
      </c>
      <c r="Y151">
        <f t="shared" si="64"/>
        <v>0.47521151218896734</v>
      </c>
      <c r="Z151">
        <f t="shared" si="65"/>
        <v>3.8887946790000005</v>
      </c>
    </row>
    <row r="152" spans="1:26">
      <c r="A152">
        <v>10</v>
      </c>
      <c r="B152" s="1">
        <v>6</v>
      </c>
      <c r="C152" s="1">
        <v>8</v>
      </c>
      <c r="D152">
        <f t="shared" si="44"/>
        <v>960</v>
      </c>
      <c r="E152">
        <f t="shared" si="45"/>
        <v>270</v>
      </c>
      <c r="F152">
        <f t="shared" si="46"/>
        <v>33.6</v>
      </c>
      <c r="G152">
        <f t="shared" si="47"/>
        <v>5.9999999999999991E-2</v>
      </c>
      <c r="H152">
        <f t="shared" si="48"/>
        <v>90.72</v>
      </c>
      <c r="I152">
        <f t="shared" si="49"/>
        <v>336</v>
      </c>
      <c r="J152">
        <f t="shared" si="50"/>
        <v>240</v>
      </c>
      <c r="K152">
        <f t="shared" si="51"/>
        <v>64.8</v>
      </c>
      <c r="L152">
        <f t="shared" si="52"/>
        <v>7.3160639999999999</v>
      </c>
      <c r="M152">
        <f t="shared" si="53"/>
        <v>7.4087999999999994</v>
      </c>
      <c r="N152">
        <f t="shared" si="54"/>
        <v>5.6105280000000004</v>
      </c>
      <c r="O152">
        <f t="shared" si="55"/>
        <v>5.1642804705882357</v>
      </c>
      <c r="P152">
        <f t="shared" si="56"/>
        <v>3.6285097192224622</v>
      </c>
      <c r="Q152">
        <f t="shared" si="57"/>
        <v>42</v>
      </c>
      <c r="R152">
        <f t="shared" si="58"/>
        <v>480</v>
      </c>
      <c r="S152">
        <f t="shared" si="59"/>
        <v>223.8</v>
      </c>
      <c r="T152">
        <f t="shared" si="60"/>
        <v>16.2</v>
      </c>
      <c r="U152">
        <f>I152*E152/'[1]Inverter Analysis'!$L$2</f>
        <v>217.39266693077019</v>
      </c>
      <c r="V152">
        <f t="shared" si="61"/>
        <v>333.33333333333331</v>
      </c>
      <c r="W152">
        <f t="shared" si="62"/>
        <v>357.46201966041104</v>
      </c>
      <c r="X152">
        <f t="shared" si="63"/>
        <v>238.0952380952381</v>
      </c>
      <c r="Y152">
        <f t="shared" si="64"/>
        <v>0.57500592974865039</v>
      </c>
      <c r="Z152">
        <f t="shared" si="65"/>
        <v>2.9217090000000008</v>
      </c>
    </row>
    <row r="153" spans="1:26">
      <c r="A153" s="8">
        <v>16</v>
      </c>
      <c r="B153" s="9">
        <v>5</v>
      </c>
      <c r="C153" s="1">
        <v>8</v>
      </c>
      <c r="D153">
        <f t="shared" si="44"/>
        <v>800</v>
      </c>
      <c r="E153">
        <f t="shared" si="45"/>
        <v>225</v>
      </c>
      <c r="F153">
        <f t="shared" si="46"/>
        <v>44.8</v>
      </c>
      <c r="G153">
        <f t="shared" si="47"/>
        <v>0.1152</v>
      </c>
      <c r="H153">
        <f t="shared" si="48"/>
        <v>120.96</v>
      </c>
      <c r="I153">
        <f t="shared" si="49"/>
        <v>537.6</v>
      </c>
      <c r="J153">
        <f t="shared" si="50"/>
        <v>384</v>
      </c>
      <c r="K153">
        <f t="shared" si="51"/>
        <v>86.4</v>
      </c>
      <c r="L153">
        <f t="shared" si="52"/>
        <v>9.7547519999999999</v>
      </c>
      <c r="M153">
        <f t="shared" si="53"/>
        <v>9.8783999999999992</v>
      </c>
      <c r="N153">
        <f t="shared" si="54"/>
        <v>7.4807040000000002</v>
      </c>
      <c r="O153">
        <f t="shared" si="55"/>
        <v>6.8857072941176476</v>
      </c>
      <c r="P153">
        <f t="shared" si="56"/>
        <v>4.838012958963283</v>
      </c>
      <c r="Q153">
        <f t="shared" si="57"/>
        <v>67.2</v>
      </c>
      <c r="R153">
        <f t="shared" si="58"/>
        <v>640</v>
      </c>
      <c r="S153">
        <f t="shared" si="59"/>
        <v>358.08</v>
      </c>
      <c r="T153">
        <f t="shared" si="60"/>
        <v>25.919999999999998</v>
      </c>
      <c r="U153">
        <f>I153*E153/'[1]Inverter Analysis'!$L$2</f>
        <v>289.85688924102692</v>
      </c>
      <c r="V153">
        <f t="shared" si="61"/>
        <v>208.33333333333334</v>
      </c>
      <c r="W153">
        <f t="shared" si="62"/>
        <v>223.41376228775692</v>
      </c>
      <c r="X153">
        <f t="shared" si="63"/>
        <v>148.8095238095238</v>
      </c>
      <c r="Y153">
        <f t="shared" si="64"/>
        <v>0.2246116913080666</v>
      </c>
      <c r="Z153">
        <f t="shared" si="65"/>
        <v>9.972766720000001</v>
      </c>
    </row>
    <row r="154" spans="1:26">
      <c r="A154" s="8">
        <v>15</v>
      </c>
      <c r="B154" s="9">
        <v>5</v>
      </c>
      <c r="C154" s="1">
        <v>8</v>
      </c>
      <c r="D154">
        <f t="shared" si="44"/>
        <v>800</v>
      </c>
      <c r="E154">
        <f t="shared" si="45"/>
        <v>225</v>
      </c>
      <c r="F154">
        <f t="shared" si="46"/>
        <v>42</v>
      </c>
      <c r="G154">
        <f t="shared" si="47"/>
        <v>0.108</v>
      </c>
      <c r="H154">
        <f t="shared" si="48"/>
        <v>113.4</v>
      </c>
      <c r="I154">
        <f t="shared" si="49"/>
        <v>504</v>
      </c>
      <c r="J154">
        <f t="shared" si="50"/>
        <v>360</v>
      </c>
      <c r="K154">
        <f t="shared" si="51"/>
        <v>81</v>
      </c>
      <c r="L154">
        <f t="shared" si="52"/>
        <v>9.1450800000000001</v>
      </c>
      <c r="M154">
        <f t="shared" si="53"/>
        <v>9.2609999999999992</v>
      </c>
      <c r="N154">
        <f t="shared" si="54"/>
        <v>7.0131600000000001</v>
      </c>
      <c r="O154">
        <f t="shared" si="55"/>
        <v>6.4553505882352944</v>
      </c>
      <c r="P154">
        <f t="shared" si="56"/>
        <v>4.5356371490280774</v>
      </c>
      <c r="Q154">
        <f t="shared" si="57"/>
        <v>63</v>
      </c>
      <c r="R154">
        <f t="shared" si="58"/>
        <v>600</v>
      </c>
      <c r="S154">
        <f t="shared" si="59"/>
        <v>335.7</v>
      </c>
      <c r="T154">
        <f t="shared" si="60"/>
        <v>24.3</v>
      </c>
      <c r="U154">
        <f>I154*E154/'[1]Inverter Analysis'!$L$2</f>
        <v>271.74083366346275</v>
      </c>
      <c r="V154">
        <f t="shared" si="61"/>
        <v>222.22222222222223</v>
      </c>
      <c r="W154">
        <f t="shared" si="62"/>
        <v>238.30801310694073</v>
      </c>
      <c r="X154">
        <f t="shared" si="63"/>
        <v>158.73015873015873</v>
      </c>
      <c r="Y154">
        <f t="shared" si="64"/>
        <v>0.25555819099940025</v>
      </c>
      <c r="Z154">
        <f t="shared" si="65"/>
        <v>8.2173065624999992</v>
      </c>
    </row>
    <row r="155" spans="1:26">
      <c r="A155">
        <v>14</v>
      </c>
      <c r="B155" s="9">
        <v>5</v>
      </c>
      <c r="C155" s="1">
        <v>8</v>
      </c>
      <c r="D155">
        <f t="shared" si="44"/>
        <v>800</v>
      </c>
      <c r="E155">
        <f t="shared" si="45"/>
        <v>225</v>
      </c>
      <c r="F155">
        <f t="shared" si="46"/>
        <v>39.200000000000003</v>
      </c>
      <c r="G155">
        <f t="shared" si="47"/>
        <v>0.1008</v>
      </c>
      <c r="H155">
        <f t="shared" si="48"/>
        <v>105.84000000000002</v>
      </c>
      <c r="I155">
        <f t="shared" si="49"/>
        <v>470.40000000000003</v>
      </c>
      <c r="J155">
        <f t="shared" si="50"/>
        <v>336</v>
      </c>
      <c r="K155">
        <f t="shared" si="51"/>
        <v>75.599999999999994</v>
      </c>
      <c r="L155">
        <f t="shared" si="52"/>
        <v>8.5354080000000021</v>
      </c>
      <c r="M155">
        <f t="shared" si="53"/>
        <v>8.6436000000000011</v>
      </c>
      <c r="N155">
        <f t="shared" si="54"/>
        <v>6.5456159999999999</v>
      </c>
      <c r="O155">
        <f t="shared" si="55"/>
        <v>6.024993882352943</v>
      </c>
      <c r="P155">
        <f t="shared" si="56"/>
        <v>4.2332613390928726</v>
      </c>
      <c r="Q155">
        <f t="shared" si="57"/>
        <v>58.800000000000004</v>
      </c>
      <c r="R155">
        <f t="shared" si="58"/>
        <v>560</v>
      </c>
      <c r="S155">
        <f t="shared" si="59"/>
        <v>313.32</v>
      </c>
      <c r="T155">
        <f t="shared" si="60"/>
        <v>22.68</v>
      </c>
      <c r="U155">
        <f>I155*E155/'[1]Inverter Analysis'!$L$2</f>
        <v>253.62477808589861</v>
      </c>
      <c r="V155">
        <f t="shared" si="61"/>
        <v>238.0952380952381</v>
      </c>
      <c r="W155">
        <f t="shared" si="62"/>
        <v>255.33001404315078</v>
      </c>
      <c r="X155">
        <f t="shared" si="63"/>
        <v>170.06802721088434</v>
      </c>
      <c r="Y155">
        <f t="shared" si="64"/>
        <v>0.29337037232074004</v>
      </c>
      <c r="Z155">
        <f t="shared" si="65"/>
        <v>6.6809745800000009</v>
      </c>
    </row>
    <row r="156" spans="1:26">
      <c r="A156">
        <v>13</v>
      </c>
      <c r="B156" s="9">
        <v>5</v>
      </c>
      <c r="C156" s="1">
        <v>8</v>
      </c>
      <c r="D156">
        <f t="shared" si="44"/>
        <v>800</v>
      </c>
      <c r="E156">
        <f t="shared" si="45"/>
        <v>225</v>
      </c>
      <c r="F156">
        <f t="shared" si="46"/>
        <v>36.4</v>
      </c>
      <c r="G156">
        <f t="shared" si="47"/>
        <v>9.3600000000000003E-2</v>
      </c>
      <c r="H156">
        <f t="shared" si="48"/>
        <v>98.28</v>
      </c>
      <c r="I156">
        <f t="shared" si="49"/>
        <v>436.8</v>
      </c>
      <c r="J156">
        <f t="shared" si="50"/>
        <v>312</v>
      </c>
      <c r="K156">
        <f t="shared" si="51"/>
        <v>70.2</v>
      </c>
      <c r="L156">
        <f t="shared" si="52"/>
        <v>7.9257360000000006</v>
      </c>
      <c r="M156">
        <f t="shared" si="53"/>
        <v>8.0261999999999993</v>
      </c>
      <c r="N156">
        <f t="shared" si="54"/>
        <v>6.0780719999999997</v>
      </c>
      <c r="O156">
        <f t="shared" si="55"/>
        <v>5.5946371764705889</v>
      </c>
      <c r="P156">
        <f t="shared" si="56"/>
        <v>3.9308855291576674</v>
      </c>
      <c r="Q156">
        <f t="shared" si="57"/>
        <v>54.6</v>
      </c>
      <c r="R156">
        <f t="shared" si="58"/>
        <v>520</v>
      </c>
      <c r="S156">
        <f t="shared" si="59"/>
        <v>290.94</v>
      </c>
      <c r="T156">
        <f t="shared" si="60"/>
        <v>21.060000000000002</v>
      </c>
      <c r="U156">
        <f>I156*E156/'[1]Inverter Analysis'!$L$2</f>
        <v>235.50872250833439</v>
      </c>
      <c r="V156">
        <f t="shared" si="61"/>
        <v>256.41025641025641</v>
      </c>
      <c r="W156">
        <f t="shared" si="62"/>
        <v>274.97078435416239</v>
      </c>
      <c r="X156">
        <f t="shared" si="63"/>
        <v>183.15018315018315</v>
      </c>
      <c r="Y156">
        <f t="shared" si="64"/>
        <v>0.34024019511754472</v>
      </c>
      <c r="Z156">
        <f t="shared" si="65"/>
        <v>5.349162227499999</v>
      </c>
    </row>
    <row r="157" spans="1:26">
      <c r="A157">
        <v>12</v>
      </c>
      <c r="B157" s="9">
        <v>5</v>
      </c>
      <c r="C157" s="1">
        <v>8</v>
      </c>
      <c r="D157">
        <f t="shared" si="44"/>
        <v>800</v>
      </c>
      <c r="E157">
        <f t="shared" si="45"/>
        <v>225</v>
      </c>
      <c r="F157">
        <f t="shared" si="46"/>
        <v>33.6</v>
      </c>
      <c r="G157">
        <f t="shared" si="47"/>
        <v>8.6400000000000005E-2</v>
      </c>
      <c r="H157">
        <f t="shared" si="48"/>
        <v>90.720000000000013</v>
      </c>
      <c r="I157">
        <f t="shared" si="49"/>
        <v>403.20000000000005</v>
      </c>
      <c r="J157">
        <f t="shared" si="50"/>
        <v>288</v>
      </c>
      <c r="K157">
        <f t="shared" si="51"/>
        <v>64.8</v>
      </c>
      <c r="L157">
        <f t="shared" si="52"/>
        <v>7.3160640000000008</v>
      </c>
      <c r="M157">
        <f t="shared" si="53"/>
        <v>7.4088000000000003</v>
      </c>
      <c r="N157">
        <f t="shared" si="54"/>
        <v>5.6105280000000004</v>
      </c>
      <c r="O157">
        <f t="shared" si="55"/>
        <v>5.1642804705882366</v>
      </c>
      <c r="P157">
        <f t="shared" si="56"/>
        <v>3.6285097192224627</v>
      </c>
      <c r="Q157">
        <f t="shared" si="57"/>
        <v>50.400000000000006</v>
      </c>
      <c r="R157">
        <f t="shared" si="58"/>
        <v>480</v>
      </c>
      <c r="S157">
        <f t="shared" si="59"/>
        <v>268.56</v>
      </c>
      <c r="T157">
        <f t="shared" si="60"/>
        <v>19.440000000000001</v>
      </c>
      <c r="U157">
        <f>I157*E157/'[1]Inverter Analysis'!$L$2</f>
        <v>217.39266693077025</v>
      </c>
      <c r="V157">
        <f t="shared" si="61"/>
        <v>277.77777777777777</v>
      </c>
      <c r="W157">
        <f t="shared" si="62"/>
        <v>297.88501638367592</v>
      </c>
      <c r="X157">
        <f t="shared" si="63"/>
        <v>198.4126984126984</v>
      </c>
      <c r="Y157">
        <f t="shared" si="64"/>
        <v>0.39930967343656287</v>
      </c>
      <c r="Z157">
        <f t="shared" si="65"/>
        <v>4.2072609600000002</v>
      </c>
    </row>
    <row r="158" spans="1:26">
      <c r="A158">
        <v>11</v>
      </c>
      <c r="B158" s="9">
        <v>5</v>
      </c>
      <c r="C158" s="1">
        <v>8</v>
      </c>
      <c r="D158">
        <f t="shared" si="44"/>
        <v>800</v>
      </c>
      <c r="E158">
        <f t="shared" si="45"/>
        <v>225</v>
      </c>
      <c r="F158">
        <f t="shared" si="46"/>
        <v>30.8</v>
      </c>
      <c r="G158">
        <f t="shared" si="47"/>
        <v>7.9199999999999993E-2</v>
      </c>
      <c r="H158">
        <f t="shared" si="48"/>
        <v>83.16</v>
      </c>
      <c r="I158">
        <f t="shared" si="49"/>
        <v>369.6</v>
      </c>
      <c r="J158">
        <f t="shared" si="50"/>
        <v>264</v>
      </c>
      <c r="K158">
        <f t="shared" si="51"/>
        <v>59.4</v>
      </c>
      <c r="L158">
        <f t="shared" si="52"/>
        <v>6.706392000000001</v>
      </c>
      <c r="M158">
        <f t="shared" si="53"/>
        <v>6.7913999999999994</v>
      </c>
      <c r="N158">
        <f t="shared" si="54"/>
        <v>5.1429840000000002</v>
      </c>
      <c r="O158">
        <f t="shared" si="55"/>
        <v>4.7339237647058834</v>
      </c>
      <c r="P158">
        <f t="shared" si="56"/>
        <v>3.3261339092872571</v>
      </c>
      <c r="Q158">
        <f t="shared" si="57"/>
        <v>46.2</v>
      </c>
      <c r="R158">
        <f t="shared" si="58"/>
        <v>440</v>
      </c>
      <c r="S158">
        <f t="shared" si="59"/>
        <v>246.18</v>
      </c>
      <c r="T158">
        <f t="shared" si="60"/>
        <v>17.819999999999997</v>
      </c>
      <c r="U158">
        <f>I158*E158/'[1]Inverter Analysis'!$L$2</f>
        <v>199.27661135320602</v>
      </c>
      <c r="V158">
        <f t="shared" si="61"/>
        <v>303.030303030303</v>
      </c>
      <c r="W158">
        <f t="shared" si="62"/>
        <v>324.96547241855552</v>
      </c>
      <c r="X158">
        <f t="shared" si="63"/>
        <v>216.45021645021643</v>
      </c>
      <c r="Y158">
        <f t="shared" si="64"/>
        <v>0.47521151218896734</v>
      </c>
      <c r="Z158">
        <f t="shared" si="65"/>
        <v>3.2406622325000001</v>
      </c>
    </row>
    <row r="159" spans="1:26">
      <c r="A159">
        <v>10</v>
      </c>
      <c r="B159" s="9">
        <v>5</v>
      </c>
      <c r="C159" s="1">
        <v>8</v>
      </c>
      <c r="D159">
        <f t="shared" si="44"/>
        <v>800</v>
      </c>
      <c r="E159">
        <f t="shared" si="45"/>
        <v>225</v>
      </c>
      <c r="F159">
        <f t="shared" si="46"/>
        <v>28</v>
      </c>
      <c r="G159">
        <f t="shared" si="47"/>
        <v>7.1999999999999995E-2</v>
      </c>
      <c r="H159">
        <f t="shared" si="48"/>
        <v>75.599999999999994</v>
      </c>
      <c r="I159">
        <f t="shared" si="49"/>
        <v>336</v>
      </c>
      <c r="J159">
        <f t="shared" si="50"/>
        <v>240</v>
      </c>
      <c r="K159">
        <f t="shared" si="51"/>
        <v>54</v>
      </c>
      <c r="L159">
        <f t="shared" si="52"/>
        <v>6.0967200000000004</v>
      </c>
      <c r="M159">
        <f t="shared" si="53"/>
        <v>6.1740000000000004</v>
      </c>
      <c r="N159">
        <f t="shared" si="54"/>
        <v>4.67544</v>
      </c>
      <c r="O159">
        <f t="shared" si="55"/>
        <v>4.3035670588235302</v>
      </c>
      <c r="P159">
        <f t="shared" si="56"/>
        <v>3.0237580993520519</v>
      </c>
      <c r="Q159">
        <f t="shared" si="57"/>
        <v>42</v>
      </c>
      <c r="R159">
        <f t="shared" si="58"/>
        <v>400</v>
      </c>
      <c r="S159">
        <f t="shared" si="59"/>
        <v>223.8</v>
      </c>
      <c r="T159">
        <f t="shared" si="60"/>
        <v>16.2</v>
      </c>
      <c r="U159">
        <f>I159*E159/'[1]Inverter Analysis'!$L$2</f>
        <v>181.16055577564182</v>
      </c>
      <c r="V159">
        <f t="shared" si="61"/>
        <v>333.33333333333331</v>
      </c>
      <c r="W159">
        <f t="shared" si="62"/>
        <v>357.46201966041104</v>
      </c>
      <c r="X159">
        <f t="shared" si="63"/>
        <v>238.0952380952381</v>
      </c>
      <c r="Y159">
        <f t="shared" si="64"/>
        <v>0.57500592974865039</v>
      </c>
      <c r="Z159">
        <f t="shared" si="65"/>
        <v>2.4347575000000008</v>
      </c>
    </row>
    <row r="160" spans="1:26">
      <c r="A160">
        <v>16</v>
      </c>
      <c r="B160">
        <v>4</v>
      </c>
      <c r="C160" s="1">
        <v>8</v>
      </c>
      <c r="D160">
        <f t="shared" si="44"/>
        <v>640</v>
      </c>
      <c r="E160">
        <f t="shared" si="45"/>
        <v>180</v>
      </c>
      <c r="F160">
        <f t="shared" si="46"/>
        <v>35.840000000000003</v>
      </c>
      <c r="G160">
        <f t="shared" si="47"/>
        <v>0.14399999999999999</v>
      </c>
      <c r="H160">
        <f t="shared" si="48"/>
        <v>96.768000000000001</v>
      </c>
      <c r="I160">
        <f t="shared" si="49"/>
        <v>537.6</v>
      </c>
      <c r="J160">
        <f t="shared" si="50"/>
        <v>384</v>
      </c>
      <c r="K160">
        <f t="shared" si="51"/>
        <v>69.12</v>
      </c>
      <c r="L160">
        <f t="shared" si="52"/>
        <v>7.8038016000000008</v>
      </c>
      <c r="M160">
        <f t="shared" si="53"/>
        <v>7.9027200000000004</v>
      </c>
      <c r="N160">
        <f t="shared" si="54"/>
        <v>5.9845632000000002</v>
      </c>
      <c r="O160">
        <f t="shared" si="55"/>
        <v>5.5085658352941183</v>
      </c>
      <c r="P160">
        <f t="shared" si="56"/>
        <v>3.8704103671706265</v>
      </c>
      <c r="Q160">
        <f t="shared" si="57"/>
        <v>67.2</v>
      </c>
      <c r="R160">
        <f t="shared" si="58"/>
        <v>512</v>
      </c>
      <c r="S160">
        <f t="shared" si="59"/>
        <v>358.08</v>
      </c>
      <c r="T160">
        <f t="shared" si="60"/>
        <v>25.919999999999998</v>
      </c>
      <c r="U160">
        <f>I160*E160/'[1]Inverter Analysis'!$L$2</f>
        <v>231.88551139282154</v>
      </c>
      <c r="V160">
        <f t="shared" si="61"/>
        <v>208.33333333333334</v>
      </c>
      <c r="W160">
        <f t="shared" si="62"/>
        <v>223.41376228775692</v>
      </c>
      <c r="X160">
        <f t="shared" si="63"/>
        <v>148.8095238095238</v>
      </c>
      <c r="Y160">
        <f t="shared" si="64"/>
        <v>0.2246116913080666</v>
      </c>
      <c r="Z160">
        <f t="shared" si="65"/>
        <v>7.9782133760000011</v>
      </c>
    </row>
    <row r="161" spans="1:26">
      <c r="A161">
        <v>15</v>
      </c>
      <c r="B161">
        <v>4</v>
      </c>
      <c r="C161" s="1">
        <v>8</v>
      </c>
      <c r="D161">
        <f t="shared" si="44"/>
        <v>640</v>
      </c>
      <c r="E161">
        <f t="shared" si="45"/>
        <v>180</v>
      </c>
      <c r="F161">
        <f t="shared" si="46"/>
        <v>33.6</v>
      </c>
      <c r="G161">
        <f t="shared" si="47"/>
        <v>0.13499999999999998</v>
      </c>
      <c r="H161">
        <f t="shared" si="48"/>
        <v>90.72</v>
      </c>
      <c r="I161">
        <f t="shared" si="49"/>
        <v>504</v>
      </c>
      <c r="J161">
        <f t="shared" si="50"/>
        <v>360</v>
      </c>
      <c r="K161">
        <f t="shared" si="51"/>
        <v>64.8</v>
      </c>
      <c r="L161">
        <f t="shared" si="52"/>
        <v>7.3160639999999999</v>
      </c>
      <c r="M161">
        <f t="shared" si="53"/>
        <v>7.4087999999999994</v>
      </c>
      <c r="N161">
        <f t="shared" si="54"/>
        <v>5.6105280000000004</v>
      </c>
      <c r="O161">
        <f t="shared" si="55"/>
        <v>5.1642804705882357</v>
      </c>
      <c r="P161">
        <f t="shared" si="56"/>
        <v>3.6285097192224622</v>
      </c>
      <c r="Q161">
        <f t="shared" si="57"/>
        <v>63</v>
      </c>
      <c r="R161">
        <f t="shared" si="58"/>
        <v>480</v>
      </c>
      <c r="S161">
        <f t="shared" si="59"/>
        <v>335.7</v>
      </c>
      <c r="T161">
        <f t="shared" si="60"/>
        <v>24.299999999999997</v>
      </c>
      <c r="U161">
        <f>I161*E161/'[1]Inverter Analysis'!$L$2</f>
        <v>217.39266693077019</v>
      </c>
      <c r="V161">
        <f t="shared" si="61"/>
        <v>222.22222222222223</v>
      </c>
      <c r="W161">
        <f t="shared" si="62"/>
        <v>238.30801310694073</v>
      </c>
      <c r="X161">
        <f t="shared" si="63"/>
        <v>158.73015873015873</v>
      </c>
      <c r="Y161">
        <f t="shared" si="64"/>
        <v>0.25555819099940025</v>
      </c>
      <c r="Z161">
        <f t="shared" si="65"/>
        <v>6.5738452499999998</v>
      </c>
    </row>
    <row r="162" spans="1:26">
      <c r="A162">
        <v>14</v>
      </c>
      <c r="B162">
        <v>4</v>
      </c>
      <c r="C162" s="1">
        <v>8</v>
      </c>
      <c r="D162">
        <f t="shared" si="44"/>
        <v>640</v>
      </c>
      <c r="E162">
        <f t="shared" si="45"/>
        <v>180</v>
      </c>
      <c r="F162">
        <f t="shared" si="46"/>
        <v>31.36</v>
      </c>
      <c r="G162">
        <f t="shared" si="47"/>
        <v>0.126</v>
      </c>
      <c r="H162">
        <f t="shared" si="48"/>
        <v>84.671999999999997</v>
      </c>
      <c r="I162">
        <f t="shared" si="49"/>
        <v>470.40000000000003</v>
      </c>
      <c r="J162">
        <f t="shared" si="50"/>
        <v>336</v>
      </c>
      <c r="K162">
        <f t="shared" si="51"/>
        <v>60.48</v>
      </c>
      <c r="L162">
        <f t="shared" si="52"/>
        <v>6.8283264000000008</v>
      </c>
      <c r="M162">
        <f t="shared" si="53"/>
        <v>6.9148800000000001</v>
      </c>
      <c r="N162">
        <f t="shared" si="54"/>
        <v>5.2364927999999997</v>
      </c>
      <c r="O162">
        <f t="shared" si="55"/>
        <v>4.819995105882354</v>
      </c>
      <c r="P162">
        <f t="shared" si="56"/>
        <v>3.386609071274298</v>
      </c>
      <c r="Q162">
        <f t="shared" si="57"/>
        <v>58.800000000000004</v>
      </c>
      <c r="R162">
        <f t="shared" si="58"/>
        <v>448</v>
      </c>
      <c r="S162">
        <f t="shared" si="59"/>
        <v>313.32</v>
      </c>
      <c r="T162">
        <f t="shared" si="60"/>
        <v>22.68</v>
      </c>
      <c r="U162">
        <f>I162*E162/'[1]Inverter Analysis'!$L$2</f>
        <v>202.89982246871887</v>
      </c>
      <c r="V162">
        <f t="shared" si="61"/>
        <v>238.0952380952381</v>
      </c>
      <c r="W162">
        <f t="shared" si="62"/>
        <v>255.33001404315078</v>
      </c>
      <c r="X162">
        <f t="shared" si="63"/>
        <v>170.06802721088434</v>
      </c>
      <c r="Y162">
        <f t="shared" si="64"/>
        <v>0.29337037232074004</v>
      </c>
      <c r="Z162">
        <f t="shared" si="65"/>
        <v>5.3447796640000007</v>
      </c>
    </row>
    <row r="163" spans="1:26">
      <c r="A163">
        <v>13</v>
      </c>
      <c r="B163">
        <v>4</v>
      </c>
      <c r="C163" s="1">
        <v>8</v>
      </c>
      <c r="D163">
        <f t="shared" si="44"/>
        <v>640</v>
      </c>
      <c r="E163">
        <f t="shared" si="45"/>
        <v>180</v>
      </c>
      <c r="F163">
        <f t="shared" si="46"/>
        <v>29.12</v>
      </c>
      <c r="G163">
        <f t="shared" si="47"/>
        <v>0.11699999999999999</v>
      </c>
      <c r="H163">
        <f t="shared" si="48"/>
        <v>78.623999999999995</v>
      </c>
      <c r="I163">
        <f t="shared" si="49"/>
        <v>436.8</v>
      </c>
      <c r="J163">
        <f t="shared" si="50"/>
        <v>312</v>
      </c>
      <c r="K163">
        <f t="shared" si="51"/>
        <v>56.16</v>
      </c>
      <c r="L163">
        <f t="shared" si="52"/>
        <v>6.3405888000000008</v>
      </c>
      <c r="M163">
        <f t="shared" si="53"/>
        <v>6.42096</v>
      </c>
      <c r="N163">
        <f t="shared" si="54"/>
        <v>4.8624575999999999</v>
      </c>
      <c r="O163">
        <f t="shared" si="55"/>
        <v>4.4757097411764715</v>
      </c>
      <c r="P163">
        <f t="shared" si="56"/>
        <v>3.1447084233261338</v>
      </c>
      <c r="Q163">
        <f t="shared" si="57"/>
        <v>54.6</v>
      </c>
      <c r="R163">
        <f t="shared" si="58"/>
        <v>416</v>
      </c>
      <c r="S163">
        <f t="shared" si="59"/>
        <v>290.94</v>
      </c>
      <c r="T163">
        <f t="shared" si="60"/>
        <v>21.06</v>
      </c>
      <c r="U163">
        <f>I163*E163/'[1]Inverter Analysis'!$L$2</f>
        <v>188.40697800666752</v>
      </c>
      <c r="V163">
        <f t="shared" si="61"/>
        <v>256.41025641025641</v>
      </c>
      <c r="W163">
        <f t="shared" si="62"/>
        <v>274.97078435416239</v>
      </c>
      <c r="X163">
        <f t="shared" si="63"/>
        <v>183.15018315018315</v>
      </c>
      <c r="Y163">
        <f t="shared" si="64"/>
        <v>0.34024019511754472</v>
      </c>
      <c r="Z163">
        <f t="shared" si="65"/>
        <v>4.2793297819999996</v>
      </c>
    </row>
    <row r="164" spans="1:26">
      <c r="A164">
        <v>12</v>
      </c>
      <c r="B164">
        <v>4</v>
      </c>
      <c r="C164" s="1">
        <v>8</v>
      </c>
      <c r="D164">
        <f t="shared" si="44"/>
        <v>640</v>
      </c>
      <c r="E164">
        <f t="shared" si="45"/>
        <v>180</v>
      </c>
      <c r="F164">
        <f t="shared" si="46"/>
        <v>26.88</v>
      </c>
      <c r="G164">
        <f t="shared" si="47"/>
        <v>0.10799999999999998</v>
      </c>
      <c r="H164">
        <f t="shared" si="48"/>
        <v>72.576000000000008</v>
      </c>
      <c r="I164">
        <f t="shared" si="49"/>
        <v>403.20000000000005</v>
      </c>
      <c r="J164">
        <f t="shared" si="50"/>
        <v>288</v>
      </c>
      <c r="K164">
        <f t="shared" si="51"/>
        <v>51.84</v>
      </c>
      <c r="L164">
        <f t="shared" si="52"/>
        <v>5.8528512000000008</v>
      </c>
      <c r="M164">
        <f t="shared" si="53"/>
        <v>5.9270399999999999</v>
      </c>
      <c r="N164">
        <f t="shared" si="54"/>
        <v>4.4884224000000001</v>
      </c>
      <c r="O164">
        <f t="shared" si="55"/>
        <v>4.1314243764705889</v>
      </c>
      <c r="P164">
        <f t="shared" si="56"/>
        <v>2.90280777537797</v>
      </c>
      <c r="Q164">
        <f t="shared" si="57"/>
        <v>50.400000000000006</v>
      </c>
      <c r="R164">
        <f t="shared" si="58"/>
        <v>384</v>
      </c>
      <c r="S164">
        <f t="shared" si="59"/>
        <v>268.56</v>
      </c>
      <c r="T164">
        <f t="shared" si="60"/>
        <v>19.439999999999998</v>
      </c>
      <c r="U164">
        <f>I164*E164/'[1]Inverter Analysis'!$L$2</f>
        <v>173.91413354461619</v>
      </c>
      <c r="V164">
        <f t="shared" si="61"/>
        <v>277.77777777777777</v>
      </c>
      <c r="W164">
        <f t="shared" si="62"/>
        <v>297.88501638367592</v>
      </c>
      <c r="X164">
        <f t="shared" si="63"/>
        <v>198.4126984126984</v>
      </c>
      <c r="Y164">
        <f t="shared" si="64"/>
        <v>0.39930967343656287</v>
      </c>
      <c r="Z164">
        <f t="shared" si="65"/>
        <v>3.365808768</v>
      </c>
    </row>
    <row r="165" spans="1:26">
      <c r="A165">
        <v>11</v>
      </c>
      <c r="B165">
        <v>4</v>
      </c>
      <c r="C165" s="1">
        <v>8</v>
      </c>
      <c r="D165">
        <f t="shared" si="44"/>
        <v>640</v>
      </c>
      <c r="E165">
        <f t="shared" si="45"/>
        <v>180</v>
      </c>
      <c r="F165">
        <f t="shared" si="46"/>
        <v>24.64</v>
      </c>
      <c r="G165">
        <f t="shared" si="47"/>
        <v>9.8999999999999991E-2</v>
      </c>
      <c r="H165">
        <f t="shared" si="48"/>
        <v>66.528000000000006</v>
      </c>
      <c r="I165">
        <f t="shared" si="49"/>
        <v>369.6</v>
      </c>
      <c r="J165">
        <f t="shared" si="50"/>
        <v>264</v>
      </c>
      <c r="K165">
        <f t="shared" si="51"/>
        <v>47.52</v>
      </c>
      <c r="L165">
        <f t="shared" si="52"/>
        <v>5.3651136000000008</v>
      </c>
      <c r="M165">
        <f t="shared" si="53"/>
        <v>5.4331199999999997</v>
      </c>
      <c r="N165">
        <f t="shared" si="54"/>
        <v>4.1143872000000004</v>
      </c>
      <c r="O165">
        <f t="shared" si="55"/>
        <v>3.7871390117647068</v>
      </c>
      <c r="P165">
        <f t="shared" si="56"/>
        <v>2.6609071274298057</v>
      </c>
      <c r="Q165">
        <f t="shared" si="57"/>
        <v>46.2</v>
      </c>
      <c r="R165">
        <f t="shared" si="58"/>
        <v>352</v>
      </c>
      <c r="S165">
        <f t="shared" si="59"/>
        <v>246.18</v>
      </c>
      <c r="T165">
        <f t="shared" si="60"/>
        <v>17.819999999999997</v>
      </c>
      <c r="U165">
        <f>I165*E165/'[1]Inverter Analysis'!$L$2</f>
        <v>159.42128908256481</v>
      </c>
      <c r="V165">
        <f t="shared" si="61"/>
        <v>303.030303030303</v>
      </c>
      <c r="W165">
        <f t="shared" si="62"/>
        <v>324.96547241855552</v>
      </c>
      <c r="X165">
        <f t="shared" si="63"/>
        <v>216.45021645021643</v>
      </c>
      <c r="Y165">
        <f t="shared" si="64"/>
        <v>0.47521151218896734</v>
      </c>
      <c r="Z165">
        <f t="shared" si="65"/>
        <v>2.5925297860000001</v>
      </c>
    </row>
    <row r="166" spans="1:26">
      <c r="A166">
        <v>10</v>
      </c>
      <c r="B166">
        <v>4</v>
      </c>
      <c r="C166" s="1">
        <v>8</v>
      </c>
      <c r="D166">
        <f t="shared" si="44"/>
        <v>640</v>
      </c>
      <c r="E166">
        <f t="shared" si="45"/>
        <v>180</v>
      </c>
      <c r="F166">
        <f t="shared" si="46"/>
        <v>22.4</v>
      </c>
      <c r="G166">
        <f t="shared" si="47"/>
        <v>0.09</v>
      </c>
      <c r="H166">
        <f t="shared" si="48"/>
        <v>60.48</v>
      </c>
      <c r="I166">
        <f t="shared" si="49"/>
        <v>336</v>
      </c>
      <c r="J166">
        <f t="shared" si="50"/>
        <v>240</v>
      </c>
      <c r="K166">
        <f t="shared" si="51"/>
        <v>43.2</v>
      </c>
      <c r="L166">
        <f t="shared" si="52"/>
        <v>4.8773759999999999</v>
      </c>
      <c r="M166">
        <f t="shared" si="53"/>
        <v>4.9391999999999996</v>
      </c>
      <c r="N166">
        <f t="shared" si="54"/>
        <v>3.7403519999999997</v>
      </c>
      <c r="O166">
        <f t="shared" si="55"/>
        <v>3.4428536470588238</v>
      </c>
      <c r="P166">
        <f t="shared" si="56"/>
        <v>2.4190064794816415</v>
      </c>
      <c r="Q166">
        <f t="shared" si="57"/>
        <v>42</v>
      </c>
      <c r="R166">
        <f t="shared" si="58"/>
        <v>320</v>
      </c>
      <c r="S166">
        <f t="shared" si="59"/>
        <v>223.8</v>
      </c>
      <c r="T166">
        <f t="shared" si="60"/>
        <v>16.2</v>
      </c>
      <c r="U166">
        <f>I166*E166/'[1]Inverter Analysis'!$L$2</f>
        <v>144.92844462051346</v>
      </c>
      <c r="V166">
        <f t="shared" si="61"/>
        <v>333.33333333333331</v>
      </c>
      <c r="W166">
        <f t="shared" si="62"/>
        <v>357.46201966041104</v>
      </c>
      <c r="X166">
        <f t="shared" si="63"/>
        <v>238.0952380952381</v>
      </c>
      <c r="Y166">
        <f t="shared" si="64"/>
        <v>0.57500592974865039</v>
      </c>
      <c r="Z166">
        <f t="shared" si="65"/>
        <v>1.9478060000000006</v>
      </c>
    </row>
    <row r="167" spans="1:26">
      <c r="A167">
        <v>16</v>
      </c>
      <c r="B167">
        <v>3</v>
      </c>
      <c r="C167" s="1">
        <v>8</v>
      </c>
      <c r="D167">
        <f t="shared" si="44"/>
        <v>480</v>
      </c>
      <c r="E167">
        <f t="shared" si="45"/>
        <v>135</v>
      </c>
      <c r="F167">
        <f t="shared" si="46"/>
        <v>26.88</v>
      </c>
      <c r="G167">
        <f t="shared" si="47"/>
        <v>0.19199999999999998</v>
      </c>
      <c r="H167">
        <f t="shared" si="48"/>
        <v>72.575999999999993</v>
      </c>
      <c r="I167">
        <f t="shared" si="49"/>
        <v>537.6</v>
      </c>
      <c r="J167">
        <f t="shared" si="50"/>
        <v>384</v>
      </c>
      <c r="K167">
        <f t="shared" si="51"/>
        <v>51.84</v>
      </c>
      <c r="L167">
        <f t="shared" si="52"/>
        <v>5.8528512000000008</v>
      </c>
      <c r="M167">
        <f t="shared" si="53"/>
        <v>5.9270399999999999</v>
      </c>
      <c r="N167">
        <f t="shared" si="54"/>
        <v>4.4884224000000001</v>
      </c>
      <c r="O167">
        <f t="shared" si="55"/>
        <v>4.1314243764705889</v>
      </c>
      <c r="P167">
        <f t="shared" si="56"/>
        <v>2.90280777537797</v>
      </c>
      <c r="Q167">
        <f t="shared" si="57"/>
        <v>67.2</v>
      </c>
      <c r="R167">
        <f t="shared" si="58"/>
        <v>384</v>
      </c>
      <c r="S167">
        <f t="shared" si="59"/>
        <v>358.08</v>
      </c>
      <c r="T167">
        <f t="shared" si="60"/>
        <v>25.919999999999998</v>
      </c>
      <c r="U167">
        <f>I167*E167/'[1]Inverter Analysis'!$L$2</f>
        <v>173.91413354461616</v>
      </c>
      <c r="V167">
        <f t="shared" si="61"/>
        <v>208.33333333333334</v>
      </c>
      <c r="W167">
        <f t="shared" si="62"/>
        <v>223.41376228775692</v>
      </c>
      <c r="X167">
        <f t="shared" si="63"/>
        <v>148.8095238095238</v>
      </c>
      <c r="Y167">
        <f t="shared" si="64"/>
        <v>0.2246116913080666</v>
      </c>
      <c r="Z167">
        <f t="shared" si="65"/>
        <v>5.9836600319999995</v>
      </c>
    </row>
    <row r="168" spans="1:26">
      <c r="A168">
        <v>15</v>
      </c>
      <c r="B168">
        <v>3</v>
      </c>
      <c r="C168" s="1">
        <v>8</v>
      </c>
      <c r="D168">
        <f t="shared" si="44"/>
        <v>480</v>
      </c>
      <c r="E168">
        <f t="shared" si="45"/>
        <v>135</v>
      </c>
      <c r="F168">
        <f t="shared" si="46"/>
        <v>25.2</v>
      </c>
      <c r="G168">
        <f t="shared" si="47"/>
        <v>0.17999999999999997</v>
      </c>
      <c r="H168">
        <f t="shared" si="48"/>
        <v>68.040000000000006</v>
      </c>
      <c r="I168">
        <f t="shared" si="49"/>
        <v>504</v>
      </c>
      <c r="J168">
        <f t="shared" si="50"/>
        <v>360</v>
      </c>
      <c r="K168">
        <f t="shared" si="51"/>
        <v>48.6</v>
      </c>
      <c r="L168">
        <f t="shared" si="52"/>
        <v>5.4870480000000006</v>
      </c>
      <c r="M168">
        <f t="shared" si="53"/>
        <v>5.5565999999999995</v>
      </c>
      <c r="N168">
        <f t="shared" si="54"/>
        <v>4.2078960000000007</v>
      </c>
      <c r="O168">
        <f t="shared" si="55"/>
        <v>3.873210352941177</v>
      </c>
      <c r="P168">
        <f t="shared" si="56"/>
        <v>2.7213822894168467</v>
      </c>
      <c r="Q168">
        <f t="shared" si="57"/>
        <v>63</v>
      </c>
      <c r="R168">
        <f t="shared" si="58"/>
        <v>360</v>
      </c>
      <c r="S168">
        <f t="shared" si="59"/>
        <v>335.7</v>
      </c>
      <c r="T168">
        <f t="shared" si="60"/>
        <v>24.299999999999994</v>
      </c>
      <c r="U168">
        <f>I168*E168/'[1]Inverter Analysis'!$L$2</f>
        <v>163.04450019807766</v>
      </c>
      <c r="V168">
        <f t="shared" si="61"/>
        <v>222.22222222222223</v>
      </c>
      <c r="W168">
        <f t="shared" si="62"/>
        <v>238.30801310694073</v>
      </c>
      <c r="X168">
        <f t="shared" si="63"/>
        <v>158.73015873015873</v>
      </c>
      <c r="Y168">
        <f t="shared" si="64"/>
        <v>0.25555819099940025</v>
      </c>
      <c r="Z168">
        <f t="shared" si="65"/>
        <v>4.9303839374999994</v>
      </c>
    </row>
    <row r="169" spans="1:26">
      <c r="A169">
        <v>14</v>
      </c>
      <c r="B169">
        <v>3</v>
      </c>
      <c r="C169" s="1">
        <v>8</v>
      </c>
      <c r="D169">
        <f t="shared" si="44"/>
        <v>480</v>
      </c>
      <c r="E169">
        <f t="shared" si="45"/>
        <v>135</v>
      </c>
      <c r="F169">
        <f t="shared" si="46"/>
        <v>23.52</v>
      </c>
      <c r="G169">
        <f t="shared" si="47"/>
        <v>0.16799999999999998</v>
      </c>
      <c r="H169">
        <f t="shared" si="48"/>
        <v>63.504000000000005</v>
      </c>
      <c r="I169">
        <f t="shared" si="49"/>
        <v>470.40000000000003</v>
      </c>
      <c r="J169">
        <f t="shared" si="50"/>
        <v>336</v>
      </c>
      <c r="K169">
        <f t="shared" si="51"/>
        <v>45.36</v>
      </c>
      <c r="L169">
        <f t="shared" si="52"/>
        <v>5.1212448000000004</v>
      </c>
      <c r="M169">
        <f t="shared" si="53"/>
        <v>5.1861600000000001</v>
      </c>
      <c r="N169">
        <f t="shared" si="54"/>
        <v>3.9273696</v>
      </c>
      <c r="O169">
        <f t="shared" si="55"/>
        <v>3.6149963294117651</v>
      </c>
      <c r="P169">
        <f t="shared" si="56"/>
        <v>2.5399568034557234</v>
      </c>
      <c r="Q169">
        <f t="shared" si="57"/>
        <v>58.800000000000004</v>
      </c>
      <c r="R169">
        <f t="shared" si="58"/>
        <v>336</v>
      </c>
      <c r="S169">
        <f t="shared" si="59"/>
        <v>313.32</v>
      </c>
      <c r="T169">
        <f t="shared" si="60"/>
        <v>22.679999999999996</v>
      </c>
      <c r="U169">
        <f>I169*E169/'[1]Inverter Analysis'!$L$2</f>
        <v>152.17486685153915</v>
      </c>
      <c r="V169">
        <f t="shared" si="61"/>
        <v>238.0952380952381</v>
      </c>
      <c r="W169">
        <f t="shared" si="62"/>
        <v>255.33001404315078</v>
      </c>
      <c r="X169">
        <f t="shared" si="63"/>
        <v>170.06802721088434</v>
      </c>
      <c r="Y169">
        <f t="shared" si="64"/>
        <v>0.29337037232074004</v>
      </c>
      <c r="Z169">
        <f t="shared" si="65"/>
        <v>4.0085847480000005</v>
      </c>
    </row>
    <row r="170" spans="1:26">
      <c r="A170">
        <v>13</v>
      </c>
      <c r="B170">
        <v>3</v>
      </c>
      <c r="C170" s="1">
        <v>8</v>
      </c>
      <c r="D170">
        <f t="shared" si="44"/>
        <v>480</v>
      </c>
      <c r="E170">
        <f t="shared" si="45"/>
        <v>135</v>
      </c>
      <c r="F170">
        <f t="shared" si="46"/>
        <v>21.84</v>
      </c>
      <c r="G170">
        <f t="shared" si="47"/>
        <v>0.15599999999999997</v>
      </c>
      <c r="H170">
        <f t="shared" si="48"/>
        <v>58.968000000000004</v>
      </c>
      <c r="I170">
        <f t="shared" si="49"/>
        <v>436.8</v>
      </c>
      <c r="J170">
        <f t="shared" si="50"/>
        <v>312</v>
      </c>
      <c r="K170">
        <f t="shared" si="51"/>
        <v>42.12</v>
      </c>
      <c r="L170">
        <f t="shared" si="52"/>
        <v>4.7554416000000002</v>
      </c>
      <c r="M170">
        <f t="shared" si="53"/>
        <v>4.8157200000000007</v>
      </c>
      <c r="N170">
        <f t="shared" si="54"/>
        <v>3.6468431999999997</v>
      </c>
      <c r="O170">
        <f t="shared" si="55"/>
        <v>3.3567823058823532</v>
      </c>
      <c r="P170">
        <f t="shared" si="56"/>
        <v>2.3585313174946005</v>
      </c>
      <c r="Q170">
        <f t="shared" si="57"/>
        <v>54.6</v>
      </c>
      <c r="R170">
        <f t="shared" si="58"/>
        <v>312</v>
      </c>
      <c r="S170">
        <f t="shared" si="59"/>
        <v>290.94</v>
      </c>
      <c r="T170">
        <f t="shared" si="60"/>
        <v>21.059999999999995</v>
      </c>
      <c r="U170">
        <f>I170*E170/'[1]Inverter Analysis'!$L$2</f>
        <v>141.30523350500064</v>
      </c>
      <c r="V170">
        <f t="shared" si="61"/>
        <v>256.41025641025641</v>
      </c>
      <c r="W170">
        <f t="shared" si="62"/>
        <v>274.97078435416239</v>
      </c>
      <c r="X170">
        <f t="shared" si="63"/>
        <v>183.15018315018315</v>
      </c>
      <c r="Y170">
        <f t="shared" si="64"/>
        <v>0.34024019511754472</v>
      </c>
      <c r="Z170">
        <f t="shared" si="65"/>
        <v>3.2094973365000001</v>
      </c>
    </row>
    <row r="171" spans="1:26">
      <c r="A171">
        <v>12</v>
      </c>
      <c r="B171">
        <v>3</v>
      </c>
      <c r="C171" s="1">
        <v>8</v>
      </c>
      <c r="D171">
        <f t="shared" si="44"/>
        <v>480</v>
      </c>
      <c r="E171">
        <f t="shared" si="45"/>
        <v>135</v>
      </c>
      <c r="F171">
        <f t="shared" si="46"/>
        <v>20.16</v>
      </c>
      <c r="G171">
        <f t="shared" si="47"/>
        <v>0.14399999999999999</v>
      </c>
      <c r="H171">
        <f t="shared" si="48"/>
        <v>54.432000000000009</v>
      </c>
      <c r="I171">
        <f t="shared" si="49"/>
        <v>403.20000000000005</v>
      </c>
      <c r="J171">
        <f t="shared" si="50"/>
        <v>288</v>
      </c>
      <c r="K171">
        <f t="shared" si="51"/>
        <v>38.880000000000003</v>
      </c>
      <c r="L171">
        <f t="shared" si="52"/>
        <v>4.3896384000000008</v>
      </c>
      <c r="M171">
        <f t="shared" si="53"/>
        <v>4.4452799999999995</v>
      </c>
      <c r="N171">
        <f t="shared" si="54"/>
        <v>3.3663168000000003</v>
      </c>
      <c r="O171">
        <f t="shared" si="55"/>
        <v>3.0985682823529421</v>
      </c>
      <c r="P171">
        <f t="shared" si="56"/>
        <v>2.1771058315334777</v>
      </c>
      <c r="Q171">
        <f t="shared" si="57"/>
        <v>50.400000000000006</v>
      </c>
      <c r="R171">
        <f t="shared" si="58"/>
        <v>288</v>
      </c>
      <c r="S171">
        <f t="shared" si="59"/>
        <v>268.56</v>
      </c>
      <c r="T171">
        <f t="shared" si="60"/>
        <v>19.439999999999998</v>
      </c>
      <c r="U171">
        <f>I171*E171/'[1]Inverter Analysis'!$L$2</f>
        <v>130.43560015846214</v>
      </c>
      <c r="V171">
        <f t="shared" si="61"/>
        <v>277.77777777777777</v>
      </c>
      <c r="W171">
        <f t="shared" si="62"/>
        <v>297.88501638367592</v>
      </c>
      <c r="X171">
        <f t="shared" si="63"/>
        <v>198.4126984126984</v>
      </c>
      <c r="Y171">
        <f t="shared" si="64"/>
        <v>0.39930967343656287</v>
      </c>
      <c r="Z171">
        <f t="shared" si="65"/>
        <v>2.5243565759999997</v>
      </c>
    </row>
    <row r="172" spans="1:26">
      <c r="A172">
        <v>11</v>
      </c>
      <c r="B172">
        <v>3</v>
      </c>
      <c r="C172" s="1">
        <v>8</v>
      </c>
      <c r="D172">
        <f t="shared" si="44"/>
        <v>480</v>
      </c>
      <c r="E172">
        <f t="shared" si="45"/>
        <v>135</v>
      </c>
      <c r="F172">
        <f t="shared" si="46"/>
        <v>18.48</v>
      </c>
      <c r="G172">
        <f t="shared" si="47"/>
        <v>0.13199999999999998</v>
      </c>
      <c r="H172">
        <f t="shared" si="48"/>
        <v>49.896000000000001</v>
      </c>
      <c r="I172">
        <f t="shared" si="49"/>
        <v>369.6</v>
      </c>
      <c r="J172">
        <f t="shared" si="50"/>
        <v>264</v>
      </c>
      <c r="K172">
        <f t="shared" si="51"/>
        <v>35.64</v>
      </c>
      <c r="L172">
        <f t="shared" si="52"/>
        <v>4.0238352000000006</v>
      </c>
      <c r="M172">
        <f t="shared" si="53"/>
        <v>4.07484</v>
      </c>
      <c r="N172">
        <f t="shared" si="54"/>
        <v>3.0857904</v>
      </c>
      <c r="O172">
        <f t="shared" si="55"/>
        <v>2.8403542588235302</v>
      </c>
      <c r="P172">
        <f t="shared" si="56"/>
        <v>1.9956803455723544</v>
      </c>
      <c r="Q172">
        <f t="shared" si="57"/>
        <v>46.2</v>
      </c>
      <c r="R172">
        <f t="shared" si="58"/>
        <v>264</v>
      </c>
      <c r="S172">
        <f t="shared" si="59"/>
        <v>246.18</v>
      </c>
      <c r="T172">
        <f t="shared" si="60"/>
        <v>17.819999999999997</v>
      </c>
      <c r="U172">
        <f>I172*E172/'[1]Inverter Analysis'!$L$2</f>
        <v>119.56596681192362</v>
      </c>
      <c r="V172">
        <f t="shared" si="61"/>
        <v>303.030303030303</v>
      </c>
      <c r="W172">
        <f t="shared" si="62"/>
        <v>324.96547241855552</v>
      </c>
      <c r="X172">
        <f t="shared" si="63"/>
        <v>216.45021645021643</v>
      </c>
      <c r="Y172">
        <f t="shared" si="64"/>
        <v>0.47521151218896734</v>
      </c>
      <c r="Z172">
        <f t="shared" si="65"/>
        <v>1.9443973395000003</v>
      </c>
    </row>
    <row r="173" spans="1:26">
      <c r="A173">
        <v>10</v>
      </c>
      <c r="B173">
        <v>3</v>
      </c>
      <c r="C173" s="1">
        <v>8</v>
      </c>
      <c r="D173">
        <f t="shared" si="44"/>
        <v>480</v>
      </c>
      <c r="E173">
        <f t="shared" si="45"/>
        <v>135</v>
      </c>
      <c r="F173">
        <f t="shared" si="46"/>
        <v>16.8</v>
      </c>
      <c r="G173">
        <f t="shared" si="47"/>
        <v>0.11999999999999998</v>
      </c>
      <c r="H173">
        <f t="shared" si="48"/>
        <v>45.36</v>
      </c>
      <c r="I173">
        <f t="shared" si="49"/>
        <v>336</v>
      </c>
      <c r="J173">
        <f t="shared" si="50"/>
        <v>240</v>
      </c>
      <c r="K173">
        <f t="shared" si="51"/>
        <v>32.4</v>
      </c>
      <c r="L173">
        <f t="shared" si="52"/>
        <v>3.658032</v>
      </c>
      <c r="M173">
        <f t="shared" si="53"/>
        <v>3.7043999999999997</v>
      </c>
      <c r="N173">
        <f t="shared" si="54"/>
        <v>2.8052640000000002</v>
      </c>
      <c r="O173">
        <f t="shared" si="55"/>
        <v>2.5821402352941178</v>
      </c>
      <c r="P173">
        <f t="shared" si="56"/>
        <v>1.8142548596112311</v>
      </c>
      <c r="Q173">
        <f t="shared" si="57"/>
        <v>42</v>
      </c>
      <c r="R173">
        <f t="shared" si="58"/>
        <v>240</v>
      </c>
      <c r="S173">
        <f t="shared" si="59"/>
        <v>223.8</v>
      </c>
      <c r="T173">
        <f t="shared" si="60"/>
        <v>16.2</v>
      </c>
      <c r="U173">
        <f>I173*E173/'[1]Inverter Analysis'!$L$2</f>
        <v>108.69633346538509</v>
      </c>
      <c r="V173">
        <f t="shared" si="61"/>
        <v>333.33333333333331</v>
      </c>
      <c r="W173">
        <f t="shared" si="62"/>
        <v>357.46201966041104</v>
      </c>
      <c r="X173">
        <f t="shared" si="63"/>
        <v>238.0952380952381</v>
      </c>
      <c r="Y173">
        <f t="shared" si="64"/>
        <v>0.57500592974865039</v>
      </c>
      <c r="Z173">
        <f t="shared" si="65"/>
        <v>1.4608545000000004</v>
      </c>
    </row>
    <row r="174" spans="1:26">
      <c r="A174">
        <v>16</v>
      </c>
      <c r="B174">
        <v>2</v>
      </c>
      <c r="C174" s="1">
        <v>8</v>
      </c>
      <c r="D174">
        <f t="shared" si="44"/>
        <v>320</v>
      </c>
      <c r="E174">
        <f t="shared" si="45"/>
        <v>90</v>
      </c>
      <c r="F174">
        <f t="shared" si="46"/>
        <v>17.920000000000002</v>
      </c>
      <c r="G174">
        <f t="shared" si="47"/>
        <v>0.28799999999999998</v>
      </c>
      <c r="H174">
        <f t="shared" si="48"/>
        <v>48.384</v>
      </c>
      <c r="I174">
        <f t="shared" si="49"/>
        <v>537.6</v>
      </c>
      <c r="J174">
        <f t="shared" si="50"/>
        <v>384</v>
      </c>
      <c r="K174">
        <f t="shared" si="51"/>
        <v>34.56</v>
      </c>
      <c r="L174">
        <f t="shared" si="52"/>
        <v>3.9019008000000004</v>
      </c>
      <c r="M174">
        <f t="shared" si="53"/>
        <v>3.9513600000000002</v>
      </c>
      <c r="N174">
        <f t="shared" si="54"/>
        <v>2.9922816000000001</v>
      </c>
      <c r="O174">
        <f t="shared" si="55"/>
        <v>2.7542829176470591</v>
      </c>
      <c r="P174">
        <f t="shared" si="56"/>
        <v>1.9352051835853132</v>
      </c>
      <c r="Q174">
        <f t="shared" si="57"/>
        <v>67.2</v>
      </c>
      <c r="R174">
        <f t="shared" si="58"/>
        <v>256</v>
      </c>
      <c r="S174">
        <f t="shared" si="59"/>
        <v>358.08</v>
      </c>
      <c r="T174">
        <f t="shared" si="60"/>
        <v>25.919999999999998</v>
      </c>
      <c r="U174">
        <f>I174*E174/'[1]Inverter Analysis'!$L$2</f>
        <v>115.94275569641077</v>
      </c>
      <c r="V174">
        <f t="shared" si="61"/>
        <v>208.33333333333334</v>
      </c>
      <c r="W174">
        <f t="shared" si="62"/>
        <v>223.41376228775692</v>
      </c>
      <c r="X174">
        <f t="shared" si="63"/>
        <v>148.8095238095238</v>
      </c>
      <c r="Y174">
        <f t="shared" si="64"/>
        <v>0.2246116913080666</v>
      </c>
      <c r="Z174">
        <f t="shared" si="65"/>
        <v>3.9891066880000006</v>
      </c>
    </row>
    <row r="175" spans="1:26">
      <c r="A175">
        <v>15</v>
      </c>
      <c r="B175">
        <v>2</v>
      </c>
      <c r="C175" s="1">
        <v>8</v>
      </c>
      <c r="D175">
        <f t="shared" si="44"/>
        <v>320</v>
      </c>
      <c r="E175">
        <f t="shared" si="45"/>
        <v>90</v>
      </c>
      <c r="F175">
        <f t="shared" si="46"/>
        <v>16.8</v>
      </c>
      <c r="G175">
        <f t="shared" si="47"/>
        <v>0.26999999999999996</v>
      </c>
      <c r="H175">
        <f t="shared" si="48"/>
        <v>45.36</v>
      </c>
      <c r="I175">
        <f t="shared" si="49"/>
        <v>504</v>
      </c>
      <c r="J175">
        <f t="shared" si="50"/>
        <v>360</v>
      </c>
      <c r="K175">
        <f t="shared" si="51"/>
        <v>32.4</v>
      </c>
      <c r="L175">
        <f t="shared" si="52"/>
        <v>3.658032</v>
      </c>
      <c r="M175">
        <f t="shared" si="53"/>
        <v>3.7043999999999997</v>
      </c>
      <c r="N175">
        <f t="shared" si="54"/>
        <v>2.8052640000000002</v>
      </c>
      <c r="O175">
        <f t="shared" si="55"/>
        <v>2.5821402352941178</v>
      </c>
      <c r="P175">
        <f t="shared" si="56"/>
        <v>1.8142548596112311</v>
      </c>
      <c r="Q175">
        <f t="shared" si="57"/>
        <v>63</v>
      </c>
      <c r="R175">
        <f t="shared" si="58"/>
        <v>240</v>
      </c>
      <c r="S175">
        <f t="shared" si="59"/>
        <v>335.7</v>
      </c>
      <c r="T175">
        <f t="shared" si="60"/>
        <v>24.299999999999997</v>
      </c>
      <c r="U175">
        <f>I175*E175/'[1]Inverter Analysis'!$L$2</f>
        <v>108.69633346538509</v>
      </c>
      <c r="V175">
        <f t="shared" si="61"/>
        <v>222.22222222222223</v>
      </c>
      <c r="W175">
        <f t="shared" si="62"/>
        <v>238.30801310694073</v>
      </c>
      <c r="X175">
        <f t="shared" si="63"/>
        <v>158.73015873015873</v>
      </c>
      <c r="Y175">
        <f t="shared" si="64"/>
        <v>0.25555819099940025</v>
      </c>
      <c r="Z175">
        <f t="shared" si="65"/>
        <v>3.2869226249999999</v>
      </c>
    </row>
    <row r="176" spans="1:26">
      <c r="A176">
        <v>14</v>
      </c>
      <c r="B176">
        <v>2</v>
      </c>
      <c r="C176" s="1">
        <v>8</v>
      </c>
      <c r="D176">
        <f t="shared" si="44"/>
        <v>320</v>
      </c>
      <c r="E176">
        <f t="shared" si="45"/>
        <v>90</v>
      </c>
      <c r="F176">
        <f t="shared" si="46"/>
        <v>15.68</v>
      </c>
      <c r="G176">
        <f t="shared" si="47"/>
        <v>0.252</v>
      </c>
      <c r="H176">
        <f t="shared" si="48"/>
        <v>42.335999999999999</v>
      </c>
      <c r="I176">
        <f t="shared" si="49"/>
        <v>470.40000000000003</v>
      </c>
      <c r="J176">
        <f t="shared" si="50"/>
        <v>336</v>
      </c>
      <c r="K176">
        <f t="shared" si="51"/>
        <v>30.24</v>
      </c>
      <c r="L176">
        <f t="shared" si="52"/>
        <v>3.4141632000000004</v>
      </c>
      <c r="M176">
        <f t="shared" si="53"/>
        <v>3.4574400000000001</v>
      </c>
      <c r="N176">
        <f t="shared" si="54"/>
        <v>2.6182463999999999</v>
      </c>
      <c r="O176">
        <f t="shared" si="55"/>
        <v>2.409997552941177</v>
      </c>
      <c r="P176">
        <f t="shared" si="56"/>
        <v>1.693304535637149</v>
      </c>
      <c r="Q176">
        <f t="shared" si="57"/>
        <v>58.800000000000004</v>
      </c>
      <c r="R176">
        <f t="shared" si="58"/>
        <v>224</v>
      </c>
      <c r="S176">
        <f t="shared" si="59"/>
        <v>313.32</v>
      </c>
      <c r="T176">
        <f t="shared" si="60"/>
        <v>22.68</v>
      </c>
      <c r="U176">
        <f>I176*E176/'[1]Inverter Analysis'!$L$2</f>
        <v>101.44991123435943</v>
      </c>
      <c r="V176">
        <f t="shared" si="61"/>
        <v>238.0952380952381</v>
      </c>
      <c r="W176">
        <f t="shared" si="62"/>
        <v>255.33001404315078</v>
      </c>
      <c r="X176">
        <f t="shared" si="63"/>
        <v>170.06802721088434</v>
      </c>
      <c r="Y176">
        <f t="shared" si="64"/>
        <v>0.29337037232074004</v>
      </c>
      <c r="Z176">
        <f t="shared" si="65"/>
        <v>2.6723898320000004</v>
      </c>
    </row>
    <row r="177" spans="1:26">
      <c r="A177">
        <v>13</v>
      </c>
      <c r="B177">
        <v>2</v>
      </c>
      <c r="C177" s="1">
        <v>8</v>
      </c>
      <c r="D177">
        <f t="shared" si="44"/>
        <v>320</v>
      </c>
      <c r="E177">
        <f t="shared" si="45"/>
        <v>90</v>
      </c>
      <c r="F177">
        <f t="shared" si="46"/>
        <v>14.56</v>
      </c>
      <c r="G177">
        <f t="shared" si="47"/>
        <v>0.23399999999999999</v>
      </c>
      <c r="H177">
        <f t="shared" si="48"/>
        <v>39.311999999999998</v>
      </c>
      <c r="I177">
        <f t="shared" si="49"/>
        <v>436.8</v>
      </c>
      <c r="J177">
        <f t="shared" si="50"/>
        <v>312</v>
      </c>
      <c r="K177">
        <f t="shared" si="51"/>
        <v>28.08</v>
      </c>
      <c r="L177">
        <f t="shared" si="52"/>
        <v>3.1702944000000004</v>
      </c>
      <c r="M177">
        <f t="shared" si="53"/>
        <v>3.21048</v>
      </c>
      <c r="N177">
        <f t="shared" si="54"/>
        <v>2.4312288</v>
      </c>
      <c r="O177">
        <f t="shared" si="55"/>
        <v>2.2378548705882357</v>
      </c>
      <c r="P177">
        <f t="shared" si="56"/>
        <v>1.5723542116630669</v>
      </c>
      <c r="Q177">
        <f t="shared" si="57"/>
        <v>54.6</v>
      </c>
      <c r="R177">
        <f t="shared" si="58"/>
        <v>208</v>
      </c>
      <c r="S177">
        <f t="shared" si="59"/>
        <v>290.94</v>
      </c>
      <c r="T177">
        <f t="shared" si="60"/>
        <v>21.06</v>
      </c>
      <c r="U177">
        <f>I177*E177/'[1]Inverter Analysis'!$L$2</f>
        <v>94.203489003333758</v>
      </c>
      <c r="V177">
        <f t="shared" si="61"/>
        <v>256.41025641025641</v>
      </c>
      <c r="W177">
        <f t="shared" si="62"/>
        <v>274.97078435416239</v>
      </c>
      <c r="X177">
        <f t="shared" si="63"/>
        <v>183.15018315018315</v>
      </c>
      <c r="Y177">
        <f t="shared" si="64"/>
        <v>0.34024019511754472</v>
      </c>
      <c r="Z177">
        <f t="shared" si="65"/>
        <v>2.1396648909999998</v>
      </c>
    </row>
    <row r="178" spans="1:26">
      <c r="A178">
        <v>12</v>
      </c>
      <c r="B178">
        <v>2</v>
      </c>
      <c r="C178" s="1">
        <v>8</v>
      </c>
      <c r="D178">
        <f t="shared" si="44"/>
        <v>320</v>
      </c>
      <c r="E178">
        <f t="shared" si="45"/>
        <v>90</v>
      </c>
      <c r="F178">
        <f t="shared" si="46"/>
        <v>13.44</v>
      </c>
      <c r="G178">
        <f t="shared" si="47"/>
        <v>0.21599999999999997</v>
      </c>
      <c r="H178">
        <f t="shared" si="48"/>
        <v>36.288000000000004</v>
      </c>
      <c r="I178">
        <f t="shared" si="49"/>
        <v>403.20000000000005</v>
      </c>
      <c r="J178">
        <f t="shared" si="50"/>
        <v>288</v>
      </c>
      <c r="K178">
        <f t="shared" si="51"/>
        <v>25.92</v>
      </c>
      <c r="L178">
        <f t="shared" si="52"/>
        <v>2.9264256000000004</v>
      </c>
      <c r="M178">
        <f t="shared" si="53"/>
        <v>2.9635199999999999</v>
      </c>
      <c r="N178">
        <f t="shared" si="54"/>
        <v>2.2442112000000001</v>
      </c>
      <c r="O178">
        <f t="shared" si="55"/>
        <v>2.0657121882352945</v>
      </c>
      <c r="P178">
        <f t="shared" si="56"/>
        <v>1.451403887688985</v>
      </c>
      <c r="Q178">
        <f t="shared" si="57"/>
        <v>50.400000000000006</v>
      </c>
      <c r="R178">
        <f t="shared" si="58"/>
        <v>192</v>
      </c>
      <c r="S178">
        <f t="shared" si="59"/>
        <v>268.56</v>
      </c>
      <c r="T178">
        <f t="shared" si="60"/>
        <v>19.439999999999998</v>
      </c>
      <c r="U178">
        <f>I178*E178/'[1]Inverter Analysis'!$L$2</f>
        <v>86.957066772308096</v>
      </c>
      <c r="V178">
        <f t="shared" si="61"/>
        <v>277.77777777777777</v>
      </c>
      <c r="W178">
        <f t="shared" si="62"/>
        <v>297.88501638367592</v>
      </c>
      <c r="X178">
        <f t="shared" si="63"/>
        <v>198.4126984126984</v>
      </c>
      <c r="Y178">
        <f t="shared" si="64"/>
        <v>0.39930967343656287</v>
      </c>
      <c r="Z178">
        <f t="shared" si="65"/>
        <v>1.682904384</v>
      </c>
    </row>
    <row r="179" spans="1:26">
      <c r="A179">
        <v>11</v>
      </c>
      <c r="B179">
        <v>2</v>
      </c>
      <c r="C179" s="1">
        <v>8</v>
      </c>
      <c r="D179">
        <f t="shared" si="44"/>
        <v>320</v>
      </c>
      <c r="E179">
        <f t="shared" si="45"/>
        <v>90</v>
      </c>
      <c r="F179">
        <f t="shared" si="46"/>
        <v>12.32</v>
      </c>
      <c r="G179">
        <f t="shared" si="47"/>
        <v>0.19799999999999998</v>
      </c>
      <c r="H179">
        <f t="shared" si="48"/>
        <v>33.264000000000003</v>
      </c>
      <c r="I179">
        <f t="shared" si="49"/>
        <v>369.6</v>
      </c>
      <c r="J179">
        <f t="shared" si="50"/>
        <v>264</v>
      </c>
      <c r="K179">
        <f t="shared" si="51"/>
        <v>23.76</v>
      </c>
      <c r="L179">
        <f t="shared" si="52"/>
        <v>2.6825568000000004</v>
      </c>
      <c r="M179">
        <f t="shared" si="53"/>
        <v>2.7165599999999999</v>
      </c>
      <c r="N179">
        <f t="shared" si="54"/>
        <v>2.0571936000000002</v>
      </c>
      <c r="O179">
        <f t="shared" si="55"/>
        <v>1.8935695058823534</v>
      </c>
      <c r="P179">
        <f t="shared" si="56"/>
        <v>1.3304535637149029</v>
      </c>
      <c r="Q179">
        <f t="shared" si="57"/>
        <v>46.2</v>
      </c>
      <c r="R179">
        <f t="shared" si="58"/>
        <v>176</v>
      </c>
      <c r="S179">
        <f t="shared" si="59"/>
        <v>246.18</v>
      </c>
      <c r="T179">
        <f t="shared" si="60"/>
        <v>17.819999999999997</v>
      </c>
      <c r="U179">
        <f>I179*E179/'[1]Inverter Analysis'!$L$2</f>
        <v>79.710644541282406</v>
      </c>
      <c r="V179">
        <f t="shared" si="61"/>
        <v>303.030303030303</v>
      </c>
      <c r="W179">
        <f t="shared" si="62"/>
        <v>324.96547241855552</v>
      </c>
      <c r="X179">
        <f t="shared" si="63"/>
        <v>216.45021645021643</v>
      </c>
      <c r="Y179">
        <f t="shared" si="64"/>
        <v>0.47521151218896734</v>
      </c>
      <c r="Z179">
        <f t="shared" si="65"/>
        <v>1.296264893</v>
      </c>
    </row>
    <row r="180" spans="1:26">
      <c r="A180">
        <v>10</v>
      </c>
      <c r="B180">
        <v>2</v>
      </c>
      <c r="C180" s="1">
        <v>8</v>
      </c>
      <c r="D180">
        <f t="shared" si="44"/>
        <v>320</v>
      </c>
      <c r="E180">
        <f t="shared" si="45"/>
        <v>90</v>
      </c>
      <c r="F180">
        <f t="shared" si="46"/>
        <v>11.2</v>
      </c>
      <c r="G180">
        <f t="shared" si="47"/>
        <v>0.18</v>
      </c>
      <c r="H180">
        <f t="shared" si="48"/>
        <v>30.24</v>
      </c>
      <c r="I180">
        <f t="shared" si="49"/>
        <v>336</v>
      </c>
      <c r="J180">
        <f t="shared" si="50"/>
        <v>240</v>
      </c>
      <c r="K180">
        <f t="shared" si="51"/>
        <v>21.6</v>
      </c>
      <c r="L180">
        <f t="shared" si="52"/>
        <v>2.438688</v>
      </c>
      <c r="M180">
        <f t="shared" si="53"/>
        <v>2.4695999999999998</v>
      </c>
      <c r="N180">
        <f t="shared" si="54"/>
        <v>1.8701759999999998</v>
      </c>
      <c r="O180">
        <f t="shared" si="55"/>
        <v>1.7214268235294119</v>
      </c>
      <c r="P180">
        <f t="shared" si="56"/>
        <v>1.2095032397408207</v>
      </c>
      <c r="Q180">
        <f t="shared" si="57"/>
        <v>42</v>
      </c>
      <c r="R180">
        <f t="shared" si="58"/>
        <v>160</v>
      </c>
      <c r="S180">
        <f t="shared" si="59"/>
        <v>223.8</v>
      </c>
      <c r="T180">
        <f t="shared" si="60"/>
        <v>16.2</v>
      </c>
      <c r="U180">
        <f>I180*E180/'[1]Inverter Analysis'!$L$2</f>
        <v>72.46422231025673</v>
      </c>
      <c r="V180">
        <f t="shared" si="61"/>
        <v>333.33333333333331</v>
      </c>
      <c r="W180">
        <f t="shared" si="62"/>
        <v>357.46201966041104</v>
      </c>
      <c r="X180">
        <f t="shared" si="63"/>
        <v>238.0952380952381</v>
      </c>
      <c r="Y180">
        <f t="shared" si="64"/>
        <v>0.57500592974865039</v>
      </c>
      <c r="Z180">
        <f t="shared" si="65"/>
        <v>0.9739030000000003</v>
      </c>
    </row>
    <row r="181" spans="1:26">
      <c r="A181" s="8">
        <v>16</v>
      </c>
      <c r="B181" s="1">
        <v>6</v>
      </c>
      <c r="C181" s="1">
        <v>7</v>
      </c>
      <c r="D181">
        <f t="shared" si="44"/>
        <v>960</v>
      </c>
      <c r="E181">
        <f t="shared" si="45"/>
        <v>270</v>
      </c>
      <c r="F181">
        <f t="shared" si="46"/>
        <v>47.04</v>
      </c>
      <c r="G181">
        <f t="shared" si="47"/>
        <v>8.3999999999999991E-2</v>
      </c>
      <c r="H181">
        <f t="shared" si="48"/>
        <v>127.00800000000001</v>
      </c>
      <c r="I181">
        <f t="shared" si="49"/>
        <v>470.40000000000003</v>
      </c>
      <c r="J181">
        <f t="shared" si="50"/>
        <v>336</v>
      </c>
      <c r="K181">
        <f t="shared" si="51"/>
        <v>90.72</v>
      </c>
      <c r="L181">
        <f t="shared" si="52"/>
        <v>10.242489600000001</v>
      </c>
      <c r="M181">
        <f t="shared" si="53"/>
        <v>10.37232</v>
      </c>
      <c r="N181">
        <f t="shared" si="54"/>
        <v>7.8547392</v>
      </c>
      <c r="O181">
        <f t="shared" si="55"/>
        <v>7.2299926588235301</v>
      </c>
      <c r="P181">
        <f t="shared" si="56"/>
        <v>5.805615550755939</v>
      </c>
      <c r="Q181">
        <f t="shared" si="57"/>
        <v>67.2</v>
      </c>
      <c r="R181">
        <f t="shared" si="58"/>
        <v>672</v>
      </c>
      <c r="S181">
        <f t="shared" si="59"/>
        <v>313.32</v>
      </c>
      <c r="T181">
        <f t="shared" si="60"/>
        <v>22.679999999999996</v>
      </c>
      <c r="U181">
        <f>I181*E181/'[1]Inverter Analysis'!$L$2</f>
        <v>304.3497337030783</v>
      </c>
      <c r="V181">
        <f t="shared" si="61"/>
        <v>238.0952380952381</v>
      </c>
      <c r="W181">
        <f t="shared" si="62"/>
        <v>255.33001404315078</v>
      </c>
      <c r="X181">
        <f t="shared" si="63"/>
        <v>170.06802721088434</v>
      </c>
      <c r="Y181">
        <f t="shared" si="64"/>
        <v>0.29337037232074004</v>
      </c>
      <c r="Z181">
        <f t="shared" si="65"/>
        <v>8.0171694960000011</v>
      </c>
    </row>
    <row r="182" spans="1:26">
      <c r="A182" s="8">
        <v>15</v>
      </c>
      <c r="B182" s="1">
        <v>6</v>
      </c>
      <c r="C182" s="1">
        <v>7</v>
      </c>
      <c r="D182">
        <f t="shared" si="44"/>
        <v>960</v>
      </c>
      <c r="E182">
        <f t="shared" si="45"/>
        <v>270</v>
      </c>
      <c r="F182">
        <f t="shared" si="46"/>
        <v>44.1</v>
      </c>
      <c r="G182">
        <f t="shared" si="47"/>
        <v>7.8749999999999987E-2</v>
      </c>
      <c r="H182">
        <f t="shared" si="48"/>
        <v>119.07</v>
      </c>
      <c r="I182">
        <f t="shared" si="49"/>
        <v>441</v>
      </c>
      <c r="J182">
        <f t="shared" si="50"/>
        <v>315</v>
      </c>
      <c r="K182">
        <f t="shared" si="51"/>
        <v>85.05</v>
      </c>
      <c r="L182">
        <f t="shared" si="52"/>
        <v>9.602333999999999</v>
      </c>
      <c r="M182">
        <f t="shared" si="53"/>
        <v>9.7240500000000001</v>
      </c>
      <c r="N182">
        <f t="shared" si="54"/>
        <v>7.3638179999999993</v>
      </c>
      <c r="O182">
        <f t="shared" si="55"/>
        <v>6.7781181176470584</v>
      </c>
      <c r="P182">
        <f t="shared" si="56"/>
        <v>5.4427645788336934</v>
      </c>
      <c r="Q182">
        <f t="shared" si="57"/>
        <v>63</v>
      </c>
      <c r="R182">
        <f t="shared" si="58"/>
        <v>630</v>
      </c>
      <c r="S182">
        <f t="shared" si="59"/>
        <v>293.73750000000001</v>
      </c>
      <c r="T182">
        <f t="shared" si="60"/>
        <v>21.262499999999996</v>
      </c>
      <c r="U182">
        <f>I182*E182/'[1]Inverter Analysis'!$L$2</f>
        <v>285.32787534663589</v>
      </c>
      <c r="V182">
        <f t="shared" si="61"/>
        <v>253.96825396825398</v>
      </c>
      <c r="W182">
        <f t="shared" si="62"/>
        <v>272.35201497936083</v>
      </c>
      <c r="X182">
        <f t="shared" si="63"/>
        <v>181.40589569160997</v>
      </c>
      <c r="Y182">
        <f t="shared" si="64"/>
        <v>0.3337902902849309</v>
      </c>
      <c r="Z182">
        <f t="shared" si="65"/>
        <v>6.6059441037597653</v>
      </c>
    </row>
    <row r="183" spans="1:26">
      <c r="A183">
        <v>14</v>
      </c>
      <c r="B183" s="1">
        <v>6</v>
      </c>
      <c r="C183" s="1">
        <v>7</v>
      </c>
      <c r="D183">
        <f t="shared" si="44"/>
        <v>960</v>
      </c>
      <c r="E183">
        <f t="shared" si="45"/>
        <v>270</v>
      </c>
      <c r="F183">
        <f t="shared" si="46"/>
        <v>41.16</v>
      </c>
      <c r="G183">
        <f t="shared" si="47"/>
        <v>7.3499999999999996E-2</v>
      </c>
      <c r="H183">
        <f t="shared" si="48"/>
        <v>111.13200000000001</v>
      </c>
      <c r="I183">
        <f t="shared" si="49"/>
        <v>411.6</v>
      </c>
      <c r="J183">
        <f t="shared" si="50"/>
        <v>294</v>
      </c>
      <c r="K183">
        <f t="shared" si="51"/>
        <v>79.38</v>
      </c>
      <c r="L183">
        <f t="shared" si="52"/>
        <v>8.9621784000000009</v>
      </c>
      <c r="M183">
        <f t="shared" si="53"/>
        <v>9.07578</v>
      </c>
      <c r="N183">
        <f t="shared" si="54"/>
        <v>6.8728968000000004</v>
      </c>
      <c r="O183">
        <f t="shared" si="55"/>
        <v>6.3262435764705893</v>
      </c>
      <c r="P183">
        <f t="shared" si="56"/>
        <v>5.0799136069114477</v>
      </c>
      <c r="Q183">
        <f t="shared" si="57"/>
        <v>58.800000000000004</v>
      </c>
      <c r="R183">
        <f t="shared" si="58"/>
        <v>588</v>
      </c>
      <c r="S183">
        <f t="shared" si="59"/>
        <v>274.15499999999997</v>
      </c>
      <c r="T183">
        <f t="shared" si="60"/>
        <v>19.844999999999999</v>
      </c>
      <c r="U183">
        <f>I183*E183/'[1]Inverter Analysis'!$L$2</f>
        <v>266.30601699019348</v>
      </c>
      <c r="V183">
        <f t="shared" si="61"/>
        <v>272.10884353741494</v>
      </c>
      <c r="W183">
        <f t="shared" si="62"/>
        <v>291.80573033502947</v>
      </c>
      <c r="X183">
        <f t="shared" si="63"/>
        <v>194.36345966958211</v>
      </c>
      <c r="Y183">
        <f t="shared" si="64"/>
        <v>0.38317762915361964</v>
      </c>
      <c r="Z183">
        <f t="shared" si="65"/>
        <v>5.3708772209531253</v>
      </c>
    </row>
    <row r="184" spans="1:26">
      <c r="A184">
        <v>13</v>
      </c>
      <c r="B184" s="1">
        <v>6</v>
      </c>
      <c r="C184" s="1">
        <v>7</v>
      </c>
      <c r="D184">
        <f t="shared" si="44"/>
        <v>960</v>
      </c>
      <c r="E184">
        <f t="shared" si="45"/>
        <v>270</v>
      </c>
      <c r="F184">
        <f t="shared" si="46"/>
        <v>38.22</v>
      </c>
      <c r="G184">
        <f t="shared" si="47"/>
        <v>6.8249999999999991E-2</v>
      </c>
      <c r="H184">
        <f t="shared" si="48"/>
        <v>103.194</v>
      </c>
      <c r="I184">
        <f t="shared" si="49"/>
        <v>382.2</v>
      </c>
      <c r="J184">
        <f t="shared" si="50"/>
        <v>273</v>
      </c>
      <c r="K184">
        <f t="shared" si="51"/>
        <v>73.709999999999994</v>
      </c>
      <c r="L184">
        <f t="shared" si="52"/>
        <v>8.3220227999999992</v>
      </c>
      <c r="M184">
        <f t="shared" si="53"/>
        <v>8.4275099999999981</v>
      </c>
      <c r="N184">
        <f t="shared" si="54"/>
        <v>6.3819755999999996</v>
      </c>
      <c r="O184">
        <f t="shared" si="55"/>
        <v>5.8743690352941176</v>
      </c>
      <c r="P184">
        <f t="shared" si="56"/>
        <v>4.7170626349892002</v>
      </c>
      <c r="Q184">
        <f t="shared" si="57"/>
        <v>54.6</v>
      </c>
      <c r="R184">
        <f t="shared" si="58"/>
        <v>546</v>
      </c>
      <c r="S184">
        <f t="shared" si="59"/>
        <v>254.57249999999999</v>
      </c>
      <c r="T184">
        <f t="shared" si="60"/>
        <v>18.427499999999998</v>
      </c>
      <c r="U184">
        <f>I184*E184/'[1]Inverter Analysis'!$L$2</f>
        <v>247.2841586337511</v>
      </c>
      <c r="V184">
        <f t="shared" si="61"/>
        <v>293.04029304029302</v>
      </c>
      <c r="W184">
        <f t="shared" si="62"/>
        <v>314.25232497618561</v>
      </c>
      <c r="X184">
        <f t="shared" si="63"/>
        <v>209.31449502878075</v>
      </c>
      <c r="Y184">
        <f t="shared" si="64"/>
        <v>0.44439535688822174</v>
      </c>
      <c r="Z184">
        <f t="shared" si="65"/>
        <v>4.3002249469511709</v>
      </c>
    </row>
    <row r="185" spans="1:26">
      <c r="A185">
        <v>12</v>
      </c>
      <c r="B185" s="1">
        <v>6</v>
      </c>
      <c r="C185" s="1">
        <v>7</v>
      </c>
      <c r="D185">
        <f t="shared" si="44"/>
        <v>960</v>
      </c>
      <c r="E185">
        <f t="shared" si="45"/>
        <v>270</v>
      </c>
      <c r="F185">
        <f t="shared" si="46"/>
        <v>35.28</v>
      </c>
      <c r="G185">
        <f t="shared" si="47"/>
        <v>6.3E-2</v>
      </c>
      <c r="H185">
        <f t="shared" si="48"/>
        <v>95.256</v>
      </c>
      <c r="I185">
        <f t="shared" si="49"/>
        <v>352.8</v>
      </c>
      <c r="J185">
        <f t="shared" si="50"/>
        <v>252</v>
      </c>
      <c r="K185">
        <f t="shared" si="51"/>
        <v>68.040000000000006</v>
      </c>
      <c r="L185">
        <f t="shared" si="52"/>
        <v>7.681867200000001</v>
      </c>
      <c r="M185">
        <f t="shared" si="53"/>
        <v>7.7792399999999997</v>
      </c>
      <c r="N185">
        <f t="shared" si="54"/>
        <v>5.8910543999999998</v>
      </c>
      <c r="O185">
        <f t="shared" si="55"/>
        <v>5.4224944941176485</v>
      </c>
      <c r="P185">
        <f t="shared" si="56"/>
        <v>4.3542116630669545</v>
      </c>
      <c r="Q185">
        <f t="shared" si="57"/>
        <v>50.4</v>
      </c>
      <c r="R185">
        <f t="shared" si="58"/>
        <v>504</v>
      </c>
      <c r="S185">
        <f t="shared" si="59"/>
        <v>234.99</v>
      </c>
      <c r="T185">
        <f t="shared" si="60"/>
        <v>17.010000000000002</v>
      </c>
      <c r="U185">
        <f>I185*E185/'[1]Inverter Analysis'!$L$2</f>
        <v>228.26230027730873</v>
      </c>
      <c r="V185">
        <f t="shared" si="61"/>
        <v>317.46031746031747</v>
      </c>
      <c r="W185">
        <f t="shared" si="62"/>
        <v>340.44001872420102</v>
      </c>
      <c r="X185">
        <f t="shared" si="63"/>
        <v>226.75736961451247</v>
      </c>
      <c r="Y185">
        <f t="shared" si="64"/>
        <v>0.52154732857020447</v>
      </c>
      <c r="Z185">
        <f t="shared" si="65"/>
        <v>3.3822433811250003</v>
      </c>
    </row>
    <row r="186" spans="1:26">
      <c r="A186">
        <v>11</v>
      </c>
      <c r="B186" s="1">
        <v>6</v>
      </c>
      <c r="C186" s="1">
        <v>7</v>
      </c>
      <c r="D186">
        <f t="shared" si="44"/>
        <v>960</v>
      </c>
      <c r="E186">
        <f t="shared" si="45"/>
        <v>270</v>
      </c>
      <c r="F186">
        <f t="shared" si="46"/>
        <v>32.340000000000003</v>
      </c>
      <c r="G186">
        <f t="shared" si="47"/>
        <v>5.7749999999999989E-2</v>
      </c>
      <c r="H186">
        <f t="shared" si="48"/>
        <v>87.318000000000012</v>
      </c>
      <c r="I186">
        <f t="shared" si="49"/>
        <v>323.40000000000003</v>
      </c>
      <c r="J186">
        <f t="shared" si="50"/>
        <v>231</v>
      </c>
      <c r="K186">
        <f t="shared" si="51"/>
        <v>62.37</v>
      </c>
      <c r="L186">
        <f t="shared" si="52"/>
        <v>7.0417116000000002</v>
      </c>
      <c r="M186">
        <f t="shared" si="53"/>
        <v>7.1309700000000014</v>
      </c>
      <c r="N186">
        <f t="shared" si="54"/>
        <v>5.4001332</v>
      </c>
      <c r="O186">
        <f t="shared" si="55"/>
        <v>4.9706199529411768</v>
      </c>
      <c r="P186">
        <f t="shared" si="56"/>
        <v>3.9913606911447088</v>
      </c>
      <c r="Q186">
        <f t="shared" si="57"/>
        <v>46.2</v>
      </c>
      <c r="R186">
        <f t="shared" si="58"/>
        <v>462</v>
      </c>
      <c r="S186">
        <f t="shared" si="59"/>
        <v>215.4075</v>
      </c>
      <c r="T186">
        <f t="shared" si="60"/>
        <v>15.592499999999998</v>
      </c>
      <c r="U186">
        <f>I186*E186/'[1]Inverter Analysis'!$L$2</f>
        <v>209.24044192086635</v>
      </c>
      <c r="V186">
        <f t="shared" si="61"/>
        <v>346.32034632034635</v>
      </c>
      <c r="W186">
        <f t="shared" si="62"/>
        <v>371.38911133549203</v>
      </c>
      <c r="X186">
        <f t="shared" si="63"/>
        <v>247.37167594310449</v>
      </c>
      <c r="Y186">
        <f t="shared" si="64"/>
        <v>0.62068442408354918</v>
      </c>
      <c r="Z186">
        <f t="shared" si="65"/>
        <v>2.605188622845704</v>
      </c>
    </row>
    <row r="187" spans="1:26">
      <c r="A187">
        <v>10</v>
      </c>
      <c r="B187" s="1">
        <v>6</v>
      </c>
      <c r="C187" s="1">
        <v>7</v>
      </c>
      <c r="D187">
        <f t="shared" si="44"/>
        <v>960</v>
      </c>
      <c r="E187">
        <f t="shared" si="45"/>
        <v>270</v>
      </c>
      <c r="F187">
        <f t="shared" si="46"/>
        <v>29.4</v>
      </c>
      <c r="G187">
        <f t="shared" si="47"/>
        <v>5.2499999999999991E-2</v>
      </c>
      <c r="H187">
        <f t="shared" si="48"/>
        <v>79.38</v>
      </c>
      <c r="I187">
        <f t="shared" si="49"/>
        <v>294</v>
      </c>
      <c r="J187">
        <f t="shared" si="50"/>
        <v>210</v>
      </c>
      <c r="K187">
        <f t="shared" si="51"/>
        <v>56.7</v>
      </c>
      <c r="L187">
        <f t="shared" si="52"/>
        <v>6.4015559999999994</v>
      </c>
      <c r="M187">
        <f t="shared" si="53"/>
        <v>6.4827000000000004</v>
      </c>
      <c r="N187">
        <f t="shared" si="54"/>
        <v>4.9092119999999992</v>
      </c>
      <c r="O187">
        <f t="shared" si="55"/>
        <v>4.5187454117647059</v>
      </c>
      <c r="P187">
        <f t="shared" si="56"/>
        <v>3.6285097192224618</v>
      </c>
      <c r="Q187">
        <f t="shared" si="57"/>
        <v>42</v>
      </c>
      <c r="R187">
        <f t="shared" si="58"/>
        <v>420</v>
      </c>
      <c r="S187">
        <f t="shared" si="59"/>
        <v>195.82499999999999</v>
      </c>
      <c r="T187">
        <f t="shared" si="60"/>
        <v>14.174999999999997</v>
      </c>
      <c r="U187">
        <f>I187*E187/'[1]Inverter Analysis'!$L$2</f>
        <v>190.21858356442394</v>
      </c>
      <c r="V187">
        <f t="shared" si="61"/>
        <v>380.95238095238096</v>
      </c>
      <c r="W187">
        <f t="shared" si="62"/>
        <v>408.52802246904128</v>
      </c>
      <c r="X187">
        <f t="shared" si="63"/>
        <v>272.10884353741494</v>
      </c>
      <c r="Y187">
        <f t="shared" si="64"/>
        <v>0.75102815314109461</v>
      </c>
      <c r="Z187">
        <f t="shared" si="65"/>
        <v>1.9573167714843747</v>
      </c>
    </row>
    <row r="188" spans="1:26">
      <c r="A188" s="8">
        <v>16</v>
      </c>
      <c r="B188" s="9">
        <v>5</v>
      </c>
      <c r="C188" s="1">
        <v>7</v>
      </c>
      <c r="D188">
        <f t="shared" si="44"/>
        <v>800</v>
      </c>
      <c r="E188">
        <f t="shared" si="45"/>
        <v>225</v>
      </c>
      <c r="F188">
        <f t="shared" si="46"/>
        <v>39.200000000000003</v>
      </c>
      <c r="G188">
        <f t="shared" si="47"/>
        <v>0.1008</v>
      </c>
      <c r="H188">
        <f t="shared" si="48"/>
        <v>105.84000000000002</v>
      </c>
      <c r="I188">
        <f t="shared" si="49"/>
        <v>470.40000000000003</v>
      </c>
      <c r="J188">
        <f t="shared" si="50"/>
        <v>336</v>
      </c>
      <c r="K188">
        <f t="shared" si="51"/>
        <v>75.599999999999994</v>
      </c>
      <c r="L188">
        <f t="shared" si="52"/>
        <v>8.5354080000000021</v>
      </c>
      <c r="M188">
        <f t="shared" si="53"/>
        <v>8.6436000000000011</v>
      </c>
      <c r="N188">
        <f t="shared" si="54"/>
        <v>6.5456159999999999</v>
      </c>
      <c r="O188">
        <f t="shared" si="55"/>
        <v>6.024993882352943</v>
      </c>
      <c r="P188">
        <f t="shared" si="56"/>
        <v>4.838012958963283</v>
      </c>
      <c r="Q188">
        <f t="shared" si="57"/>
        <v>67.2</v>
      </c>
      <c r="R188">
        <f t="shared" si="58"/>
        <v>560</v>
      </c>
      <c r="S188">
        <f t="shared" si="59"/>
        <v>313.32</v>
      </c>
      <c r="T188">
        <f t="shared" si="60"/>
        <v>22.68</v>
      </c>
      <c r="U188">
        <f>I188*E188/'[1]Inverter Analysis'!$L$2</f>
        <v>253.62477808589861</v>
      </c>
      <c r="V188">
        <f t="shared" si="61"/>
        <v>238.0952380952381</v>
      </c>
      <c r="W188">
        <f t="shared" si="62"/>
        <v>255.33001404315078</v>
      </c>
      <c r="X188">
        <f t="shared" si="63"/>
        <v>170.06802721088434</v>
      </c>
      <c r="Y188">
        <f t="shared" si="64"/>
        <v>0.29337037232074004</v>
      </c>
      <c r="Z188">
        <f t="shared" si="65"/>
        <v>6.6809745800000009</v>
      </c>
    </row>
    <row r="189" spans="1:26">
      <c r="A189" s="8">
        <v>15</v>
      </c>
      <c r="B189" s="9">
        <v>5</v>
      </c>
      <c r="C189" s="1">
        <v>7</v>
      </c>
      <c r="D189">
        <f t="shared" si="44"/>
        <v>800</v>
      </c>
      <c r="E189">
        <f t="shared" si="45"/>
        <v>225</v>
      </c>
      <c r="F189">
        <f t="shared" si="46"/>
        <v>36.75</v>
      </c>
      <c r="G189">
        <f t="shared" si="47"/>
        <v>9.4500000000000001E-2</v>
      </c>
      <c r="H189">
        <f t="shared" si="48"/>
        <v>99.224999999999994</v>
      </c>
      <c r="I189">
        <f t="shared" si="49"/>
        <v>441</v>
      </c>
      <c r="J189">
        <f t="shared" si="50"/>
        <v>315</v>
      </c>
      <c r="K189">
        <f t="shared" si="51"/>
        <v>70.875</v>
      </c>
      <c r="L189">
        <f t="shared" si="52"/>
        <v>8.0019449999999992</v>
      </c>
      <c r="M189">
        <f t="shared" si="53"/>
        <v>8.1033749999999998</v>
      </c>
      <c r="N189">
        <f t="shared" si="54"/>
        <v>6.1365149999999993</v>
      </c>
      <c r="O189">
        <f t="shared" si="55"/>
        <v>5.6484317647058822</v>
      </c>
      <c r="P189">
        <f t="shared" si="56"/>
        <v>4.5356371490280774</v>
      </c>
      <c r="Q189">
        <f t="shared" si="57"/>
        <v>63</v>
      </c>
      <c r="R189">
        <f t="shared" si="58"/>
        <v>525</v>
      </c>
      <c r="S189">
        <f t="shared" si="59"/>
        <v>293.73750000000001</v>
      </c>
      <c r="T189">
        <f t="shared" si="60"/>
        <v>21.262499999999999</v>
      </c>
      <c r="U189">
        <f>I189*E189/'[1]Inverter Analysis'!$L$2</f>
        <v>237.7732294555299</v>
      </c>
      <c r="V189">
        <f t="shared" si="61"/>
        <v>253.96825396825398</v>
      </c>
      <c r="W189">
        <f t="shared" si="62"/>
        <v>272.35201497936083</v>
      </c>
      <c r="X189">
        <f t="shared" si="63"/>
        <v>181.40589569160997</v>
      </c>
      <c r="Y189">
        <f t="shared" si="64"/>
        <v>0.3337902902849309</v>
      </c>
      <c r="Z189">
        <f t="shared" si="65"/>
        <v>5.5049534197998051</v>
      </c>
    </row>
    <row r="190" spans="1:26">
      <c r="A190">
        <v>14</v>
      </c>
      <c r="B190" s="9">
        <v>5</v>
      </c>
      <c r="C190" s="1">
        <v>7</v>
      </c>
      <c r="D190">
        <f t="shared" si="44"/>
        <v>800</v>
      </c>
      <c r="E190">
        <f t="shared" si="45"/>
        <v>225</v>
      </c>
      <c r="F190">
        <f t="shared" si="46"/>
        <v>34.299999999999997</v>
      </c>
      <c r="G190">
        <f t="shared" si="47"/>
        <v>8.8200000000000001E-2</v>
      </c>
      <c r="H190">
        <f t="shared" si="48"/>
        <v>92.61</v>
      </c>
      <c r="I190">
        <f t="shared" si="49"/>
        <v>411.6</v>
      </c>
      <c r="J190">
        <f t="shared" si="50"/>
        <v>294</v>
      </c>
      <c r="K190">
        <f t="shared" si="51"/>
        <v>66.150000000000006</v>
      </c>
      <c r="L190">
        <f t="shared" si="52"/>
        <v>7.4684819999999998</v>
      </c>
      <c r="M190">
        <f t="shared" si="53"/>
        <v>7.5631500000000003</v>
      </c>
      <c r="N190">
        <f t="shared" si="54"/>
        <v>5.7274139999999996</v>
      </c>
      <c r="O190">
        <f t="shared" si="55"/>
        <v>5.271869647058824</v>
      </c>
      <c r="P190">
        <f t="shared" si="56"/>
        <v>4.2332613390928726</v>
      </c>
      <c r="Q190">
        <f t="shared" si="57"/>
        <v>58.800000000000004</v>
      </c>
      <c r="R190">
        <f t="shared" si="58"/>
        <v>490</v>
      </c>
      <c r="S190">
        <f t="shared" si="59"/>
        <v>274.15499999999997</v>
      </c>
      <c r="T190">
        <f t="shared" si="60"/>
        <v>19.844999999999999</v>
      </c>
      <c r="U190">
        <f>I190*E190/'[1]Inverter Analysis'!$L$2</f>
        <v>221.92168082516125</v>
      </c>
      <c r="V190">
        <f t="shared" si="61"/>
        <v>272.10884353741494</v>
      </c>
      <c r="W190">
        <f t="shared" si="62"/>
        <v>291.80573033502947</v>
      </c>
      <c r="X190">
        <f t="shared" si="63"/>
        <v>194.36345966958211</v>
      </c>
      <c r="Y190">
        <f t="shared" si="64"/>
        <v>0.38317762915361964</v>
      </c>
      <c r="Z190">
        <f t="shared" si="65"/>
        <v>4.4757310174609373</v>
      </c>
    </row>
    <row r="191" spans="1:26">
      <c r="A191">
        <v>13</v>
      </c>
      <c r="B191" s="9">
        <v>5</v>
      </c>
      <c r="C191" s="1">
        <v>7</v>
      </c>
      <c r="D191">
        <f t="shared" si="44"/>
        <v>800</v>
      </c>
      <c r="E191">
        <f t="shared" si="45"/>
        <v>225</v>
      </c>
      <c r="F191">
        <f t="shared" si="46"/>
        <v>31.85</v>
      </c>
      <c r="G191">
        <f t="shared" si="47"/>
        <v>8.1900000000000001E-2</v>
      </c>
      <c r="H191">
        <f t="shared" si="48"/>
        <v>85.995000000000005</v>
      </c>
      <c r="I191">
        <f t="shared" si="49"/>
        <v>382.2</v>
      </c>
      <c r="J191">
        <f t="shared" si="50"/>
        <v>273</v>
      </c>
      <c r="K191">
        <f t="shared" si="51"/>
        <v>61.424999999999997</v>
      </c>
      <c r="L191">
        <f t="shared" si="52"/>
        <v>6.9350190000000005</v>
      </c>
      <c r="M191">
        <f t="shared" si="53"/>
        <v>7.022924999999999</v>
      </c>
      <c r="N191">
        <f t="shared" si="54"/>
        <v>5.318312999999999</v>
      </c>
      <c r="O191">
        <f t="shared" si="55"/>
        <v>4.8953075294117649</v>
      </c>
      <c r="P191">
        <f t="shared" si="56"/>
        <v>3.930885529157667</v>
      </c>
      <c r="Q191">
        <f t="shared" si="57"/>
        <v>54.6</v>
      </c>
      <c r="R191">
        <f t="shared" si="58"/>
        <v>455</v>
      </c>
      <c r="S191">
        <f t="shared" si="59"/>
        <v>254.57249999999999</v>
      </c>
      <c r="T191">
        <f t="shared" si="60"/>
        <v>18.427499999999998</v>
      </c>
      <c r="U191">
        <f>I191*E191/'[1]Inverter Analysis'!$L$2</f>
        <v>206.07013219479259</v>
      </c>
      <c r="V191">
        <f t="shared" si="61"/>
        <v>293.04029304029302</v>
      </c>
      <c r="W191">
        <f t="shared" si="62"/>
        <v>314.25232497618561</v>
      </c>
      <c r="X191">
        <f t="shared" si="63"/>
        <v>209.31449502878075</v>
      </c>
      <c r="Y191">
        <f t="shared" si="64"/>
        <v>0.44439535688822174</v>
      </c>
      <c r="Z191">
        <f t="shared" si="65"/>
        <v>3.5835207891259757</v>
      </c>
    </row>
    <row r="192" spans="1:26">
      <c r="A192">
        <v>12</v>
      </c>
      <c r="B192" s="9">
        <v>5</v>
      </c>
      <c r="C192" s="1">
        <v>7</v>
      </c>
      <c r="D192">
        <f t="shared" si="44"/>
        <v>800</v>
      </c>
      <c r="E192">
        <f t="shared" si="45"/>
        <v>225</v>
      </c>
      <c r="F192">
        <f t="shared" si="46"/>
        <v>29.4</v>
      </c>
      <c r="G192">
        <f t="shared" si="47"/>
        <v>7.5600000000000001E-2</v>
      </c>
      <c r="H192">
        <f t="shared" si="48"/>
        <v>79.38</v>
      </c>
      <c r="I192">
        <f t="shared" si="49"/>
        <v>352.8</v>
      </c>
      <c r="J192">
        <f t="shared" si="50"/>
        <v>252</v>
      </c>
      <c r="K192">
        <f t="shared" si="51"/>
        <v>56.7</v>
      </c>
      <c r="L192">
        <f t="shared" si="52"/>
        <v>6.4015560000000002</v>
      </c>
      <c r="M192">
        <f t="shared" si="53"/>
        <v>6.4826999999999995</v>
      </c>
      <c r="N192">
        <f t="shared" si="54"/>
        <v>4.9092119999999992</v>
      </c>
      <c r="O192">
        <f t="shared" si="55"/>
        <v>4.5187454117647068</v>
      </c>
      <c r="P192">
        <f t="shared" si="56"/>
        <v>3.6285097192224618</v>
      </c>
      <c r="Q192">
        <f t="shared" si="57"/>
        <v>50.4</v>
      </c>
      <c r="R192">
        <f t="shared" si="58"/>
        <v>420</v>
      </c>
      <c r="S192">
        <f t="shared" si="59"/>
        <v>234.99</v>
      </c>
      <c r="T192">
        <f t="shared" si="60"/>
        <v>17.010000000000002</v>
      </c>
      <c r="U192">
        <f>I192*E192/'[1]Inverter Analysis'!$L$2</f>
        <v>190.21858356442394</v>
      </c>
      <c r="V192">
        <f t="shared" si="61"/>
        <v>317.46031746031747</v>
      </c>
      <c r="W192">
        <f t="shared" si="62"/>
        <v>340.44001872420102</v>
      </c>
      <c r="X192">
        <f t="shared" si="63"/>
        <v>226.75736961451247</v>
      </c>
      <c r="Y192">
        <f t="shared" si="64"/>
        <v>0.52154732857020447</v>
      </c>
      <c r="Z192">
        <f t="shared" si="65"/>
        <v>2.8185361509375002</v>
      </c>
    </row>
    <row r="193" spans="1:26">
      <c r="A193">
        <v>11</v>
      </c>
      <c r="B193" s="9">
        <v>5</v>
      </c>
      <c r="C193" s="1">
        <v>7</v>
      </c>
      <c r="D193">
        <f t="shared" si="44"/>
        <v>800</v>
      </c>
      <c r="E193">
        <f t="shared" si="45"/>
        <v>225</v>
      </c>
      <c r="F193">
        <f t="shared" si="46"/>
        <v>26.95</v>
      </c>
      <c r="G193">
        <f t="shared" si="47"/>
        <v>6.93E-2</v>
      </c>
      <c r="H193">
        <f t="shared" si="48"/>
        <v>72.765000000000015</v>
      </c>
      <c r="I193">
        <f t="shared" si="49"/>
        <v>323.40000000000003</v>
      </c>
      <c r="J193">
        <f t="shared" si="50"/>
        <v>231</v>
      </c>
      <c r="K193">
        <f t="shared" si="51"/>
        <v>51.975000000000001</v>
      </c>
      <c r="L193">
        <f t="shared" si="52"/>
        <v>5.868093</v>
      </c>
      <c r="M193">
        <f t="shared" si="53"/>
        <v>5.942475</v>
      </c>
      <c r="N193">
        <f t="shared" si="54"/>
        <v>4.5001110000000004</v>
      </c>
      <c r="O193">
        <f t="shared" si="55"/>
        <v>4.1421832941176477</v>
      </c>
      <c r="P193">
        <f t="shared" si="56"/>
        <v>3.3261339092872575</v>
      </c>
      <c r="Q193">
        <f t="shared" si="57"/>
        <v>46.2</v>
      </c>
      <c r="R193">
        <f t="shared" si="58"/>
        <v>385</v>
      </c>
      <c r="S193">
        <f t="shared" si="59"/>
        <v>215.4075</v>
      </c>
      <c r="T193">
        <f t="shared" si="60"/>
        <v>15.592499999999999</v>
      </c>
      <c r="U193">
        <f>I193*E193/'[1]Inverter Analysis'!$L$2</f>
        <v>174.36703493405531</v>
      </c>
      <c r="V193">
        <f t="shared" si="61"/>
        <v>346.32034632034635</v>
      </c>
      <c r="W193">
        <f t="shared" si="62"/>
        <v>371.38911133549203</v>
      </c>
      <c r="X193">
        <f t="shared" si="63"/>
        <v>247.37167594310449</v>
      </c>
      <c r="Y193">
        <f t="shared" si="64"/>
        <v>0.62068442408354918</v>
      </c>
      <c r="Z193">
        <f t="shared" si="65"/>
        <v>2.170990519038086</v>
      </c>
    </row>
    <row r="194" spans="1:26">
      <c r="A194">
        <v>10</v>
      </c>
      <c r="B194" s="9">
        <v>5</v>
      </c>
      <c r="C194" s="1">
        <v>7</v>
      </c>
      <c r="D194">
        <f t="shared" si="44"/>
        <v>800</v>
      </c>
      <c r="E194">
        <f t="shared" si="45"/>
        <v>225</v>
      </c>
      <c r="F194">
        <f t="shared" si="46"/>
        <v>24.5</v>
      </c>
      <c r="G194">
        <f t="shared" si="47"/>
        <v>6.3E-2</v>
      </c>
      <c r="H194">
        <f t="shared" si="48"/>
        <v>66.150000000000006</v>
      </c>
      <c r="I194">
        <f t="shared" si="49"/>
        <v>294</v>
      </c>
      <c r="J194">
        <f t="shared" si="50"/>
        <v>210</v>
      </c>
      <c r="K194">
        <f t="shared" si="51"/>
        <v>47.25</v>
      </c>
      <c r="L194">
        <f t="shared" si="52"/>
        <v>5.3346299999999989</v>
      </c>
      <c r="M194">
        <f t="shared" si="53"/>
        <v>5.4022500000000004</v>
      </c>
      <c r="N194">
        <f t="shared" si="54"/>
        <v>4.0910099999999998</v>
      </c>
      <c r="O194">
        <f t="shared" si="55"/>
        <v>3.7656211764705878</v>
      </c>
      <c r="P194">
        <f t="shared" si="56"/>
        <v>3.0237580993520514</v>
      </c>
      <c r="Q194">
        <f t="shared" si="57"/>
        <v>42</v>
      </c>
      <c r="R194">
        <f t="shared" si="58"/>
        <v>350</v>
      </c>
      <c r="S194">
        <f t="shared" si="59"/>
        <v>195.82499999999999</v>
      </c>
      <c r="T194">
        <f t="shared" si="60"/>
        <v>14.175000000000001</v>
      </c>
      <c r="U194">
        <f>I194*E194/'[1]Inverter Analysis'!$L$2</f>
        <v>158.5154863036866</v>
      </c>
      <c r="V194">
        <f t="shared" si="61"/>
        <v>380.95238095238096</v>
      </c>
      <c r="W194">
        <f t="shared" si="62"/>
        <v>408.52802246904128</v>
      </c>
      <c r="X194">
        <f t="shared" si="63"/>
        <v>272.10884353741494</v>
      </c>
      <c r="Y194">
        <f t="shared" si="64"/>
        <v>0.75102815314109461</v>
      </c>
      <c r="Z194">
        <f t="shared" si="65"/>
        <v>1.6310973095703125</v>
      </c>
    </row>
    <row r="195" spans="1:26">
      <c r="A195">
        <v>16</v>
      </c>
      <c r="B195">
        <v>4</v>
      </c>
      <c r="C195" s="1">
        <v>7</v>
      </c>
      <c r="D195">
        <f t="shared" si="44"/>
        <v>640</v>
      </c>
      <c r="E195">
        <f t="shared" si="45"/>
        <v>180</v>
      </c>
      <c r="F195">
        <f t="shared" si="46"/>
        <v>31.36</v>
      </c>
      <c r="G195">
        <f t="shared" si="47"/>
        <v>0.126</v>
      </c>
      <c r="H195">
        <f t="shared" si="48"/>
        <v>84.671999999999997</v>
      </c>
      <c r="I195">
        <f t="shared" si="49"/>
        <v>470.40000000000003</v>
      </c>
      <c r="J195">
        <f t="shared" si="50"/>
        <v>336</v>
      </c>
      <c r="K195">
        <f t="shared" si="51"/>
        <v>60.48</v>
      </c>
      <c r="L195">
        <f t="shared" si="52"/>
        <v>6.8283264000000008</v>
      </c>
      <c r="M195">
        <f t="shared" si="53"/>
        <v>6.9148800000000001</v>
      </c>
      <c r="N195">
        <f t="shared" si="54"/>
        <v>5.2364927999999997</v>
      </c>
      <c r="O195">
        <f t="shared" si="55"/>
        <v>4.819995105882354</v>
      </c>
      <c r="P195">
        <f t="shared" si="56"/>
        <v>3.8704103671706265</v>
      </c>
      <c r="Q195">
        <f t="shared" si="57"/>
        <v>67.2</v>
      </c>
      <c r="R195">
        <f t="shared" si="58"/>
        <v>448</v>
      </c>
      <c r="S195">
        <f t="shared" si="59"/>
        <v>313.32</v>
      </c>
      <c r="T195">
        <f t="shared" si="60"/>
        <v>22.68</v>
      </c>
      <c r="U195">
        <f>I195*E195/'[1]Inverter Analysis'!$L$2</f>
        <v>202.89982246871887</v>
      </c>
      <c r="V195">
        <f t="shared" si="61"/>
        <v>238.0952380952381</v>
      </c>
      <c r="W195">
        <f t="shared" si="62"/>
        <v>255.33001404315078</v>
      </c>
      <c r="X195">
        <f t="shared" si="63"/>
        <v>170.06802721088434</v>
      </c>
      <c r="Y195">
        <f t="shared" si="64"/>
        <v>0.29337037232074004</v>
      </c>
      <c r="Z195">
        <f t="shared" si="65"/>
        <v>5.3447796640000007</v>
      </c>
    </row>
    <row r="196" spans="1:26">
      <c r="A196">
        <v>15</v>
      </c>
      <c r="B196">
        <v>4</v>
      </c>
      <c r="C196" s="1">
        <v>7</v>
      </c>
      <c r="D196">
        <f t="shared" si="44"/>
        <v>640</v>
      </c>
      <c r="E196">
        <f t="shared" si="45"/>
        <v>180</v>
      </c>
      <c r="F196">
        <f t="shared" si="46"/>
        <v>29.4</v>
      </c>
      <c r="G196">
        <f t="shared" si="47"/>
        <v>0.11812499999999998</v>
      </c>
      <c r="H196">
        <f t="shared" si="48"/>
        <v>79.38</v>
      </c>
      <c r="I196">
        <f t="shared" si="49"/>
        <v>441</v>
      </c>
      <c r="J196">
        <f t="shared" si="50"/>
        <v>315</v>
      </c>
      <c r="K196">
        <f t="shared" si="51"/>
        <v>56.7</v>
      </c>
      <c r="L196">
        <f t="shared" si="52"/>
        <v>6.4015559999999994</v>
      </c>
      <c r="M196">
        <f t="shared" si="53"/>
        <v>6.4826999999999995</v>
      </c>
      <c r="N196">
        <f t="shared" si="54"/>
        <v>4.9092119999999992</v>
      </c>
      <c r="O196">
        <f t="shared" si="55"/>
        <v>4.5187454117647059</v>
      </c>
      <c r="P196">
        <f t="shared" si="56"/>
        <v>3.6285097192224618</v>
      </c>
      <c r="Q196">
        <f t="shared" si="57"/>
        <v>63</v>
      </c>
      <c r="R196">
        <f t="shared" si="58"/>
        <v>420</v>
      </c>
      <c r="S196">
        <f t="shared" si="59"/>
        <v>293.73750000000001</v>
      </c>
      <c r="T196">
        <f t="shared" si="60"/>
        <v>21.262499999999996</v>
      </c>
      <c r="U196">
        <f>I196*E196/'[1]Inverter Analysis'!$L$2</f>
        <v>190.21858356442394</v>
      </c>
      <c r="V196">
        <f t="shared" si="61"/>
        <v>253.96825396825398</v>
      </c>
      <c r="W196">
        <f t="shared" si="62"/>
        <v>272.35201497936083</v>
      </c>
      <c r="X196">
        <f t="shared" si="63"/>
        <v>181.40589569160997</v>
      </c>
      <c r="Y196">
        <f t="shared" si="64"/>
        <v>0.3337902902849309</v>
      </c>
      <c r="Z196">
        <f t="shared" si="65"/>
        <v>4.4039627358398441</v>
      </c>
    </row>
    <row r="197" spans="1:26">
      <c r="A197">
        <v>14</v>
      </c>
      <c r="B197">
        <v>4</v>
      </c>
      <c r="C197" s="1">
        <v>7</v>
      </c>
      <c r="D197">
        <f t="shared" si="44"/>
        <v>640</v>
      </c>
      <c r="E197">
        <f t="shared" si="45"/>
        <v>180</v>
      </c>
      <c r="F197">
        <f t="shared" si="46"/>
        <v>27.44</v>
      </c>
      <c r="G197">
        <f t="shared" si="47"/>
        <v>0.11025</v>
      </c>
      <c r="H197">
        <f t="shared" si="48"/>
        <v>74.087999999999994</v>
      </c>
      <c r="I197">
        <f t="shared" si="49"/>
        <v>411.6</v>
      </c>
      <c r="J197">
        <f t="shared" si="50"/>
        <v>294</v>
      </c>
      <c r="K197">
        <f t="shared" si="51"/>
        <v>52.92</v>
      </c>
      <c r="L197">
        <f t="shared" si="52"/>
        <v>5.9747856000000006</v>
      </c>
      <c r="M197">
        <f t="shared" si="53"/>
        <v>6.0505200000000006</v>
      </c>
      <c r="N197">
        <f t="shared" si="54"/>
        <v>4.5819311999999996</v>
      </c>
      <c r="O197">
        <f t="shared" si="55"/>
        <v>4.2174957176470595</v>
      </c>
      <c r="P197">
        <f t="shared" si="56"/>
        <v>3.386609071274298</v>
      </c>
      <c r="Q197">
        <f t="shared" si="57"/>
        <v>58.800000000000004</v>
      </c>
      <c r="R197">
        <f t="shared" si="58"/>
        <v>392</v>
      </c>
      <c r="S197">
        <f t="shared" si="59"/>
        <v>274.15499999999997</v>
      </c>
      <c r="T197">
        <f t="shared" si="60"/>
        <v>19.844999999999999</v>
      </c>
      <c r="U197">
        <f>I197*E197/'[1]Inverter Analysis'!$L$2</f>
        <v>177.53734466012901</v>
      </c>
      <c r="V197">
        <f t="shared" si="61"/>
        <v>272.10884353741494</v>
      </c>
      <c r="W197">
        <f t="shared" si="62"/>
        <v>291.80573033502947</v>
      </c>
      <c r="X197">
        <f t="shared" si="63"/>
        <v>194.36345966958211</v>
      </c>
      <c r="Y197">
        <f t="shared" si="64"/>
        <v>0.38317762915361964</v>
      </c>
      <c r="Z197">
        <f t="shared" si="65"/>
        <v>3.5805848139687506</v>
      </c>
    </row>
    <row r="198" spans="1:26">
      <c r="A198">
        <v>13</v>
      </c>
      <c r="B198">
        <v>4</v>
      </c>
      <c r="C198" s="1">
        <v>7</v>
      </c>
      <c r="D198">
        <f t="shared" si="44"/>
        <v>640</v>
      </c>
      <c r="E198">
        <f t="shared" si="45"/>
        <v>180</v>
      </c>
      <c r="F198">
        <f t="shared" si="46"/>
        <v>25.48</v>
      </c>
      <c r="G198">
        <f t="shared" si="47"/>
        <v>0.10237499999999999</v>
      </c>
      <c r="H198">
        <f t="shared" si="48"/>
        <v>68.796000000000006</v>
      </c>
      <c r="I198">
        <f t="shared" si="49"/>
        <v>382.2</v>
      </c>
      <c r="J198">
        <f t="shared" si="50"/>
        <v>273</v>
      </c>
      <c r="K198">
        <f t="shared" si="51"/>
        <v>49.14</v>
      </c>
      <c r="L198">
        <f t="shared" si="52"/>
        <v>5.5480152</v>
      </c>
      <c r="M198">
        <f t="shared" si="53"/>
        <v>5.618339999999999</v>
      </c>
      <c r="N198">
        <f t="shared" si="54"/>
        <v>4.2546503999999992</v>
      </c>
      <c r="O198">
        <f t="shared" si="55"/>
        <v>3.9162460235294119</v>
      </c>
      <c r="P198">
        <f t="shared" si="56"/>
        <v>3.1447084233261338</v>
      </c>
      <c r="Q198">
        <f t="shared" si="57"/>
        <v>54.6</v>
      </c>
      <c r="R198">
        <f t="shared" si="58"/>
        <v>364</v>
      </c>
      <c r="S198">
        <f t="shared" si="59"/>
        <v>254.57249999999999</v>
      </c>
      <c r="T198">
        <f t="shared" si="60"/>
        <v>18.427499999999998</v>
      </c>
      <c r="U198">
        <f>I198*E198/'[1]Inverter Analysis'!$L$2</f>
        <v>164.85610575583408</v>
      </c>
      <c r="V198">
        <f t="shared" si="61"/>
        <v>293.04029304029302</v>
      </c>
      <c r="W198">
        <f t="shared" si="62"/>
        <v>314.25232497618561</v>
      </c>
      <c r="X198">
        <f t="shared" si="63"/>
        <v>209.31449502878075</v>
      </c>
      <c r="Y198">
        <f t="shared" si="64"/>
        <v>0.44439535688822174</v>
      </c>
      <c r="Z198">
        <f t="shared" si="65"/>
        <v>2.866816631300781</v>
      </c>
    </row>
    <row r="199" spans="1:26">
      <c r="A199">
        <v>12</v>
      </c>
      <c r="B199">
        <v>4</v>
      </c>
      <c r="C199" s="1">
        <v>7</v>
      </c>
      <c r="D199">
        <f t="shared" ref="D199:D227" si="66">B199*$J$3</f>
        <v>640</v>
      </c>
      <c r="E199">
        <f t="shared" ref="E199:E227" si="67">B199*$I$3</f>
        <v>180</v>
      </c>
      <c r="F199">
        <f t="shared" ref="F199:F227" si="68">A199*B199*C199*$Q$3/1000</f>
        <v>23.52</v>
      </c>
      <c r="G199">
        <f t="shared" ref="G199:G227" si="69">((B199*$R$3^(-1))^(-1))*A199*C199</f>
        <v>9.4499999999999987E-2</v>
      </c>
      <c r="H199">
        <f t="shared" ref="H199:H227" si="70">E199*I199/1000</f>
        <v>63.503999999999998</v>
      </c>
      <c r="I199">
        <f t="shared" ref="I199:I227" si="71">A199*C199*4.2</f>
        <v>352.8</v>
      </c>
      <c r="J199">
        <f t="shared" ref="J199:J227" si="72">C199*A199*$K$3</f>
        <v>252</v>
      </c>
      <c r="K199">
        <f t="shared" ref="K199:K227" si="73">E199*J199/1000</f>
        <v>45.36</v>
      </c>
      <c r="L199">
        <f t="shared" ref="L199:L227" si="74">$N$3/1000*I199*B199/1000</f>
        <v>5.1212448000000004</v>
      </c>
      <c r="M199">
        <f t="shared" ref="M199:M227" si="75">$O$3/1000*I199*B199/1000</f>
        <v>5.1861600000000001</v>
      </c>
      <c r="N199">
        <f t="shared" ref="N199:N227" si="76">$P$3/1000*I199*B199/1000</f>
        <v>3.9273696</v>
      </c>
      <c r="O199">
        <f t="shared" ref="O199:O227" si="77">L199*(($L$3-$K$3)/($L$3-$M$3))</f>
        <v>3.6149963294117651</v>
      </c>
      <c r="P199">
        <f t="shared" ref="P199:P227" si="78">$H$3/1000*B199*I199/277.8/C199</f>
        <v>2.9028077753779695</v>
      </c>
      <c r="Q199">
        <f t="shared" ref="Q199:Q227" si="79">I199/C199</f>
        <v>50.4</v>
      </c>
      <c r="R199">
        <f t="shared" ref="R199:R227" si="80">(A199*B199*C199)</f>
        <v>336</v>
      </c>
      <c r="S199">
        <f t="shared" ref="S199:S227" si="81">J199-(G199*E199)</f>
        <v>234.99</v>
      </c>
      <c r="T199">
        <f t="shared" ref="T199:T227" si="82">G199*E199</f>
        <v>17.009999999999998</v>
      </c>
      <c r="U199">
        <f>I199*E199/'[1]Inverter Analysis'!$L$2</f>
        <v>152.17486685153915</v>
      </c>
      <c r="V199">
        <f t="shared" ref="V199:V227" si="83">80000/J199</f>
        <v>317.46031746031747</v>
      </c>
      <c r="W199">
        <f t="shared" ref="W199:W227" si="84">80000/S199</f>
        <v>340.44001872420102</v>
      </c>
      <c r="X199">
        <f t="shared" ref="X199:X227" si="85">80000/I199</f>
        <v>226.75736961451247</v>
      </c>
      <c r="Y199">
        <f t="shared" ref="Y199:Y227" si="86">(MAX(V199:X199)^2)*$R$3/1000</f>
        <v>0.52154732857020447</v>
      </c>
      <c r="Z199">
        <f t="shared" ref="Z199:Z227" si="87">($S$3*F199/(Y199*1000))*10</f>
        <v>2.2548289207500001</v>
      </c>
    </row>
    <row r="200" spans="1:26">
      <c r="A200">
        <v>11</v>
      </c>
      <c r="B200">
        <v>4</v>
      </c>
      <c r="C200" s="1">
        <v>7</v>
      </c>
      <c r="D200">
        <f t="shared" si="66"/>
        <v>640</v>
      </c>
      <c r="E200">
        <f t="shared" si="67"/>
        <v>180</v>
      </c>
      <c r="F200">
        <f t="shared" si="68"/>
        <v>21.56</v>
      </c>
      <c r="G200">
        <f t="shared" si="69"/>
        <v>8.6624999999999994E-2</v>
      </c>
      <c r="H200">
        <f t="shared" si="70"/>
        <v>58.21200000000001</v>
      </c>
      <c r="I200">
        <f t="shared" si="71"/>
        <v>323.40000000000003</v>
      </c>
      <c r="J200">
        <f t="shared" si="72"/>
        <v>231</v>
      </c>
      <c r="K200">
        <f t="shared" si="73"/>
        <v>41.58</v>
      </c>
      <c r="L200">
        <f t="shared" si="74"/>
        <v>4.6944743999999998</v>
      </c>
      <c r="M200">
        <f t="shared" si="75"/>
        <v>4.7539800000000003</v>
      </c>
      <c r="N200">
        <f t="shared" si="76"/>
        <v>3.6000888000000004</v>
      </c>
      <c r="O200">
        <f t="shared" si="77"/>
        <v>3.3137466352941178</v>
      </c>
      <c r="P200">
        <f t="shared" si="78"/>
        <v>2.6609071274298057</v>
      </c>
      <c r="Q200">
        <f t="shared" si="79"/>
        <v>46.2</v>
      </c>
      <c r="R200">
        <f t="shared" si="80"/>
        <v>308</v>
      </c>
      <c r="S200">
        <f t="shared" si="81"/>
        <v>215.4075</v>
      </c>
      <c r="T200">
        <f t="shared" si="82"/>
        <v>15.592499999999999</v>
      </c>
      <c r="U200">
        <f>I200*E200/'[1]Inverter Analysis'!$L$2</f>
        <v>139.49362794724422</v>
      </c>
      <c r="V200">
        <f t="shared" si="83"/>
        <v>346.32034632034635</v>
      </c>
      <c r="W200">
        <f t="shared" si="84"/>
        <v>371.38911133549203</v>
      </c>
      <c r="X200">
        <f t="shared" si="85"/>
        <v>247.37167594310449</v>
      </c>
      <c r="Y200">
        <f t="shared" si="86"/>
        <v>0.62068442408354918</v>
      </c>
      <c r="Z200">
        <f t="shared" si="87"/>
        <v>1.736792415230469</v>
      </c>
    </row>
    <row r="201" spans="1:26">
      <c r="A201">
        <v>10</v>
      </c>
      <c r="B201">
        <v>4</v>
      </c>
      <c r="C201" s="1">
        <v>7</v>
      </c>
      <c r="D201">
        <f t="shared" si="66"/>
        <v>640</v>
      </c>
      <c r="E201">
        <f t="shared" si="67"/>
        <v>180</v>
      </c>
      <c r="F201">
        <f t="shared" si="68"/>
        <v>19.600000000000001</v>
      </c>
      <c r="G201">
        <f t="shared" si="69"/>
        <v>7.8750000000000001E-2</v>
      </c>
      <c r="H201">
        <f t="shared" si="70"/>
        <v>52.92</v>
      </c>
      <c r="I201">
        <f t="shared" si="71"/>
        <v>294</v>
      </c>
      <c r="J201">
        <f t="shared" si="72"/>
        <v>210</v>
      </c>
      <c r="K201">
        <f t="shared" si="73"/>
        <v>37.799999999999997</v>
      </c>
      <c r="L201">
        <f t="shared" si="74"/>
        <v>4.2677040000000002</v>
      </c>
      <c r="M201">
        <f t="shared" si="75"/>
        <v>4.3218000000000005</v>
      </c>
      <c r="N201">
        <f t="shared" si="76"/>
        <v>3.2728079999999999</v>
      </c>
      <c r="O201">
        <f t="shared" si="77"/>
        <v>3.012496941176471</v>
      </c>
      <c r="P201">
        <f t="shared" si="78"/>
        <v>2.4190064794816415</v>
      </c>
      <c r="Q201">
        <f t="shared" si="79"/>
        <v>42</v>
      </c>
      <c r="R201">
        <f t="shared" si="80"/>
        <v>280</v>
      </c>
      <c r="S201">
        <f t="shared" si="81"/>
        <v>195.82499999999999</v>
      </c>
      <c r="T201">
        <f t="shared" si="82"/>
        <v>14.175000000000001</v>
      </c>
      <c r="U201">
        <f>I201*E201/'[1]Inverter Analysis'!$L$2</f>
        <v>126.81238904294929</v>
      </c>
      <c r="V201">
        <f t="shared" si="83"/>
        <v>380.95238095238096</v>
      </c>
      <c r="W201">
        <f t="shared" si="84"/>
        <v>408.52802246904128</v>
      </c>
      <c r="X201">
        <f t="shared" si="85"/>
        <v>272.10884353741494</v>
      </c>
      <c r="Y201">
        <f t="shared" si="86"/>
        <v>0.75102815314109461</v>
      </c>
      <c r="Z201">
        <f t="shared" si="87"/>
        <v>1.3048778476562497</v>
      </c>
    </row>
    <row r="202" spans="1:26">
      <c r="A202">
        <v>16</v>
      </c>
      <c r="B202">
        <v>3</v>
      </c>
      <c r="C202" s="1">
        <v>7</v>
      </c>
      <c r="D202">
        <f t="shared" si="66"/>
        <v>480</v>
      </c>
      <c r="E202">
        <f t="shared" si="67"/>
        <v>135</v>
      </c>
      <c r="F202">
        <f t="shared" si="68"/>
        <v>23.52</v>
      </c>
      <c r="G202">
        <f t="shared" si="69"/>
        <v>0.16799999999999998</v>
      </c>
      <c r="H202">
        <f t="shared" si="70"/>
        <v>63.504000000000005</v>
      </c>
      <c r="I202">
        <f t="shared" si="71"/>
        <v>470.40000000000003</v>
      </c>
      <c r="J202">
        <f t="shared" si="72"/>
        <v>336</v>
      </c>
      <c r="K202">
        <f t="shared" si="73"/>
        <v>45.36</v>
      </c>
      <c r="L202">
        <f t="shared" si="74"/>
        <v>5.1212448000000004</v>
      </c>
      <c r="M202">
        <f t="shared" si="75"/>
        <v>5.1861600000000001</v>
      </c>
      <c r="N202">
        <f t="shared" si="76"/>
        <v>3.9273696</v>
      </c>
      <c r="O202">
        <f t="shared" si="77"/>
        <v>3.6149963294117651</v>
      </c>
      <c r="P202">
        <f t="shared" si="78"/>
        <v>2.9028077753779695</v>
      </c>
      <c r="Q202">
        <f t="shared" si="79"/>
        <v>67.2</v>
      </c>
      <c r="R202">
        <f t="shared" si="80"/>
        <v>336</v>
      </c>
      <c r="S202">
        <f t="shared" si="81"/>
        <v>313.32</v>
      </c>
      <c r="T202">
        <f t="shared" si="82"/>
        <v>22.679999999999996</v>
      </c>
      <c r="U202">
        <f>I202*E202/'[1]Inverter Analysis'!$L$2</f>
        <v>152.17486685153915</v>
      </c>
      <c r="V202">
        <f t="shared" si="83"/>
        <v>238.0952380952381</v>
      </c>
      <c r="W202">
        <f t="shared" si="84"/>
        <v>255.33001404315078</v>
      </c>
      <c r="X202">
        <f t="shared" si="85"/>
        <v>170.06802721088434</v>
      </c>
      <c r="Y202">
        <f t="shared" si="86"/>
        <v>0.29337037232074004</v>
      </c>
      <c r="Z202">
        <f t="shared" si="87"/>
        <v>4.0085847480000005</v>
      </c>
    </row>
    <row r="203" spans="1:26">
      <c r="A203">
        <v>15</v>
      </c>
      <c r="B203">
        <v>3</v>
      </c>
      <c r="C203" s="1">
        <v>7</v>
      </c>
      <c r="D203">
        <f t="shared" si="66"/>
        <v>480</v>
      </c>
      <c r="E203">
        <f t="shared" si="67"/>
        <v>135</v>
      </c>
      <c r="F203">
        <f t="shared" si="68"/>
        <v>22.05</v>
      </c>
      <c r="G203">
        <f t="shared" si="69"/>
        <v>0.15749999999999997</v>
      </c>
      <c r="H203">
        <f t="shared" si="70"/>
        <v>59.534999999999997</v>
      </c>
      <c r="I203">
        <f t="shared" si="71"/>
        <v>441</v>
      </c>
      <c r="J203">
        <f t="shared" si="72"/>
        <v>315</v>
      </c>
      <c r="K203">
        <f t="shared" si="73"/>
        <v>42.524999999999999</v>
      </c>
      <c r="L203">
        <f t="shared" si="74"/>
        <v>4.8011669999999995</v>
      </c>
      <c r="M203">
        <f t="shared" si="75"/>
        <v>4.862025</v>
      </c>
      <c r="N203">
        <f t="shared" si="76"/>
        <v>3.6819089999999997</v>
      </c>
      <c r="O203">
        <f t="shared" si="77"/>
        <v>3.3890590588235292</v>
      </c>
      <c r="P203">
        <f t="shared" si="78"/>
        <v>2.7213822894168467</v>
      </c>
      <c r="Q203">
        <f t="shared" si="79"/>
        <v>63</v>
      </c>
      <c r="R203">
        <f t="shared" si="80"/>
        <v>315</v>
      </c>
      <c r="S203">
        <f t="shared" si="81"/>
        <v>293.73750000000001</v>
      </c>
      <c r="T203">
        <f t="shared" si="82"/>
        <v>21.262499999999996</v>
      </c>
      <c r="U203">
        <f>I203*E203/'[1]Inverter Analysis'!$L$2</f>
        <v>142.66393767331795</v>
      </c>
      <c r="V203">
        <f t="shared" si="83"/>
        <v>253.96825396825398</v>
      </c>
      <c r="W203">
        <f t="shared" si="84"/>
        <v>272.35201497936083</v>
      </c>
      <c r="X203">
        <f t="shared" si="85"/>
        <v>181.40589569160997</v>
      </c>
      <c r="Y203">
        <f t="shared" si="86"/>
        <v>0.3337902902849309</v>
      </c>
      <c r="Z203">
        <f t="shared" si="87"/>
        <v>3.3029720518798826</v>
      </c>
    </row>
    <row r="204" spans="1:26">
      <c r="A204">
        <v>14</v>
      </c>
      <c r="B204">
        <v>3</v>
      </c>
      <c r="C204" s="1">
        <v>7</v>
      </c>
      <c r="D204">
        <f t="shared" si="66"/>
        <v>480</v>
      </c>
      <c r="E204">
        <f t="shared" si="67"/>
        <v>135</v>
      </c>
      <c r="F204">
        <f t="shared" si="68"/>
        <v>20.58</v>
      </c>
      <c r="G204">
        <f t="shared" si="69"/>
        <v>0.14699999999999999</v>
      </c>
      <c r="H204">
        <f t="shared" si="70"/>
        <v>55.566000000000003</v>
      </c>
      <c r="I204">
        <f t="shared" si="71"/>
        <v>411.6</v>
      </c>
      <c r="J204">
        <f t="shared" si="72"/>
        <v>294</v>
      </c>
      <c r="K204">
        <f t="shared" si="73"/>
        <v>39.69</v>
      </c>
      <c r="L204">
        <f t="shared" si="74"/>
        <v>4.4810892000000004</v>
      </c>
      <c r="M204">
        <f t="shared" si="75"/>
        <v>4.53789</v>
      </c>
      <c r="N204">
        <f t="shared" si="76"/>
        <v>3.4364484000000002</v>
      </c>
      <c r="O204">
        <f t="shared" si="77"/>
        <v>3.1631217882352947</v>
      </c>
      <c r="P204">
        <f t="shared" si="78"/>
        <v>2.5399568034557238</v>
      </c>
      <c r="Q204">
        <f t="shared" si="79"/>
        <v>58.800000000000004</v>
      </c>
      <c r="R204">
        <f t="shared" si="80"/>
        <v>294</v>
      </c>
      <c r="S204">
        <f t="shared" si="81"/>
        <v>274.15499999999997</v>
      </c>
      <c r="T204">
        <f t="shared" si="82"/>
        <v>19.844999999999999</v>
      </c>
      <c r="U204">
        <f>I204*E204/'[1]Inverter Analysis'!$L$2</f>
        <v>133.15300849509674</v>
      </c>
      <c r="V204">
        <f t="shared" si="83"/>
        <v>272.10884353741494</v>
      </c>
      <c r="W204">
        <f t="shared" si="84"/>
        <v>291.80573033502947</v>
      </c>
      <c r="X204">
        <f t="shared" si="85"/>
        <v>194.36345966958211</v>
      </c>
      <c r="Y204">
        <f t="shared" si="86"/>
        <v>0.38317762915361964</v>
      </c>
      <c r="Z204">
        <f t="shared" si="87"/>
        <v>2.6854386104765626</v>
      </c>
    </row>
    <row r="205" spans="1:26">
      <c r="A205">
        <v>13</v>
      </c>
      <c r="B205">
        <v>3</v>
      </c>
      <c r="C205" s="1">
        <v>7</v>
      </c>
      <c r="D205">
        <f t="shared" si="66"/>
        <v>480</v>
      </c>
      <c r="E205">
        <f t="shared" si="67"/>
        <v>135</v>
      </c>
      <c r="F205">
        <f t="shared" si="68"/>
        <v>19.11</v>
      </c>
      <c r="G205">
        <f t="shared" si="69"/>
        <v>0.13649999999999998</v>
      </c>
      <c r="H205">
        <f t="shared" si="70"/>
        <v>51.597000000000001</v>
      </c>
      <c r="I205">
        <f t="shared" si="71"/>
        <v>382.2</v>
      </c>
      <c r="J205">
        <f t="shared" si="72"/>
        <v>273</v>
      </c>
      <c r="K205">
        <f t="shared" si="73"/>
        <v>36.854999999999997</v>
      </c>
      <c r="L205">
        <f t="shared" si="74"/>
        <v>4.1610113999999996</v>
      </c>
      <c r="M205">
        <f t="shared" si="75"/>
        <v>4.213754999999999</v>
      </c>
      <c r="N205">
        <f t="shared" si="76"/>
        <v>3.1909877999999998</v>
      </c>
      <c r="O205">
        <f t="shared" si="77"/>
        <v>2.9371845176470588</v>
      </c>
      <c r="P205">
        <f t="shared" si="78"/>
        <v>2.3585313174946001</v>
      </c>
      <c r="Q205">
        <f t="shared" si="79"/>
        <v>54.6</v>
      </c>
      <c r="R205">
        <f t="shared" si="80"/>
        <v>273</v>
      </c>
      <c r="S205">
        <f t="shared" si="81"/>
        <v>254.57249999999999</v>
      </c>
      <c r="T205">
        <f t="shared" si="82"/>
        <v>18.427499999999998</v>
      </c>
      <c r="U205">
        <f>I205*E205/'[1]Inverter Analysis'!$L$2</f>
        <v>123.64207931687555</v>
      </c>
      <c r="V205">
        <f t="shared" si="83"/>
        <v>293.04029304029302</v>
      </c>
      <c r="W205">
        <f t="shared" si="84"/>
        <v>314.25232497618561</v>
      </c>
      <c r="X205">
        <f t="shared" si="85"/>
        <v>209.31449502878075</v>
      </c>
      <c r="Y205">
        <f t="shared" si="86"/>
        <v>0.44439535688822174</v>
      </c>
      <c r="Z205">
        <f t="shared" si="87"/>
        <v>2.1501124734755854</v>
      </c>
    </row>
    <row r="206" spans="1:26">
      <c r="A206">
        <v>12</v>
      </c>
      <c r="B206">
        <v>3</v>
      </c>
      <c r="C206" s="1">
        <v>7</v>
      </c>
      <c r="D206">
        <f t="shared" si="66"/>
        <v>480</v>
      </c>
      <c r="E206">
        <f t="shared" si="67"/>
        <v>135</v>
      </c>
      <c r="F206">
        <f t="shared" si="68"/>
        <v>17.64</v>
      </c>
      <c r="G206">
        <f t="shared" si="69"/>
        <v>0.126</v>
      </c>
      <c r="H206">
        <f t="shared" si="70"/>
        <v>47.628</v>
      </c>
      <c r="I206">
        <f t="shared" si="71"/>
        <v>352.8</v>
      </c>
      <c r="J206">
        <f t="shared" si="72"/>
        <v>252</v>
      </c>
      <c r="K206">
        <f t="shared" si="73"/>
        <v>34.020000000000003</v>
      </c>
      <c r="L206">
        <f t="shared" si="74"/>
        <v>3.8409336000000005</v>
      </c>
      <c r="M206">
        <f t="shared" si="75"/>
        <v>3.8896199999999999</v>
      </c>
      <c r="N206">
        <f t="shared" si="76"/>
        <v>2.9455271999999999</v>
      </c>
      <c r="O206">
        <f t="shared" si="77"/>
        <v>2.7112472470588243</v>
      </c>
      <c r="P206">
        <f t="shared" si="78"/>
        <v>2.1771058315334773</v>
      </c>
      <c r="Q206">
        <f t="shared" si="79"/>
        <v>50.4</v>
      </c>
      <c r="R206">
        <f t="shared" si="80"/>
        <v>252</v>
      </c>
      <c r="S206">
        <f t="shared" si="81"/>
        <v>234.99</v>
      </c>
      <c r="T206">
        <f t="shared" si="82"/>
        <v>17.010000000000002</v>
      </c>
      <c r="U206">
        <f>I206*E206/'[1]Inverter Analysis'!$L$2</f>
        <v>114.13115013865436</v>
      </c>
      <c r="V206">
        <f t="shared" si="83"/>
        <v>317.46031746031747</v>
      </c>
      <c r="W206">
        <f t="shared" si="84"/>
        <v>340.44001872420102</v>
      </c>
      <c r="X206">
        <f t="shared" si="85"/>
        <v>226.75736961451247</v>
      </c>
      <c r="Y206">
        <f t="shared" si="86"/>
        <v>0.52154732857020447</v>
      </c>
      <c r="Z206">
        <f t="shared" si="87"/>
        <v>1.6911216905625002</v>
      </c>
    </row>
    <row r="207" spans="1:26">
      <c r="A207">
        <v>11</v>
      </c>
      <c r="B207">
        <v>3</v>
      </c>
      <c r="C207" s="1">
        <v>7</v>
      </c>
      <c r="D207">
        <f t="shared" si="66"/>
        <v>480</v>
      </c>
      <c r="E207">
        <f t="shared" si="67"/>
        <v>135</v>
      </c>
      <c r="F207">
        <f t="shared" si="68"/>
        <v>16.170000000000002</v>
      </c>
      <c r="G207">
        <f t="shared" si="69"/>
        <v>0.11549999999999998</v>
      </c>
      <c r="H207">
        <f t="shared" si="70"/>
        <v>43.659000000000006</v>
      </c>
      <c r="I207">
        <f t="shared" si="71"/>
        <v>323.40000000000003</v>
      </c>
      <c r="J207">
        <f t="shared" si="72"/>
        <v>231</v>
      </c>
      <c r="K207">
        <f t="shared" si="73"/>
        <v>31.184999999999999</v>
      </c>
      <c r="L207">
        <f t="shared" si="74"/>
        <v>3.5208558000000001</v>
      </c>
      <c r="M207">
        <f t="shared" si="75"/>
        <v>3.5654850000000007</v>
      </c>
      <c r="N207">
        <f t="shared" si="76"/>
        <v>2.7000666</v>
      </c>
      <c r="O207">
        <f t="shared" si="77"/>
        <v>2.4853099764705884</v>
      </c>
      <c r="P207">
        <f t="shared" si="78"/>
        <v>1.9956803455723544</v>
      </c>
      <c r="Q207">
        <f t="shared" si="79"/>
        <v>46.2</v>
      </c>
      <c r="R207">
        <f t="shared" si="80"/>
        <v>231</v>
      </c>
      <c r="S207">
        <f t="shared" si="81"/>
        <v>215.4075</v>
      </c>
      <c r="T207">
        <f t="shared" si="82"/>
        <v>15.592499999999998</v>
      </c>
      <c r="U207">
        <f>I207*E207/'[1]Inverter Analysis'!$L$2</f>
        <v>104.62022096043317</v>
      </c>
      <c r="V207">
        <f t="shared" si="83"/>
        <v>346.32034632034635</v>
      </c>
      <c r="W207">
        <f t="shared" si="84"/>
        <v>371.38911133549203</v>
      </c>
      <c r="X207">
        <f t="shared" si="85"/>
        <v>247.37167594310449</v>
      </c>
      <c r="Y207">
        <f t="shared" si="86"/>
        <v>0.62068442408354918</v>
      </c>
      <c r="Z207">
        <f t="shared" si="87"/>
        <v>1.302594311422852</v>
      </c>
    </row>
    <row r="208" spans="1:26">
      <c r="A208">
        <v>10</v>
      </c>
      <c r="B208">
        <v>3</v>
      </c>
      <c r="C208" s="1">
        <v>7</v>
      </c>
      <c r="D208">
        <f t="shared" si="66"/>
        <v>480</v>
      </c>
      <c r="E208">
        <f t="shared" si="67"/>
        <v>135</v>
      </c>
      <c r="F208">
        <f t="shared" si="68"/>
        <v>14.7</v>
      </c>
      <c r="G208">
        <f t="shared" si="69"/>
        <v>0.10499999999999998</v>
      </c>
      <c r="H208">
        <f t="shared" si="70"/>
        <v>39.69</v>
      </c>
      <c r="I208">
        <f t="shared" si="71"/>
        <v>294</v>
      </c>
      <c r="J208">
        <f t="shared" si="72"/>
        <v>210</v>
      </c>
      <c r="K208">
        <f t="shared" si="73"/>
        <v>28.35</v>
      </c>
      <c r="L208">
        <f t="shared" si="74"/>
        <v>3.2007779999999997</v>
      </c>
      <c r="M208">
        <f t="shared" si="75"/>
        <v>3.2413500000000002</v>
      </c>
      <c r="N208">
        <f t="shared" si="76"/>
        <v>2.4546059999999996</v>
      </c>
      <c r="O208">
        <f t="shared" si="77"/>
        <v>2.2593727058823529</v>
      </c>
      <c r="P208">
        <f t="shared" si="78"/>
        <v>1.8142548596112309</v>
      </c>
      <c r="Q208">
        <f t="shared" si="79"/>
        <v>42</v>
      </c>
      <c r="R208">
        <f t="shared" si="80"/>
        <v>210</v>
      </c>
      <c r="S208">
        <f t="shared" si="81"/>
        <v>195.82499999999999</v>
      </c>
      <c r="T208">
        <f t="shared" si="82"/>
        <v>14.174999999999997</v>
      </c>
      <c r="U208">
        <f>I208*E208/'[1]Inverter Analysis'!$L$2</f>
        <v>95.109291782211969</v>
      </c>
      <c r="V208">
        <f t="shared" si="83"/>
        <v>380.95238095238096</v>
      </c>
      <c r="W208">
        <f t="shared" si="84"/>
        <v>408.52802246904128</v>
      </c>
      <c r="X208">
        <f t="shared" si="85"/>
        <v>272.10884353741494</v>
      </c>
      <c r="Y208">
        <f t="shared" si="86"/>
        <v>0.75102815314109461</v>
      </c>
      <c r="Z208">
        <f t="shared" si="87"/>
        <v>0.97865838574218733</v>
      </c>
    </row>
    <row r="209" spans="1:26">
      <c r="A209">
        <v>16</v>
      </c>
      <c r="B209">
        <v>2</v>
      </c>
      <c r="C209" s="1">
        <v>7</v>
      </c>
      <c r="D209">
        <f t="shared" si="66"/>
        <v>320</v>
      </c>
      <c r="E209">
        <f t="shared" si="67"/>
        <v>90</v>
      </c>
      <c r="F209">
        <f t="shared" si="68"/>
        <v>15.68</v>
      </c>
      <c r="G209">
        <f t="shared" si="69"/>
        <v>0.252</v>
      </c>
      <c r="H209">
        <f t="shared" si="70"/>
        <v>42.335999999999999</v>
      </c>
      <c r="I209">
        <f t="shared" si="71"/>
        <v>470.40000000000003</v>
      </c>
      <c r="J209">
        <f t="shared" si="72"/>
        <v>336</v>
      </c>
      <c r="K209">
        <f t="shared" si="73"/>
        <v>30.24</v>
      </c>
      <c r="L209">
        <f t="shared" si="74"/>
        <v>3.4141632000000004</v>
      </c>
      <c r="M209">
        <f t="shared" si="75"/>
        <v>3.4574400000000001</v>
      </c>
      <c r="N209">
        <f t="shared" si="76"/>
        <v>2.6182463999999999</v>
      </c>
      <c r="O209">
        <f t="shared" si="77"/>
        <v>2.409997552941177</v>
      </c>
      <c r="P209">
        <f t="shared" si="78"/>
        <v>1.9352051835853132</v>
      </c>
      <c r="Q209">
        <f t="shared" si="79"/>
        <v>67.2</v>
      </c>
      <c r="R209">
        <f t="shared" si="80"/>
        <v>224</v>
      </c>
      <c r="S209">
        <f t="shared" si="81"/>
        <v>313.32</v>
      </c>
      <c r="T209">
        <f t="shared" si="82"/>
        <v>22.68</v>
      </c>
      <c r="U209">
        <f>I209*E209/'[1]Inverter Analysis'!$L$2</f>
        <v>101.44991123435943</v>
      </c>
      <c r="V209">
        <f t="shared" si="83"/>
        <v>238.0952380952381</v>
      </c>
      <c r="W209">
        <f t="shared" si="84"/>
        <v>255.33001404315078</v>
      </c>
      <c r="X209">
        <f t="shared" si="85"/>
        <v>170.06802721088434</v>
      </c>
      <c r="Y209">
        <f t="shared" si="86"/>
        <v>0.29337037232074004</v>
      </c>
      <c r="Z209">
        <f t="shared" si="87"/>
        <v>2.6723898320000004</v>
      </c>
    </row>
    <row r="210" spans="1:26">
      <c r="A210">
        <v>15</v>
      </c>
      <c r="B210">
        <v>2</v>
      </c>
      <c r="C210" s="1">
        <v>7</v>
      </c>
      <c r="D210">
        <f t="shared" si="66"/>
        <v>320</v>
      </c>
      <c r="E210">
        <f t="shared" si="67"/>
        <v>90</v>
      </c>
      <c r="F210">
        <f t="shared" si="68"/>
        <v>14.7</v>
      </c>
      <c r="G210">
        <f t="shared" si="69"/>
        <v>0.23624999999999996</v>
      </c>
      <c r="H210">
        <f t="shared" si="70"/>
        <v>39.69</v>
      </c>
      <c r="I210">
        <f t="shared" si="71"/>
        <v>441</v>
      </c>
      <c r="J210">
        <f t="shared" si="72"/>
        <v>315</v>
      </c>
      <c r="K210">
        <f t="shared" si="73"/>
        <v>28.35</v>
      </c>
      <c r="L210">
        <f t="shared" si="74"/>
        <v>3.2007779999999997</v>
      </c>
      <c r="M210">
        <f t="shared" si="75"/>
        <v>3.2413499999999997</v>
      </c>
      <c r="N210">
        <f t="shared" si="76"/>
        <v>2.4546059999999996</v>
      </c>
      <c r="O210">
        <f t="shared" si="77"/>
        <v>2.2593727058823529</v>
      </c>
      <c r="P210">
        <f t="shared" si="78"/>
        <v>1.8142548596112309</v>
      </c>
      <c r="Q210">
        <f t="shared" si="79"/>
        <v>63</v>
      </c>
      <c r="R210">
        <f t="shared" si="80"/>
        <v>210</v>
      </c>
      <c r="S210">
        <f t="shared" si="81"/>
        <v>293.73750000000001</v>
      </c>
      <c r="T210">
        <f t="shared" si="82"/>
        <v>21.262499999999996</v>
      </c>
      <c r="U210">
        <f>I210*E210/'[1]Inverter Analysis'!$L$2</f>
        <v>95.109291782211969</v>
      </c>
      <c r="V210">
        <f t="shared" si="83"/>
        <v>253.96825396825398</v>
      </c>
      <c r="W210">
        <f t="shared" si="84"/>
        <v>272.35201497936083</v>
      </c>
      <c r="X210">
        <f t="shared" si="85"/>
        <v>181.40589569160997</v>
      </c>
      <c r="Y210">
        <f t="shared" si="86"/>
        <v>0.3337902902849309</v>
      </c>
      <c r="Z210">
        <f t="shared" si="87"/>
        <v>2.2019813679199221</v>
      </c>
    </row>
    <row r="211" spans="1:26">
      <c r="A211">
        <v>14</v>
      </c>
      <c r="B211">
        <v>2</v>
      </c>
      <c r="C211" s="1">
        <v>7</v>
      </c>
      <c r="D211">
        <f t="shared" si="66"/>
        <v>320</v>
      </c>
      <c r="E211">
        <f t="shared" si="67"/>
        <v>90</v>
      </c>
      <c r="F211">
        <f t="shared" si="68"/>
        <v>13.72</v>
      </c>
      <c r="G211">
        <f t="shared" si="69"/>
        <v>0.2205</v>
      </c>
      <c r="H211">
        <f t="shared" si="70"/>
        <v>37.043999999999997</v>
      </c>
      <c r="I211">
        <f t="shared" si="71"/>
        <v>411.6</v>
      </c>
      <c r="J211">
        <f t="shared" si="72"/>
        <v>294</v>
      </c>
      <c r="K211">
        <f t="shared" si="73"/>
        <v>26.46</v>
      </c>
      <c r="L211">
        <f t="shared" si="74"/>
        <v>2.9873928000000003</v>
      </c>
      <c r="M211">
        <f t="shared" si="75"/>
        <v>3.0252600000000003</v>
      </c>
      <c r="N211">
        <f t="shared" si="76"/>
        <v>2.2909655999999998</v>
      </c>
      <c r="O211">
        <f t="shared" si="77"/>
        <v>2.1087478588235298</v>
      </c>
      <c r="P211">
        <f t="shared" si="78"/>
        <v>1.693304535637149</v>
      </c>
      <c r="Q211">
        <f t="shared" si="79"/>
        <v>58.800000000000004</v>
      </c>
      <c r="R211">
        <f t="shared" si="80"/>
        <v>196</v>
      </c>
      <c r="S211">
        <f t="shared" si="81"/>
        <v>274.15499999999997</v>
      </c>
      <c r="T211">
        <f t="shared" si="82"/>
        <v>19.844999999999999</v>
      </c>
      <c r="U211">
        <f>I211*E211/'[1]Inverter Analysis'!$L$2</f>
        <v>88.768672330064504</v>
      </c>
      <c r="V211">
        <f t="shared" si="83"/>
        <v>272.10884353741494</v>
      </c>
      <c r="W211">
        <f t="shared" si="84"/>
        <v>291.80573033502947</v>
      </c>
      <c r="X211">
        <f t="shared" si="85"/>
        <v>194.36345966958211</v>
      </c>
      <c r="Y211">
        <f t="shared" si="86"/>
        <v>0.38317762915361964</v>
      </c>
      <c r="Z211">
        <f t="shared" si="87"/>
        <v>1.7902924069843753</v>
      </c>
    </row>
    <row r="212" spans="1:26">
      <c r="A212">
        <v>13</v>
      </c>
      <c r="B212">
        <v>2</v>
      </c>
      <c r="C212" s="1">
        <v>7</v>
      </c>
      <c r="D212">
        <f t="shared" si="66"/>
        <v>320</v>
      </c>
      <c r="E212">
        <f t="shared" si="67"/>
        <v>90</v>
      </c>
      <c r="F212">
        <f t="shared" si="68"/>
        <v>12.74</v>
      </c>
      <c r="G212">
        <f t="shared" si="69"/>
        <v>0.20474999999999999</v>
      </c>
      <c r="H212">
        <f t="shared" si="70"/>
        <v>34.398000000000003</v>
      </c>
      <c r="I212">
        <f t="shared" si="71"/>
        <v>382.2</v>
      </c>
      <c r="J212">
        <f t="shared" si="72"/>
        <v>273</v>
      </c>
      <c r="K212">
        <f t="shared" si="73"/>
        <v>24.57</v>
      </c>
      <c r="L212">
        <f t="shared" si="74"/>
        <v>2.7740076</v>
      </c>
      <c r="M212">
        <f t="shared" si="75"/>
        <v>2.8091699999999995</v>
      </c>
      <c r="N212">
        <f t="shared" si="76"/>
        <v>2.1273251999999996</v>
      </c>
      <c r="O212">
        <f t="shared" si="77"/>
        <v>1.9581230117647059</v>
      </c>
      <c r="P212">
        <f t="shared" si="78"/>
        <v>1.5723542116630669</v>
      </c>
      <c r="Q212">
        <f t="shared" si="79"/>
        <v>54.6</v>
      </c>
      <c r="R212">
        <f t="shared" si="80"/>
        <v>182</v>
      </c>
      <c r="S212">
        <f t="shared" si="81"/>
        <v>254.57249999999999</v>
      </c>
      <c r="T212">
        <f t="shared" si="82"/>
        <v>18.427499999999998</v>
      </c>
      <c r="U212">
        <f>I212*E212/'[1]Inverter Analysis'!$L$2</f>
        <v>82.42805287791704</v>
      </c>
      <c r="V212">
        <f t="shared" si="83"/>
        <v>293.04029304029302</v>
      </c>
      <c r="W212">
        <f t="shared" si="84"/>
        <v>314.25232497618561</v>
      </c>
      <c r="X212">
        <f t="shared" si="85"/>
        <v>209.31449502878075</v>
      </c>
      <c r="Y212">
        <f t="shared" si="86"/>
        <v>0.44439535688822174</v>
      </c>
      <c r="Z212">
        <f t="shared" si="87"/>
        <v>1.4334083156503905</v>
      </c>
    </row>
    <row r="213" spans="1:26">
      <c r="A213">
        <v>12</v>
      </c>
      <c r="B213">
        <v>2</v>
      </c>
      <c r="C213" s="1">
        <v>7</v>
      </c>
      <c r="D213">
        <f t="shared" si="66"/>
        <v>320</v>
      </c>
      <c r="E213">
        <f t="shared" si="67"/>
        <v>90</v>
      </c>
      <c r="F213">
        <f t="shared" si="68"/>
        <v>11.76</v>
      </c>
      <c r="G213">
        <f t="shared" si="69"/>
        <v>0.18899999999999997</v>
      </c>
      <c r="H213">
        <f t="shared" si="70"/>
        <v>31.751999999999999</v>
      </c>
      <c r="I213">
        <f t="shared" si="71"/>
        <v>352.8</v>
      </c>
      <c r="J213">
        <f t="shared" si="72"/>
        <v>252</v>
      </c>
      <c r="K213">
        <f t="shared" si="73"/>
        <v>22.68</v>
      </c>
      <c r="L213">
        <f t="shared" si="74"/>
        <v>2.5606224000000002</v>
      </c>
      <c r="M213">
        <f t="shared" si="75"/>
        <v>2.5930800000000001</v>
      </c>
      <c r="N213">
        <f t="shared" si="76"/>
        <v>1.9636848</v>
      </c>
      <c r="O213">
        <f t="shared" si="77"/>
        <v>1.8074981647058825</v>
      </c>
      <c r="P213">
        <f t="shared" si="78"/>
        <v>1.4514038876889848</v>
      </c>
      <c r="Q213">
        <f t="shared" si="79"/>
        <v>50.4</v>
      </c>
      <c r="R213">
        <f t="shared" si="80"/>
        <v>168</v>
      </c>
      <c r="S213">
        <f t="shared" si="81"/>
        <v>234.99</v>
      </c>
      <c r="T213">
        <f t="shared" si="82"/>
        <v>17.009999999999998</v>
      </c>
      <c r="U213">
        <f>I213*E213/'[1]Inverter Analysis'!$L$2</f>
        <v>76.087433425769575</v>
      </c>
      <c r="V213">
        <f t="shared" si="83"/>
        <v>317.46031746031747</v>
      </c>
      <c r="W213">
        <f t="shared" si="84"/>
        <v>340.44001872420102</v>
      </c>
      <c r="X213">
        <f t="shared" si="85"/>
        <v>226.75736961451247</v>
      </c>
      <c r="Y213">
        <f t="shared" si="86"/>
        <v>0.52154732857020447</v>
      </c>
      <c r="Z213">
        <f t="shared" si="87"/>
        <v>1.127414460375</v>
      </c>
    </row>
    <row r="214" spans="1:26">
      <c r="A214">
        <v>11</v>
      </c>
      <c r="B214">
        <v>2</v>
      </c>
      <c r="C214" s="1">
        <v>7</v>
      </c>
      <c r="D214">
        <f t="shared" si="66"/>
        <v>320</v>
      </c>
      <c r="E214">
        <f t="shared" si="67"/>
        <v>90</v>
      </c>
      <c r="F214">
        <f t="shared" si="68"/>
        <v>10.78</v>
      </c>
      <c r="G214">
        <f t="shared" si="69"/>
        <v>0.17324999999999999</v>
      </c>
      <c r="H214">
        <f t="shared" si="70"/>
        <v>29.106000000000005</v>
      </c>
      <c r="I214">
        <f t="shared" si="71"/>
        <v>323.40000000000003</v>
      </c>
      <c r="J214">
        <f t="shared" si="72"/>
        <v>231</v>
      </c>
      <c r="K214">
        <f t="shared" si="73"/>
        <v>20.79</v>
      </c>
      <c r="L214">
        <f t="shared" si="74"/>
        <v>2.3472371999999999</v>
      </c>
      <c r="M214">
        <f t="shared" si="75"/>
        <v>2.3769900000000002</v>
      </c>
      <c r="N214">
        <f t="shared" si="76"/>
        <v>1.8000444000000002</v>
      </c>
      <c r="O214">
        <f t="shared" si="77"/>
        <v>1.6568733176470589</v>
      </c>
      <c r="P214">
        <f t="shared" si="78"/>
        <v>1.3304535637149029</v>
      </c>
      <c r="Q214">
        <f t="shared" si="79"/>
        <v>46.2</v>
      </c>
      <c r="R214">
        <f t="shared" si="80"/>
        <v>154</v>
      </c>
      <c r="S214">
        <f t="shared" si="81"/>
        <v>215.4075</v>
      </c>
      <c r="T214">
        <f t="shared" si="82"/>
        <v>15.592499999999999</v>
      </c>
      <c r="U214">
        <f>I214*E214/'[1]Inverter Analysis'!$L$2</f>
        <v>69.74681397362211</v>
      </c>
      <c r="V214">
        <f t="shared" si="83"/>
        <v>346.32034632034635</v>
      </c>
      <c r="W214">
        <f t="shared" si="84"/>
        <v>371.38911133549203</v>
      </c>
      <c r="X214">
        <f t="shared" si="85"/>
        <v>247.37167594310449</v>
      </c>
      <c r="Y214">
        <f t="shared" si="86"/>
        <v>0.62068442408354918</v>
      </c>
      <c r="Z214">
        <f t="shared" si="87"/>
        <v>0.86839620761523451</v>
      </c>
    </row>
    <row r="215" spans="1:26">
      <c r="A215">
        <v>10</v>
      </c>
      <c r="B215">
        <v>2</v>
      </c>
      <c r="C215" s="1">
        <v>7</v>
      </c>
      <c r="D215">
        <f t="shared" si="66"/>
        <v>320</v>
      </c>
      <c r="E215">
        <f t="shared" si="67"/>
        <v>90</v>
      </c>
      <c r="F215">
        <f t="shared" si="68"/>
        <v>9.8000000000000007</v>
      </c>
      <c r="G215">
        <f t="shared" si="69"/>
        <v>0.1575</v>
      </c>
      <c r="H215">
        <f t="shared" si="70"/>
        <v>26.46</v>
      </c>
      <c r="I215">
        <f t="shared" si="71"/>
        <v>294</v>
      </c>
      <c r="J215">
        <f t="shared" si="72"/>
        <v>210</v>
      </c>
      <c r="K215">
        <f t="shared" si="73"/>
        <v>18.899999999999999</v>
      </c>
      <c r="L215">
        <f t="shared" si="74"/>
        <v>2.1338520000000001</v>
      </c>
      <c r="M215">
        <f t="shared" si="75"/>
        <v>2.1609000000000003</v>
      </c>
      <c r="N215">
        <f t="shared" si="76"/>
        <v>1.636404</v>
      </c>
      <c r="O215">
        <f t="shared" si="77"/>
        <v>1.5062484705882355</v>
      </c>
      <c r="P215">
        <f t="shared" si="78"/>
        <v>1.2095032397408207</v>
      </c>
      <c r="Q215">
        <f t="shared" si="79"/>
        <v>42</v>
      </c>
      <c r="R215">
        <f t="shared" si="80"/>
        <v>140</v>
      </c>
      <c r="S215">
        <f t="shared" si="81"/>
        <v>195.82499999999999</v>
      </c>
      <c r="T215">
        <f t="shared" si="82"/>
        <v>14.175000000000001</v>
      </c>
      <c r="U215">
        <f>I215*E215/'[1]Inverter Analysis'!$L$2</f>
        <v>63.406194521474646</v>
      </c>
      <c r="V215">
        <f t="shared" si="83"/>
        <v>380.95238095238096</v>
      </c>
      <c r="W215">
        <f t="shared" si="84"/>
        <v>408.52802246904128</v>
      </c>
      <c r="X215">
        <f t="shared" si="85"/>
        <v>272.10884353741494</v>
      </c>
      <c r="Y215">
        <f t="shared" si="86"/>
        <v>0.75102815314109461</v>
      </c>
      <c r="Z215">
        <f t="shared" si="87"/>
        <v>0.65243892382812485</v>
      </c>
    </row>
    <row r="216" spans="1:26">
      <c r="A216" s="8">
        <v>16</v>
      </c>
      <c r="B216" s="1">
        <v>6</v>
      </c>
      <c r="C216">
        <v>6</v>
      </c>
      <c r="D216">
        <f t="shared" si="66"/>
        <v>960</v>
      </c>
      <c r="E216">
        <f t="shared" si="67"/>
        <v>270</v>
      </c>
      <c r="F216">
        <f t="shared" si="68"/>
        <v>40.32</v>
      </c>
      <c r="G216">
        <f t="shared" si="69"/>
        <v>7.1999999999999995E-2</v>
      </c>
      <c r="H216">
        <f t="shared" si="70"/>
        <v>108.86400000000002</v>
      </c>
      <c r="I216">
        <f t="shared" si="71"/>
        <v>403.20000000000005</v>
      </c>
      <c r="J216">
        <f t="shared" si="72"/>
        <v>288</v>
      </c>
      <c r="K216">
        <f t="shared" si="73"/>
        <v>77.760000000000005</v>
      </c>
      <c r="L216">
        <f t="shared" si="74"/>
        <v>8.7792768000000017</v>
      </c>
      <c r="M216">
        <f t="shared" si="75"/>
        <v>8.8905599999999989</v>
      </c>
      <c r="N216">
        <f t="shared" si="76"/>
        <v>6.7326336000000007</v>
      </c>
      <c r="O216">
        <f t="shared" si="77"/>
        <v>6.1971365647058843</v>
      </c>
      <c r="P216">
        <f t="shared" si="78"/>
        <v>5.8056155507559408</v>
      </c>
      <c r="Q216">
        <f t="shared" si="79"/>
        <v>67.2</v>
      </c>
      <c r="R216">
        <f t="shared" si="80"/>
        <v>576</v>
      </c>
      <c r="S216">
        <f t="shared" si="81"/>
        <v>268.56</v>
      </c>
      <c r="T216">
        <f t="shared" si="82"/>
        <v>19.439999999999998</v>
      </c>
      <c r="U216">
        <f>I216*E216/'[1]Inverter Analysis'!$L$2</f>
        <v>260.87120031692427</v>
      </c>
      <c r="V216">
        <f t="shared" si="83"/>
        <v>277.77777777777777</v>
      </c>
      <c r="W216">
        <f t="shared" si="84"/>
        <v>297.88501638367592</v>
      </c>
      <c r="X216">
        <f t="shared" si="85"/>
        <v>198.4126984126984</v>
      </c>
      <c r="Y216">
        <f t="shared" si="86"/>
        <v>0.39930967343656287</v>
      </c>
      <c r="Z216">
        <f t="shared" si="87"/>
        <v>5.0487131519999995</v>
      </c>
    </row>
    <row r="217" spans="1:26">
      <c r="A217" s="8">
        <v>15</v>
      </c>
      <c r="B217" s="1">
        <v>6</v>
      </c>
      <c r="C217">
        <v>6</v>
      </c>
      <c r="D217">
        <f t="shared" si="66"/>
        <v>960</v>
      </c>
      <c r="E217">
        <f t="shared" si="67"/>
        <v>270</v>
      </c>
      <c r="F217">
        <f t="shared" si="68"/>
        <v>37.799999999999997</v>
      </c>
      <c r="G217">
        <f t="shared" si="69"/>
        <v>6.7499999999999991E-2</v>
      </c>
      <c r="H217">
        <f t="shared" si="70"/>
        <v>102.06</v>
      </c>
      <c r="I217">
        <f t="shared" si="71"/>
        <v>378</v>
      </c>
      <c r="J217">
        <f t="shared" si="72"/>
        <v>270</v>
      </c>
      <c r="K217">
        <f t="shared" si="73"/>
        <v>72.900000000000006</v>
      </c>
      <c r="L217">
        <f t="shared" si="74"/>
        <v>8.2305720000000004</v>
      </c>
      <c r="M217">
        <f t="shared" si="75"/>
        <v>8.3348999999999993</v>
      </c>
      <c r="N217">
        <f t="shared" si="76"/>
        <v>6.3118439999999989</v>
      </c>
      <c r="O217">
        <f t="shared" si="77"/>
        <v>5.8098155294117655</v>
      </c>
      <c r="P217">
        <f t="shared" si="78"/>
        <v>5.4427645788336934</v>
      </c>
      <c r="Q217">
        <f t="shared" si="79"/>
        <v>63</v>
      </c>
      <c r="R217">
        <f t="shared" si="80"/>
        <v>540</v>
      </c>
      <c r="S217">
        <f t="shared" si="81"/>
        <v>251.77500000000001</v>
      </c>
      <c r="T217">
        <f t="shared" si="82"/>
        <v>18.224999999999998</v>
      </c>
      <c r="U217">
        <f>I217*E217/'[1]Inverter Analysis'!$L$2</f>
        <v>244.56675029711647</v>
      </c>
      <c r="V217">
        <f t="shared" si="83"/>
        <v>296.2962962962963</v>
      </c>
      <c r="W217">
        <f t="shared" si="84"/>
        <v>317.74401747592094</v>
      </c>
      <c r="X217">
        <f t="shared" si="85"/>
        <v>211.64021164021165</v>
      </c>
      <c r="Y217">
        <f t="shared" si="86"/>
        <v>0.4543256728878225</v>
      </c>
      <c r="Z217">
        <f t="shared" si="87"/>
        <v>4.1600114472656262</v>
      </c>
    </row>
    <row r="218" spans="1:26">
      <c r="A218">
        <v>14</v>
      </c>
      <c r="B218" s="1">
        <v>6</v>
      </c>
      <c r="C218">
        <v>6</v>
      </c>
      <c r="D218">
        <f t="shared" si="66"/>
        <v>960</v>
      </c>
      <c r="E218">
        <f t="shared" si="67"/>
        <v>270</v>
      </c>
      <c r="F218">
        <f t="shared" si="68"/>
        <v>35.28</v>
      </c>
      <c r="G218">
        <f t="shared" si="69"/>
        <v>6.3E-2</v>
      </c>
      <c r="H218">
        <f t="shared" si="70"/>
        <v>95.256</v>
      </c>
      <c r="I218">
        <f t="shared" si="71"/>
        <v>352.8</v>
      </c>
      <c r="J218">
        <f t="shared" si="72"/>
        <v>252</v>
      </c>
      <c r="K218">
        <f t="shared" si="73"/>
        <v>68.040000000000006</v>
      </c>
      <c r="L218">
        <f t="shared" si="74"/>
        <v>7.681867200000001</v>
      </c>
      <c r="M218">
        <f t="shared" si="75"/>
        <v>7.7792399999999997</v>
      </c>
      <c r="N218">
        <f t="shared" si="76"/>
        <v>5.8910543999999998</v>
      </c>
      <c r="O218">
        <f t="shared" si="77"/>
        <v>5.4224944941176485</v>
      </c>
      <c r="P218">
        <f t="shared" si="78"/>
        <v>5.0799136069114477</v>
      </c>
      <c r="Q218">
        <f t="shared" si="79"/>
        <v>58.800000000000004</v>
      </c>
      <c r="R218">
        <f t="shared" si="80"/>
        <v>504</v>
      </c>
      <c r="S218">
        <f t="shared" si="81"/>
        <v>234.99</v>
      </c>
      <c r="T218">
        <f t="shared" si="82"/>
        <v>17.010000000000002</v>
      </c>
      <c r="U218">
        <f>I218*E218/'[1]Inverter Analysis'!$L$2</f>
        <v>228.26230027730873</v>
      </c>
      <c r="V218">
        <f t="shared" si="83"/>
        <v>317.46031746031747</v>
      </c>
      <c r="W218">
        <f t="shared" si="84"/>
        <v>340.44001872420102</v>
      </c>
      <c r="X218">
        <f t="shared" si="85"/>
        <v>226.75736961451247</v>
      </c>
      <c r="Y218">
        <f t="shared" si="86"/>
        <v>0.52154732857020447</v>
      </c>
      <c r="Z218">
        <f t="shared" si="87"/>
        <v>3.3822433811250003</v>
      </c>
    </row>
    <row r="219" spans="1:26">
      <c r="A219">
        <v>13</v>
      </c>
      <c r="B219" s="1">
        <v>6</v>
      </c>
      <c r="C219">
        <v>6</v>
      </c>
      <c r="D219">
        <f t="shared" si="66"/>
        <v>960</v>
      </c>
      <c r="E219">
        <f t="shared" si="67"/>
        <v>270</v>
      </c>
      <c r="F219">
        <f t="shared" si="68"/>
        <v>32.76</v>
      </c>
      <c r="G219">
        <f t="shared" si="69"/>
        <v>5.849999999999999E-2</v>
      </c>
      <c r="H219">
        <f t="shared" si="70"/>
        <v>88.451999999999998</v>
      </c>
      <c r="I219">
        <f t="shared" si="71"/>
        <v>327.60000000000002</v>
      </c>
      <c r="J219">
        <f t="shared" si="72"/>
        <v>234</v>
      </c>
      <c r="K219">
        <f t="shared" si="73"/>
        <v>63.18</v>
      </c>
      <c r="L219">
        <f t="shared" si="74"/>
        <v>7.1331623999999998</v>
      </c>
      <c r="M219">
        <f t="shared" si="75"/>
        <v>7.2235800000000001</v>
      </c>
      <c r="N219">
        <f t="shared" si="76"/>
        <v>5.4702648000000007</v>
      </c>
      <c r="O219">
        <f t="shared" si="77"/>
        <v>5.0351734588235297</v>
      </c>
      <c r="P219">
        <f t="shared" si="78"/>
        <v>4.7170626349892011</v>
      </c>
      <c r="Q219">
        <f t="shared" si="79"/>
        <v>54.6</v>
      </c>
      <c r="R219">
        <f t="shared" si="80"/>
        <v>468</v>
      </c>
      <c r="S219">
        <f t="shared" si="81"/>
        <v>218.20500000000001</v>
      </c>
      <c r="T219">
        <f t="shared" si="82"/>
        <v>15.794999999999996</v>
      </c>
      <c r="U219">
        <f>I219*E219/'[1]Inverter Analysis'!$L$2</f>
        <v>211.95785025750095</v>
      </c>
      <c r="V219">
        <f t="shared" si="83"/>
        <v>341.88034188034186</v>
      </c>
      <c r="W219">
        <f t="shared" si="84"/>
        <v>366.62771247221644</v>
      </c>
      <c r="X219">
        <f t="shared" si="85"/>
        <v>244.20024420024419</v>
      </c>
      <c r="Y219">
        <f t="shared" si="86"/>
        <v>0.60487145798674591</v>
      </c>
      <c r="Z219">
        <f t="shared" si="87"/>
        <v>2.7080133776718758</v>
      </c>
    </row>
    <row r="220" spans="1:26">
      <c r="A220">
        <v>12</v>
      </c>
      <c r="B220" s="1">
        <v>6</v>
      </c>
      <c r="C220">
        <v>6</v>
      </c>
      <c r="D220">
        <f t="shared" si="66"/>
        <v>960</v>
      </c>
      <c r="E220">
        <f t="shared" si="67"/>
        <v>270</v>
      </c>
      <c r="F220">
        <f t="shared" si="68"/>
        <v>30.24</v>
      </c>
      <c r="G220">
        <f t="shared" si="69"/>
        <v>5.3999999999999992E-2</v>
      </c>
      <c r="H220">
        <f t="shared" si="70"/>
        <v>81.64800000000001</v>
      </c>
      <c r="I220">
        <f t="shared" si="71"/>
        <v>302.40000000000003</v>
      </c>
      <c r="J220">
        <f t="shared" si="72"/>
        <v>216</v>
      </c>
      <c r="K220">
        <f t="shared" si="73"/>
        <v>58.32</v>
      </c>
      <c r="L220">
        <f t="shared" si="74"/>
        <v>6.5844576000000012</v>
      </c>
      <c r="M220">
        <f t="shared" si="75"/>
        <v>6.6679200000000014</v>
      </c>
      <c r="N220">
        <f t="shared" si="76"/>
        <v>5.0494751999999998</v>
      </c>
      <c r="O220">
        <f t="shared" si="77"/>
        <v>4.6478524235294127</v>
      </c>
      <c r="P220">
        <f t="shared" si="78"/>
        <v>4.3542116630669545</v>
      </c>
      <c r="Q220">
        <f t="shared" si="79"/>
        <v>50.400000000000006</v>
      </c>
      <c r="R220">
        <f t="shared" si="80"/>
        <v>432</v>
      </c>
      <c r="S220">
        <f t="shared" si="81"/>
        <v>201.42000000000002</v>
      </c>
      <c r="T220">
        <f t="shared" si="82"/>
        <v>14.579999999999998</v>
      </c>
      <c r="U220">
        <f>I220*E220/'[1]Inverter Analysis'!$L$2</f>
        <v>195.65340023769321</v>
      </c>
      <c r="V220">
        <f t="shared" si="83"/>
        <v>370.37037037037038</v>
      </c>
      <c r="W220">
        <f t="shared" si="84"/>
        <v>397.18002184490115</v>
      </c>
      <c r="X220">
        <f t="shared" si="85"/>
        <v>264.5502645502645</v>
      </c>
      <c r="Y220">
        <f t="shared" si="86"/>
        <v>0.70988386388722269</v>
      </c>
      <c r="Z220">
        <f t="shared" si="87"/>
        <v>2.1299258610000003</v>
      </c>
    </row>
    <row r="221" spans="1:26">
      <c r="A221">
        <v>11</v>
      </c>
      <c r="B221" s="1">
        <v>6</v>
      </c>
      <c r="C221">
        <v>6</v>
      </c>
      <c r="D221">
        <f t="shared" si="66"/>
        <v>960</v>
      </c>
      <c r="E221">
        <f t="shared" si="67"/>
        <v>270</v>
      </c>
      <c r="F221">
        <f t="shared" si="68"/>
        <v>27.72</v>
      </c>
      <c r="G221">
        <f t="shared" si="69"/>
        <v>4.9499999999999988E-2</v>
      </c>
      <c r="H221">
        <f t="shared" si="70"/>
        <v>74.843999999999994</v>
      </c>
      <c r="I221">
        <f t="shared" si="71"/>
        <v>277.2</v>
      </c>
      <c r="J221">
        <f t="shared" si="72"/>
        <v>198</v>
      </c>
      <c r="K221">
        <f t="shared" si="73"/>
        <v>53.46</v>
      </c>
      <c r="L221">
        <f t="shared" si="74"/>
        <v>6.0357528</v>
      </c>
      <c r="M221">
        <f t="shared" si="75"/>
        <v>6.1122599999999991</v>
      </c>
      <c r="N221">
        <f t="shared" si="76"/>
        <v>4.6286855999999998</v>
      </c>
      <c r="O221">
        <f t="shared" si="77"/>
        <v>4.260531388235294</v>
      </c>
      <c r="P221">
        <f t="shared" si="78"/>
        <v>3.9913606911447079</v>
      </c>
      <c r="Q221">
        <f t="shared" si="79"/>
        <v>46.199999999999996</v>
      </c>
      <c r="R221">
        <f t="shared" si="80"/>
        <v>396</v>
      </c>
      <c r="S221">
        <f t="shared" si="81"/>
        <v>184.63499999999999</v>
      </c>
      <c r="T221">
        <f t="shared" si="82"/>
        <v>13.364999999999997</v>
      </c>
      <c r="U221">
        <f>I221*E221/'[1]Inverter Analysis'!$L$2</f>
        <v>179.34895021788543</v>
      </c>
      <c r="V221">
        <f t="shared" si="83"/>
        <v>404.04040404040404</v>
      </c>
      <c r="W221">
        <f t="shared" si="84"/>
        <v>433.28729655807405</v>
      </c>
      <c r="X221">
        <f t="shared" si="85"/>
        <v>288.60028860028859</v>
      </c>
      <c r="Y221">
        <f t="shared" si="86"/>
        <v>0.84482046611371986</v>
      </c>
      <c r="Z221">
        <f t="shared" si="87"/>
        <v>1.640585255203125</v>
      </c>
    </row>
    <row r="222" spans="1:26">
      <c r="A222">
        <v>10</v>
      </c>
      <c r="B222" s="1">
        <v>6</v>
      </c>
      <c r="C222">
        <v>6</v>
      </c>
      <c r="D222">
        <f t="shared" si="66"/>
        <v>960</v>
      </c>
      <c r="E222">
        <f t="shared" si="67"/>
        <v>270</v>
      </c>
      <c r="F222">
        <f t="shared" si="68"/>
        <v>25.2</v>
      </c>
      <c r="G222">
        <f t="shared" si="69"/>
        <v>4.4999999999999991E-2</v>
      </c>
      <c r="H222">
        <f t="shared" si="70"/>
        <v>68.040000000000006</v>
      </c>
      <c r="I222">
        <f t="shared" si="71"/>
        <v>252</v>
      </c>
      <c r="J222">
        <f t="shared" si="72"/>
        <v>180</v>
      </c>
      <c r="K222">
        <f t="shared" si="73"/>
        <v>48.6</v>
      </c>
      <c r="L222">
        <f t="shared" si="74"/>
        <v>5.4870480000000006</v>
      </c>
      <c r="M222">
        <f t="shared" si="75"/>
        <v>5.5565999999999995</v>
      </c>
      <c r="N222">
        <f t="shared" si="76"/>
        <v>4.2078960000000007</v>
      </c>
      <c r="O222">
        <f t="shared" si="77"/>
        <v>3.873210352941177</v>
      </c>
      <c r="P222">
        <f t="shared" si="78"/>
        <v>3.6285097192224622</v>
      </c>
      <c r="Q222">
        <f t="shared" si="79"/>
        <v>42</v>
      </c>
      <c r="R222">
        <f t="shared" si="80"/>
        <v>360</v>
      </c>
      <c r="S222">
        <f t="shared" si="81"/>
        <v>167.85</v>
      </c>
      <c r="T222">
        <f t="shared" si="82"/>
        <v>12.149999999999997</v>
      </c>
      <c r="U222">
        <f>I222*E222/'[1]Inverter Analysis'!$L$2</f>
        <v>163.04450019807766</v>
      </c>
      <c r="V222">
        <f t="shared" si="83"/>
        <v>444.44444444444446</v>
      </c>
      <c r="W222">
        <f t="shared" si="84"/>
        <v>476.61602621388147</v>
      </c>
      <c r="X222">
        <f t="shared" si="85"/>
        <v>317.46031746031747</v>
      </c>
      <c r="Y222">
        <f t="shared" si="86"/>
        <v>1.022232763997601</v>
      </c>
      <c r="Z222">
        <f t="shared" si="87"/>
        <v>1.2325959843749998</v>
      </c>
    </row>
    <row r="223" spans="1:26">
      <c r="A223" s="8">
        <v>16</v>
      </c>
      <c r="B223" s="9">
        <v>5</v>
      </c>
      <c r="C223">
        <v>6</v>
      </c>
      <c r="D223">
        <f t="shared" si="66"/>
        <v>800</v>
      </c>
      <c r="E223">
        <f t="shared" si="67"/>
        <v>225</v>
      </c>
      <c r="F223">
        <f t="shared" si="68"/>
        <v>33.6</v>
      </c>
      <c r="G223">
        <f t="shared" si="69"/>
        <v>8.6400000000000005E-2</v>
      </c>
      <c r="H223">
        <f t="shared" si="70"/>
        <v>90.720000000000013</v>
      </c>
      <c r="I223">
        <f t="shared" si="71"/>
        <v>403.20000000000005</v>
      </c>
      <c r="J223">
        <f t="shared" si="72"/>
        <v>288</v>
      </c>
      <c r="K223">
        <f t="shared" si="73"/>
        <v>64.8</v>
      </c>
      <c r="L223">
        <f t="shared" si="74"/>
        <v>7.3160640000000008</v>
      </c>
      <c r="M223">
        <f t="shared" si="75"/>
        <v>7.4088000000000003</v>
      </c>
      <c r="N223">
        <f t="shared" si="76"/>
        <v>5.6105280000000004</v>
      </c>
      <c r="O223">
        <f t="shared" si="77"/>
        <v>5.1642804705882366</v>
      </c>
      <c r="P223">
        <f t="shared" si="78"/>
        <v>4.8380129589632839</v>
      </c>
      <c r="Q223">
        <f t="shared" si="79"/>
        <v>67.2</v>
      </c>
      <c r="R223">
        <f t="shared" si="80"/>
        <v>480</v>
      </c>
      <c r="S223">
        <f t="shared" si="81"/>
        <v>268.56</v>
      </c>
      <c r="T223">
        <f t="shared" si="82"/>
        <v>19.440000000000001</v>
      </c>
      <c r="U223">
        <f>I223*E223/'[1]Inverter Analysis'!$L$2</f>
        <v>217.39266693077025</v>
      </c>
      <c r="V223">
        <f t="shared" si="83"/>
        <v>277.77777777777777</v>
      </c>
      <c r="W223">
        <f t="shared" si="84"/>
        <v>297.88501638367592</v>
      </c>
      <c r="X223">
        <f t="shared" si="85"/>
        <v>198.4126984126984</v>
      </c>
      <c r="Y223">
        <f t="shared" si="86"/>
        <v>0.39930967343656287</v>
      </c>
      <c r="Z223">
        <f t="shared" si="87"/>
        <v>4.2072609600000002</v>
      </c>
    </row>
    <row r="224" spans="1:26">
      <c r="A224" s="8">
        <v>15</v>
      </c>
      <c r="B224" s="9">
        <v>5</v>
      </c>
      <c r="C224">
        <v>6</v>
      </c>
      <c r="D224">
        <f t="shared" si="66"/>
        <v>800</v>
      </c>
      <c r="E224">
        <f t="shared" si="67"/>
        <v>225</v>
      </c>
      <c r="F224">
        <f t="shared" si="68"/>
        <v>31.5</v>
      </c>
      <c r="G224">
        <f t="shared" si="69"/>
        <v>8.1000000000000003E-2</v>
      </c>
      <c r="H224">
        <f t="shared" si="70"/>
        <v>85.05</v>
      </c>
      <c r="I224">
        <f t="shared" si="71"/>
        <v>378</v>
      </c>
      <c r="J224">
        <f t="shared" si="72"/>
        <v>270</v>
      </c>
      <c r="K224">
        <f t="shared" si="73"/>
        <v>60.75</v>
      </c>
      <c r="L224">
        <f t="shared" si="74"/>
        <v>6.8588099999999992</v>
      </c>
      <c r="M224">
        <f t="shared" si="75"/>
        <v>6.9457499999999994</v>
      </c>
      <c r="N224">
        <f t="shared" si="76"/>
        <v>5.2598700000000003</v>
      </c>
      <c r="O224">
        <f t="shared" si="77"/>
        <v>4.8415129411764699</v>
      </c>
      <c r="P224">
        <f t="shared" si="78"/>
        <v>4.5356371490280774</v>
      </c>
      <c r="Q224">
        <f t="shared" si="79"/>
        <v>63</v>
      </c>
      <c r="R224">
        <f t="shared" si="80"/>
        <v>450</v>
      </c>
      <c r="S224">
        <f t="shared" si="81"/>
        <v>251.77500000000001</v>
      </c>
      <c r="T224">
        <f t="shared" si="82"/>
        <v>18.225000000000001</v>
      </c>
      <c r="U224">
        <f>I224*E224/'[1]Inverter Analysis'!$L$2</f>
        <v>203.80562524759708</v>
      </c>
      <c r="V224">
        <f t="shared" si="83"/>
        <v>296.2962962962963</v>
      </c>
      <c r="W224">
        <f t="shared" si="84"/>
        <v>317.74401747592094</v>
      </c>
      <c r="X224">
        <f t="shared" si="85"/>
        <v>211.64021164021165</v>
      </c>
      <c r="Y224">
        <f t="shared" si="86"/>
        <v>0.4543256728878225</v>
      </c>
      <c r="Z224">
        <f t="shared" si="87"/>
        <v>3.4666762060546885</v>
      </c>
    </row>
    <row r="225" spans="1:26">
      <c r="A225">
        <v>14</v>
      </c>
      <c r="B225" s="9">
        <v>5</v>
      </c>
      <c r="C225">
        <v>6</v>
      </c>
      <c r="D225">
        <f t="shared" si="66"/>
        <v>800</v>
      </c>
      <c r="E225">
        <f t="shared" si="67"/>
        <v>225</v>
      </c>
      <c r="F225">
        <f t="shared" si="68"/>
        <v>29.4</v>
      </c>
      <c r="G225">
        <f t="shared" si="69"/>
        <v>7.5600000000000001E-2</v>
      </c>
      <c r="H225">
        <f t="shared" si="70"/>
        <v>79.38</v>
      </c>
      <c r="I225">
        <f t="shared" si="71"/>
        <v>352.8</v>
      </c>
      <c r="J225">
        <f t="shared" si="72"/>
        <v>252</v>
      </c>
      <c r="K225">
        <f t="shared" si="73"/>
        <v>56.7</v>
      </c>
      <c r="L225">
        <f t="shared" si="74"/>
        <v>6.4015560000000002</v>
      </c>
      <c r="M225">
        <f t="shared" si="75"/>
        <v>6.4826999999999995</v>
      </c>
      <c r="N225">
        <f t="shared" si="76"/>
        <v>4.9092119999999992</v>
      </c>
      <c r="O225">
        <f t="shared" si="77"/>
        <v>4.5187454117647068</v>
      </c>
      <c r="P225">
        <f t="shared" si="78"/>
        <v>4.2332613390928726</v>
      </c>
      <c r="Q225">
        <f t="shared" si="79"/>
        <v>58.800000000000004</v>
      </c>
      <c r="R225">
        <f t="shared" si="80"/>
        <v>420</v>
      </c>
      <c r="S225">
        <f t="shared" si="81"/>
        <v>234.99</v>
      </c>
      <c r="T225">
        <f t="shared" si="82"/>
        <v>17.010000000000002</v>
      </c>
      <c r="U225">
        <f>I225*E225/'[1]Inverter Analysis'!$L$2</f>
        <v>190.21858356442394</v>
      </c>
      <c r="V225">
        <f t="shared" si="83"/>
        <v>317.46031746031747</v>
      </c>
      <c r="W225">
        <f t="shared" si="84"/>
        <v>340.44001872420102</v>
      </c>
      <c r="X225">
        <f t="shared" si="85"/>
        <v>226.75736961451247</v>
      </c>
      <c r="Y225">
        <f t="shared" si="86"/>
        <v>0.52154732857020447</v>
      </c>
      <c r="Z225">
        <f t="shared" si="87"/>
        <v>2.8185361509375002</v>
      </c>
    </row>
    <row r="226" spans="1:26">
      <c r="A226">
        <v>13</v>
      </c>
      <c r="B226" s="9">
        <v>5</v>
      </c>
      <c r="C226">
        <v>6</v>
      </c>
      <c r="D226">
        <f t="shared" si="66"/>
        <v>800</v>
      </c>
      <c r="E226">
        <f t="shared" si="67"/>
        <v>225</v>
      </c>
      <c r="F226">
        <f t="shared" si="68"/>
        <v>27.3</v>
      </c>
      <c r="G226">
        <f t="shared" si="69"/>
        <v>7.0199999999999999E-2</v>
      </c>
      <c r="H226">
        <f t="shared" si="70"/>
        <v>73.709999999999994</v>
      </c>
      <c r="I226">
        <f t="shared" si="71"/>
        <v>327.60000000000002</v>
      </c>
      <c r="J226">
        <f t="shared" si="72"/>
        <v>234</v>
      </c>
      <c r="K226">
        <f t="shared" si="73"/>
        <v>52.65</v>
      </c>
      <c r="L226">
        <f t="shared" si="74"/>
        <v>5.9443019999999995</v>
      </c>
      <c r="M226">
        <f t="shared" si="75"/>
        <v>6.0196500000000004</v>
      </c>
      <c r="N226">
        <f t="shared" si="76"/>
        <v>4.558554</v>
      </c>
      <c r="O226">
        <f t="shared" si="77"/>
        <v>4.195977882352941</v>
      </c>
      <c r="P226">
        <f t="shared" si="78"/>
        <v>3.930885529157667</v>
      </c>
      <c r="Q226">
        <f t="shared" si="79"/>
        <v>54.6</v>
      </c>
      <c r="R226">
        <f t="shared" si="80"/>
        <v>390</v>
      </c>
      <c r="S226">
        <f t="shared" si="81"/>
        <v>218.20500000000001</v>
      </c>
      <c r="T226">
        <f t="shared" si="82"/>
        <v>15.795</v>
      </c>
      <c r="U226">
        <f>I226*E226/'[1]Inverter Analysis'!$L$2</f>
        <v>176.6315418812508</v>
      </c>
      <c r="V226">
        <f t="shared" si="83"/>
        <v>341.88034188034186</v>
      </c>
      <c r="W226">
        <f t="shared" si="84"/>
        <v>366.62771247221644</v>
      </c>
      <c r="X226">
        <f t="shared" si="85"/>
        <v>244.20024420024419</v>
      </c>
      <c r="Y226">
        <f t="shared" si="86"/>
        <v>0.60487145798674591</v>
      </c>
      <c r="Z226">
        <f t="shared" si="87"/>
        <v>2.2566778147265634</v>
      </c>
    </row>
    <row r="227" spans="1:26">
      <c r="A227">
        <v>12</v>
      </c>
      <c r="B227" s="9">
        <v>5</v>
      </c>
      <c r="C227">
        <v>6</v>
      </c>
      <c r="D227">
        <f t="shared" si="66"/>
        <v>800</v>
      </c>
      <c r="E227">
        <f t="shared" si="67"/>
        <v>225</v>
      </c>
      <c r="F227">
        <f t="shared" si="68"/>
        <v>25.2</v>
      </c>
      <c r="G227">
        <f t="shared" si="69"/>
        <v>6.4799999999999996E-2</v>
      </c>
      <c r="H227">
        <f t="shared" si="70"/>
        <v>68.04000000000002</v>
      </c>
      <c r="I227">
        <f t="shared" si="71"/>
        <v>302.40000000000003</v>
      </c>
      <c r="J227">
        <f t="shared" si="72"/>
        <v>216</v>
      </c>
      <c r="K227">
        <f t="shared" si="73"/>
        <v>48.6</v>
      </c>
      <c r="L227">
        <f t="shared" si="74"/>
        <v>5.4870480000000006</v>
      </c>
      <c r="M227">
        <f t="shared" si="75"/>
        <v>5.5566000000000004</v>
      </c>
      <c r="N227">
        <f t="shared" si="76"/>
        <v>4.2078959999999999</v>
      </c>
      <c r="O227">
        <f t="shared" si="77"/>
        <v>3.873210352941177</v>
      </c>
      <c r="P227">
        <f t="shared" si="78"/>
        <v>3.6285097192224627</v>
      </c>
      <c r="Q227">
        <f t="shared" si="79"/>
        <v>50.400000000000006</v>
      </c>
      <c r="R227">
        <f t="shared" si="80"/>
        <v>360</v>
      </c>
      <c r="S227">
        <f t="shared" si="81"/>
        <v>201.42</v>
      </c>
      <c r="T227">
        <f t="shared" si="82"/>
        <v>14.58</v>
      </c>
      <c r="U227">
        <f>I227*E227/'[1]Inverter Analysis'!$L$2</f>
        <v>163.04450019807769</v>
      </c>
      <c r="V227">
        <f t="shared" si="83"/>
        <v>370.37037037037038</v>
      </c>
      <c r="W227">
        <f t="shared" si="84"/>
        <v>397.1800218449012</v>
      </c>
      <c r="X227">
        <f t="shared" si="85"/>
        <v>264.5502645502645</v>
      </c>
      <c r="Y227">
        <f t="shared" si="86"/>
        <v>0.7098838638872228</v>
      </c>
      <c r="Z227">
        <f t="shared" si="87"/>
        <v>1.7749382175000004</v>
      </c>
    </row>
    <row r="228" spans="1:26">
      <c r="A228">
        <v>11</v>
      </c>
      <c r="B228" s="9">
        <v>5</v>
      </c>
      <c r="C228">
        <v>6</v>
      </c>
      <c r="D228">
        <f>B228*$J$3</f>
        <v>800</v>
      </c>
      <c r="E228">
        <f>B228*$I$3</f>
        <v>225</v>
      </c>
      <c r="F228">
        <f>A228*B228*C228*$Q$3/1000</f>
        <v>23.1</v>
      </c>
      <c r="G228">
        <f>((B228*$R$3^(-1))^(-1))*A228*C228</f>
        <v>5.9399999999999994E-2</v>
      </c>
      <c r="H228">
        <f>E228*I228/1000</f>
        <v>62.37</v>
      </c>
      <c r="I228">
        <f>A228*C228*4.2</f>
        <v>277.2</v>
      </c>
      <c r="J228">
        <f>C228*A228*$K$3</f>
        <v>198</v>
      </c>
      <c r="K228">
        <f>E228*J228/1000</f>
        <v>44.55</v>
      </c>
      <c r="L228">
        <f>$N$3/1000*I228*B228/1000</f>
        <v>5.0297939999999999</v>
      </c>
      <c r="M228">
        <f>$O$3/1000*I228*B228/1000</f>
        <v>5.0935499999999996</v>
      </c>
      <c r="N228">
        <f>$P$3/1000*I228*B228/1000</f>
        <v>3.8572379999999997</v>
      </c>
      <c r="O228">
        <f>L228*(($L$3-$K$3)/($L$3-$M$3))</f>
        <v>3.5504428235294121</v>
      </c>
      <c r="P228">
        <f>$H$3/1000*B228*I228/277.8/C228</f>
        <v>3.3261339092872571</v>
      </c>
      <c r="Q228">
        <f>I228/C228</f>
        <v>46.199999999999996</v>
      </c>
      <c r="R228">
        <f>(A228*B228*C228)</f>
        <v>330</v>
      </c>
      <c r="S228">
        <f>J228-(G228*E228)</f>
        <v>184.63499999999999</v>
      </c>
      <c r="T228">
        <f>G228*E228</f>
        <v>13.364999999999998</v>
      </c>
      <c r="U228">
        <f>I228*E228/'[1]Inverter Analysis'!$L$2</f>
        <v>149.45745851490452</v>
      </c>
      <c r="V228">
        <f>80000/J228</f>
        <v>404.04040404040404</v>
      </c>
      <c r="W228">
        <f>80000/S228</f>
        <v>433.28729655807405</v>
      </c>
      <c r="X228">
        <f>80000/I228</f>
        <v>288.60028860028859</v>
      </c>
      <c r="Y228">
        <f>(MAX(V228:X228)^2)*$R$3/1000</f>
        <v>0.84482046611371986</v>
      </c>
      <c r="Z228">
        <f>($S$3*F228/(Y228*1000))*10</f>
        <v>1.3671543793359375</v>
      </c>
    </row>
    <row r="229" spans="1:26">
      <c r="A229">
        <v>10</v>
      </c>
      <c r="B229" s="9">
        <v>5</v>
      </c>
      <c r="C229">
        <v>6</v>
      </c>
      <c r="D229">
        <f t="shared" ref="D229:D250" si="88">B229*$J$3</f>
        <v>800</v>
      </c>
      <c r="E229">
        <f t="shared" ref="E229:E250" si="89">B229*$I$3</f>
        <v>225</v>
      </c>
      <c r="F229">
        <f t="shared" ref="F229:F250" si="90">A229*B229*C229*$Q$3/1000</f>
        <v>21</v>
      </c>
      <c r="G229">
        <f t="shared" ref="G229:G250" si="91">((B229*$R$3^(-1))^(-1))*A229*C229</f>
        <v>5.3999999999999992E-2</v>
      </c>
      <c r="H229">
        <f t="shared" ref="H229:H250" si="92">E229*I229/1000</f>
        <v>56.7</v>
      </c>
      <c r="I229">
        <f t="shared" ref="I229:I250" si="93">A229*C229*4.2</f>
        <v>252</v>
      </c>
      <c r="J229">
        <f t="shared" ref="J229:J250" si="94">C229*A229*$K$3</f>
        <v>180</v>
      </c>
      <c r="K229">
        <f t="shared" ref="K229:K250" si="95">E229*J229/1000</f>
        <v>40.5</v>
      </c>
      <c r="L229">
        <f t="shared" ref="L229:L250" si="96">$N$3/1000*I229*B229/1000</f>
        <v>4.57254</v>
      </c>
      <c r="M229">
        <f t="shared" ref="M229:M250" si="97">$O$3/1000*I229*B229/1000</f>
        <v>4.6304999999999996</v>
      </c>
      <c r="N229">
        <f t="shared" ref="N229:N250" si="98">$P$3/1000*I229*B229/1000</f>
        <v>3.50658</v>
      </c>
      <c r="O229">
        <f t="shared" ref="O229:O250" si="99">L229*(($L$3-$K$3)/($L$3-$M$3))</f>
        <v>3.2276752941176472</v>
      </c>
      <c r="P229">
        <f t="shared" ref="P229:P250" si="100">$H$3/1000*B229*I229/277.8/C229</f>
        <v>3.0237580993520514</v>
      </c>
      <c r="Q229">
        <f t="shared" ref="Q229:Q250" si="101">I229/C229</f>
        <v>42</v>
      </c>
      <c r="R229">
        <f t="shared" ref="R229:R250" si="102">(A229*B229*C229)</f>
        <v>300</v>
      </c>
      <c r="S229">
        <f t="shared" ref="S229:S250" si="103">J229-(G229*E229)</f>
        <v>167.85</v>
      </c>
      <c r="T229">
        <f t="shared" ref="T229:T250" si="104">G229*E229</f>
        <v>12.149999999999999</v>
      </c>
      <c r="U229">
        <f>I229*E229/'[1]Inverter Analysis'!$L$2</f>
        <v>135.87041683173138</v>
      </c>
      <c r="V229">
        <f t="shared" ref="V229:V250" si="105">80000/J229</f>
        <v>444.44444444444446</v>
      </c>
      <c r="W229">
        <f t="shared" ref="W229:W250" si="106">80000/S229</f>
        <v>476.61602621388147</v>
      </c>
      <c r="X229">
        <f t="shared" ref="X229:X250" si="107">80000/I229</f>
        <v>317.46031746031747</v>
      </c>
      <c r="Y229">
        <f t="shared" ref="Y229:Y250" si="108">(MAX(V229:X229)^2)*$R$3/1000</f>
        <v>1.022232763997601</v>
      </c>
      <c r="Z229">
        <f t="shared" ref="Z229:Z250" si="109">($S$3*F229/(Y229*1000))*10</f>
        <v>1.0271633203124999</v>
      </c>
    </row>
    <row r="230" spans="1:26">
      <c r="A230">
        <v>16</v>
      </c>
      <c r="B230">
        <v>4</v>
      </c>
      <c r="C230">
        <v>6</v>
      </c>
      <c r="D230">
        <f t="shared" si="88"/>
        <v>640</v>
      </c>
      <c r="E230">
        <f t="shared" si="89"/>
        <v>180</v>
      </c>
      <c r="F230">
        <f t="shared" si="90"/>
        <v>26.88</v>
      </c>
      <c r="G230">
        <f t="shared" si="91"/>
        <v>0.10799999999999998</v>
      </c>
      <c r="H230">
        <f t="shared" si="92"/>
        <v>72.576000000000008</v>
      </c>
      <c r="I230">
        <f t="shared" si="93"/>
        <v>403.20000000000005</v>
      </c>
      <c r="J230">
        <f t="shared" si="94"/>
        <v>288</v>
      </c>
      <c r="K230">
        <f t="shared" si="95"/>
        <v>51.84</v>
      </c>
      <c r="L230">
        <f t="shared" si="96"/>
        <v>5.8528512000000008</v>
      </c>
      <c r="M230">
        <f t="shared" si="97"/>
        <v>5.9270399999999999</v>
      </c>
      <c r="N230">
        <f t="shared" si="98"/>
        <v>4.4884224000000001</v>
      </c>
      <c r="O230">
        <f t="shared" si="99"/>
        <v>4.1314243764705889</v>
      </c>
      <c r="P230">
        <f t="shared" si="100"/>
        <v>3.8704103671706265</v>
      </c>
      <c r="Q230">
        <f t="shared" si="101"/>
        <v>67.2</v>
      </c>
      <c r="R230">
        <f t="shared" si="102"/>
        <v>384</v>
      </c>
      <c r="S230">
        <f t="shared" si="103"/>
        <v>268.56</v>
      </c>
      <c r="T230">
        <f t="shared" si="104"/>
        <v>19.439999999999998</v>
      </c>
      <c r="U230">
        <f>I230*E230/'[1]Inverter Analysis'!$L$2</f>
        <v>173.91413354461619</v>
      </c>
      <c r="V230">
        <f t="shared" si="105"/>
        <v>277.77777777777777</v>
      </c>
      <c r="W230">
        <f t="shared" si="106"/>
        <v>297.88501638367592</v>
      </c>
      <c r="X230">
        <f t="shared" si="107"/>
        <v>198.4126984126984</v>
      </c>
      <c r="Y230">
        <f t="shared" si="108"/>
        <v>0.39930967343656287</v>
      </c>
      <c r="Z230">
        <f t="shared" si="109"/>
        <v>3.365808768</v>
      </c>
    </row>
    <row r="231" spans="1:26">
      <c r="A231">
        <v>15</v>
      </c>
      <c r="B231">
        <v>4</v>
      </c>
      <c r="C231">
        <v>6</v>
      </c>
      <c r="D231">
        <f t="shared" si="88"/>
        <v>640</v>
      </c>
      <c r="E231">
        <f t="shared" si="89"/>
        <v>180</v>
      </c>
      <c r="F231">
        <f t="shared" si="90"/>
        <v>25.2</v>
      </c>
      <c r="G231">
        <f t="shared" si="91"/>
        <v>0.10124999999999998</v>
      </c>
      <c r="H231">
        <f t="shared" si="92"/>
        <v>68.040000000000006</v>
      </c>
      <c r="I231">
        <f t="shared" si="93"/>
        <v>378</v>
      </c>
      <c r="J231">
        <f t="shared" si="94"/>
        <v>270</v>
      </c>
      <c r="K231">
        <f t="shared" si="95"/>
        <v>48.6</v>
      </c>
      <c r="L231">
        <f t="shared" si="96"/>
        <v>5.4870479999999997</v>
      </c>
      <c r="M231">
        <f t="shared" si="97"/>
        <v>5.5565999999999995</v>
      </c>
      <c r="N231">
        <f t="shared" si="98"/>
        <v>4.2078959999999999</v>
      </c>
      <c r="O231">
        <f t="shared" si="99"/>
        <v>3.8732103529411765</v>
      </c>
      <c r="P231">
        <f t="shared" si="100"/>
        <v>3.6285097192224622</v>
      </c>
      <c r="Q231">
        <f t="shared" si="101"/>
        <v>63</v>
      </c>
      <c r="R231">
        <f t="shared" si="102"/>
        <v>360</v>
      </c>
      <c r="S231">
        <f t="shared" si="103"/>
        <v>251.77500000000001</v>
      </c>
      <c r="T231">
        <f t="shared" si="104"/>
        <v>18.224999999999998</v>
      </c>
      <c r="U231">
        <f>I231*E231/'[1]Inverter Analysis'!$L$2</f>
        <v>163.04450019807766</v>
      </c>
      <c r="V231">
        <f t="shared" si="105"/>
        <v>296.2962962962963</v>
      </c>
      <c r="W231">
        <f t="shared" si="106"/>
        <v>317.74401747592094</v>
      </c>
      <c r="X231">
        <f t="shared" si="107"/>
        <v>211.64021164021165</v>
      </c>
      <c r="Y231">
        <f t="shared" si="108"/>
        <v>0.4543256728878225</v>
      </c>
      <c r="Z231">
        <f t="shared" si="109"/>
        <v>2.7733409648437508</v>
      </c>
    </row>
    <row r="232" spans="1:26">
      <c r="A232">
        <v>14</v>
      </c>
      <c r="B232">
        <v>4</v>
      </c>
      <c r="C232">
        <v>6</v>
      </c>
      <c r="D232">
        <f t="shared" si="88"/>
        <v>640</v>
      </c>
      <c r="E232">
        <f t="shared" si="89"/>
        <v>180</v>
      </c>
      <c r="F232">
        <f t="shared" si="90"/>
        <v>23.52</v>
      </c>
      <c r="G232">
        <f t="shared" si="91"/>
        <v>9.4500000000000001E-2</v>
      </c>
      <c r="H232">
        <f t="shared" si="92"/>
        <v>63.503999999999998</v>
      </c>
      <c r="I232">
        <f t="shared" si="93"/>
        <v>352.8</v>
      </c>
      <c r="J232">
        <f t="shared" si="94"/>
        <v>252</v>
      </c>
      <c r="K232">
        <f t="shared" si="95"/>
        <v>45.36</v>
      </c>
      <c r="L232">
        <f t="shared" si="96"/>
        <v>5.1212448000000004</v>
      </c>
      <c r="M232">
        <f t="shared" si="97"/>
        <v>5.1861600000000001</v>
      </c>
      <c r="N232">
        <f t="shared" si="98"/>
        <v>3.9273696</v>
      </c>
      <c r="O232">
        <f t="shared" si="99"/>
        <v>3.6149963294117651</v>
      </c>
      <c r="P232">
        <f t="shared" si="100"/>
        <v>3.386609071274298</v>
      </c>
      <c r="Q232">
        <f t="shared" si="101"/>
        <v>58.800000000000004</v>
      </c>
      <c r="R232">
        <f t="shared" si="102"/>
        <v>336</v>
      </c>
      <c r="S232">
        <f t="shared" si="103"/>
        <v>234.99</v>
      </c>
      <c r="T232">
        <f t="shared" si="104"/>
        <v>17.010000000000002</v>
      </c>
      <c r="U232">
        <f>I232*E232/'[1]Inverter Analysis'!$L$2</f>
        <v>152.17486685153915</v>
      </c>
      <c r="V232">
        <f t="shared" si="105"/>
        <v>317.46031746031747</v>
      </c>
      <c r="W232">
        <f t="shared" si="106"/>
        <v>340.44001872420102</v>
      </c>
      <c r="X232">
        <f t="shared" si="107"/>
        <v>226.75736961451247</v>
      </c>
      <c r="Y232">
        <f t="shared" si="108"/>
        <v>0.52154732857020447</v>
      </c>
      <c r="Z232">
        <f t="shared" si="109"/>
        <v>2.2548289207500001</v>
      </c>
    </row>
    <row r="233" spans="1:26">
      <c r="A233">
        <v>13</v>
      </c>
      <c r="B233">
        <v>4</v>
      </c>
      <c r="C233">
        <v>6</v>
      </c>
      <c r="D233">
        <f t="shared" si="88"/>
        <v>640</v>
      </c>
      <c r="E233">
        <f t="shared" si="89"/>
        <v>180</v>
      </c>
      <c r="F233">
        <f t="shared" si="90"/>
        <v>21.84</v>
      </c>
      <c r="G233">
        <f t="shared" si="91"/>
        <v>8.7749999999999995E-2</v>
      </c>
      <c r="H233">
        <f t="shared" si="92"/>
        <v>58.968000000000011</v>
      </c>
      <c r="I233">
        <f t="shared" si="93"/>
        <v>327.60000000000002</v>
      </c>
      <c r="J233">
        <f t="shared" si="94"/>
        <v>234</v>
      </c>
      <c r="K233">
        <f t="shared" si="95"/>
        <v>42.12</v>
      </c>
      <c r="L233">
        <f t="shared" si="96"/>
        <v>4.7554416000000002</v>
      </c>
      <c r="M233">
        <f t="shared" si="97"/>
        <v>4.8157200000000007</v>
      </c>
      <c r="N233">
        <f t="shared" si="98"/>
        <v>3.6468432000000002</v>
      </c>
      <c r="O233">
        <f t="shared" si="99"/>
        <v>3.3567823058823532</v>
      </c>
      <c r="P233">
        <f t="shared" si="100"/>
        <v>3.1447084233261342</v>
      </c>
      <c r="Q233">
        <f t="shared" si="101"/>
        <v>54.6</v>
      </c>
      <c r="R233">
        <f t="shared" si="102"/>
        <v>312</v>
      </c>
      <c r="S233">
        <f t="shared" si="103"/>
        <v>218.20500000000001</v>
      </c>
      <c r="T233">
        <f t="shared" si="104"/>
        <v>15.794999999999998</v>
      </c>
      <c r="U233">
        <f>I233*E233/'[1]Inverter Analysis'!$L$2</f>
        <v>141.30523350500064</v>
      </c>
      <c r="V233">
        <f t="shared" si="105"/>
        <v>341.88034188034186</v>
      </c>
      <c r="W233">
        <f t="shared" si="106"/>
        <v>366.62771247221644</v>
      </c>
      <c r="X233">
        <f t="shared" si="107"/>
        <v>244.20024420024419</v>
      </c>
      <c r="Y233">
        <f t="shared" si="108"/>
        <v>0.60487145798674591</v>
      </c>
      <c r="Z233">
        <f t="shared" si="109"/>
        <v>1.8053422517812505</v>
      </c>
    </row>
    <row r="234" spans="1:26">
      <c r="A234">
        <v>12</v>
      </c>
      <c r="B234">
        <v>4</v>
      </c>
      <c r="C234">
        <v>6</v>
      </c>
      <c r="D234">
        <f t="shared" si="88"/>
        <v>640</v>
      </c>
      <c r="E234">
        <f t="shared" si="89"/>
        <v>180</v>
      </c>
      <c r="F234">
        <f t="shared" si="90"/>
        <v>20.16</v>
      </c>
      <c r="G234">
        <f t="shared" si="91"/>
        <v>8.0999999999999989E-2</v>
      </c>
      <c r="H234">
        <f t="shared" si="92"/>
        <v>54.432000000000009</v>
      </c>
      <c r="I234">
        <f t="shared" si="93"/>
        <v>302.40000000000003</v>
      </c>
      <c r="J234">
        <f t="shared" si="94"/>
        <v>216</v>
      </c>
      <c r="K234">
        <f t="shared" si="95"/>
        <v>38.880000000000003</v>
      </c>
      <c r="L234">
        <f t="shared" si="96"/>
        <v>4.3896384000000008</v>
      </c>
      <c r="M234">
        <f t="shared" si="97"/>
        <v>4.4452800000000003</v>
      </c>
      <c r="N234">
        <f t="shared" si="98"/>
        <v>3.3663167999999999</v>
      </c>
      <c r="O234">
        <f t="shared" si="99"/>
        <v>3.0985682823529421</v>
      </c>
      <c r="P234">
        <f t="shared" si="100"/>
        <v>2.9028077753779704</v>
      </c>
      <c r="Q234">
        <f t="shared" si="101"/>
        <v>50.400000000000006</v>
      </c>
      <c r="R234">
        <f t="shared" si="102"/>
        <v>288</v>
      </c>
      <c r="S234">
        <f t="shared" si="103"/>
        <v>201.42000000000002</v>
      </c>
      <c r="T234">
        <f t="shared" si="104"/>
        <v>14.579999999999998</v>
      </c>
      <c r="U234">
        <f>I234*E234/'[1]Inverter Analysis'!$L$2</f>
        <v>130.43560015846214</v>
      </c>
      <c r="V234">
        <f t="shared" si="105"/>
        <v>370.37037037037038</v>
      </c>
      <c r="W234">
        <f t="shared" si="106"/>
        <v>397.18002184490115</v>
      </c>
      <c r="X234">
        <f t="shared" si="107"/>
        <v>264.5502645502645</v>
      </c>
      <c r="Y234">
        <f t="shared" si="108"/>
        <v>0.70988386388722269</v>
      </c>
      <c r="Z234">
        <f t="shared" si="109"/>
        <v>1.4199505740000005</v>
      </c>
    </row>
    <row r="235" spans="1:26">
      <c r="A235">
        <v>11</v>
      </c>
      <c r="B235">
        <v>4</v>
      </c>
      <c r="C235">
        <v>6</v>
      </c>
      <c r="D235">
        <f t="shared" si="88"/>
        <v>640</v>
      </c>
      <c r="E235">
        <f t="shared" si="89"/>
        <v>180</v>
      </c>
      <c r="F235">
        <f t="shared" si="90"/>
        <v>18.48</v>
      </c>
      <c r="G235">
        <f t="shared" si="91"/>
        <v>7.4249999999999997E-2</v>
      </c>
      <c r="H235">
        <f t="shared" si="92"/>
        <v>49.896000000000001</v>
      </c>
      <c r="I235">
        <f t="shared" si="93"/>
        <v>277.2</v>
      </c>
      <c r="J235">
        <f t="shared" si="94"/>
        <v>198</v>
      </c>
      <c r="K235">
        <f t="shared" si="95"/>
        <v>35.64</v>
      </c>
      <c r="L235">
        <f t="shared" si="96"/>
        <v>4.0238351999999997</v>
      </c>
      <c r="M235">
        <f t="shared" si="97"/>
        <v>4.07484</v>
      </c>
      <c r="N235">
        <f t="shared" si="98"/>
        <v>3.0857904</v>
      </c>
      <c r="O235">
        <f t="shared" si="99"/>
        <v>2.8403542588235293</v>
      </c>
      <c r="P235">
        <f t="shared" si="100"/>
        <v>2.6609071274298053</v>
      </c>
      <c r="Q235">
        <f t="shared" si="101"/>
        <v>46.199999999999996</v>
      </c>
      <c r="R235">
        <f t="shared" si="102"/>
        <v>264</v>
      </c>
      <c r="S235">
        <f t="shared" si="103"/>
        <v>184.63499999999999</v>
      </c>
      <c r="T235">
        <f t="shared" si="104"/>
        <v>13.365</v>
      </c>
      <c r="U235">
        <f>I235*E235/'[1]Inverter Analysis'!$L$2</f>
        <v>119.56596681192362</v>
      </c>
      <c r="V235">
        <f t="shared" si="105"/>
        <v>404.04040404040404</v>
      </c>
      <c r="W235">
        <f t="shared" si="106"/>
        <v>433.28729655807405</v>
      </c>
      <c r="X235">
        <f t="shared" si="107"/>
        <v>288.60028860028859</v>
      </c>
      <c r="Y235">
        <f t="shared" si="108"/>
        <v>0.84482046611371986</v>
      </c>
      <c r="Z235">
        <f t="shared" si="109"/>
        <v>1.09372350346875</v>
      </c>
    </row>
    <row r="236" spans="1:26">
      <c r="A236">
        <v>10</v>
      </c>
      <c r="B236">
        <v>4</v>
      </c>
      <c r="C236">
        <v>6</v>
      </c>
      <c r="D236">
        <f t="shared" si="88"/>
        <v>640</v>
      </c>
      <c r="E236">
        <f t="shared" si="89"/>
        <v>180</v>
      </c>
      <c r="F236">
        <f t="shared" si="90"/>
        <v>16.8</v>
      </c>
      <c r="G236">
        <f t="shared" si="91"/>
        <v>6.7500000000000004E-2</v>
      </c>
      <c r="H236">
        <f t="shared" si="92"/>
        <v>45.36</v>
      </c>
      <c r="I236">
        <f t="shared" si="93"/>
        <v>252</v>
      </c>
      <c r="J236">
        <f t="shared" si="94"/>
        <v>180</v>
      </c>
      <c r="K236">
        <f t="shared" si="95"/>
        <v>32.4</v>
      </c>
      <c r="L236">
        <f t="shared" si="96"/>
        <v>3.658032</v>
      </c>
      <c r="M236">
        <f t="shared" si="97"/>
        <v>3.7043999999999997</v>
      </c>
      <c r="N236">
        <f t="shared" si="98"/>
        <v>2.8052640000000002</v>
      </c>
      <c r="O236">
        <f t="shared" si="99"/>
        <v>2.5821402352941178</v>
      </c>
      <c r="P236">
        <f t="shared" si="100"/>
        <v>2.4190064794816415</v>
      </c>
      <c r="Q236">
        <f t="shared" si="101"/>
        <v>42</v>
      </c>
      <c r="R236">
        <f t="shared" si="102"/>
        <v>240</v>
      </c>
      <c r="S236">
        <f t="shared" si="103"/>
        <v>167.85</v>
      </c>
      <c r="T236">
        <f t="shared" si="104"/>
        <v>12.15</v>
      </c>
      <c r="U236">
        <f>I236*E236/'[1]Inverter Analysis'!$L$2</f>
        <v>108.69633346538509</v>
      </c>
      <c r="V236">
        <f t="shared" si="105"/>
        <v>444.44444444444446</v>
      </c>
      <c r="W236">
        <f t="shared" si="106"/>
        <v>476.61602621388147</v>
      </c>
      <c r="X236">
        <f t="shared" si="107"/>
        <v>317.46031746031747</v>
      </c>
      <c r="Y236">
        <f t="shared" si="108"/>
        <v>1.022232763997601</v>
      </c>
      <c r="Z236">
        <f t="shared" si="109"/>
        <v>0.82173065624999997</v>
      </c>
    </row>
    <row r="237" spans="1:26">
      <c r="A237">
        <v>16</v>
      </c>
      <c r="B237">
        <v>3</v>
      </c>
      <c r="C237">
        <v>6</v>
      </c>
      <c r="D237">
        <f t="shared" si="88"/>
        <v>480</v>
      </c>
      <c r="E237">
        <f t="shared" si="89"/>
        <v>135</v>
      </c>
      <c r="F237">
        <f t="shared" si="90"/>
        <v>20.16</v>
      </c>
      <c r="G237">
        <f t="shared" si="91"/>
        <v>0.14399999999999999</v>
      </c>
      <c r="H237">
        <f t="shared" si="92"/>
        <v>54.432000000000009</v>
      </c>
      <c r="I237">
        <f t="shared" si="93"/>
        <v>403.20000000000005</v>
      </c>
      <c r="J237">
        <f t="shared" si="94"/>
        <v>288</v>
      </c>
      <c r="K237">
        <f t="shared" si="95"/>
        <v>38.880000000000003</v>
      </c>
      <c r="L237">
        <f t="shared" si="96"/>
        <v>4.3896384000000008</v>
      </c>
      <c r="M237">
        <f t="shared" si="97"/>
        <v>4.4452799999999995</v>
      </c>
      <c r="N237">
        <f t="shared" si="98"/>
        <v>3.3663168000000003</v>
      </c>
      <c r="O237">
        <f t="shared" si="99"/>
        <v>3.0985682823529421</v>
      </c>
      <c r="P237">
        <f t="shared" si="100"/>
        <v>2.9028077753779704</v>
      </c>
      <c r="Q237">
        <f t="shared" si="101"/>
        <v>67.2</v>
      </c>
      <c r="R237">
        <f t="shared" si="102"/>
        <v>288</v>
      </c>
      <c r="S237">
        <f t="shared" si="103"/>
        <v>268.56</v>
      </c>
      <c r="T237">
        <f t="shared" si="104"/>
        <v>19.439999999999998</v>
      </c>
      <c r="U237">
        <f>I237*E237/'[1]Inverter Analysis'!$L$2</f>
        <v>130.43560015846214</v>
      </c>
      <c r="V237">
        <f t="shared" si="105"/>
        <v>277.77777777777777</v>
      </c>
      <c r="W237">
        <f t="shared" si="106"/>
        <v>297.88501638367592</v>
      </c>
      <c r="X237">
        <f t="shared" si="107"/>
        <v>198.4126984126984</v>
      </c>
      <c r="Y237">
        <f t="shared" si="108"/>
        <v>0.39930967343656287</v>
      </c>
      <c r="Z237">
        <f t="shared" si="109"/>
        <v>2.5243565759999997</v>
      </c>
    </row>
    <row r="238" spans="1:26">
      <c r="A238">
        <v>15</v>
      </c>
      <c r="B238">
        <v>3</v>
      </c>
      <c r="C238">
        <v>6</v>
      </c>
      <c r="D238">
        <f t="shared" si="88"/>
        <v>480</v>
      </c>
      <c r="E238">
        <f t="shared" si="89"/>
        <v>135</v>
      </c>
      <c r="F238">
        <f t="shared" si="90"/>
        <v>18.899999999999999</v>
      </c>
      <c r="G238">
        <f t="shared" si="91"/>
        <v>0.13499999999999998</v>
      </c>
      <c r="H238">
        <f t="shared" si="92"/>
        <v>51.03</v>
      </c>
      <c r="I238">
        <f t="shared" si="93"/>
        <v>378</v>
      </c>
      <c r="J238">
        <f t="shared" si="94"/>
        <v>270</v>
      </c>
      <c r="K238">
        <f t="shared" si="95"/>
        <v>36.450000000000003</v>
      </c>
      <c r="L238">
        <f t="shared" si="96"/>
        <v>4.1152860000000002</v>
      </c>
      <c r="M238">
        <f t="shared" si="97"/>
        <v>4.1674499999999997</v>
      </c>
      <c r="N238">
        <f t="shared" si="98"/>
        <v>3.1559219999999994</v>
      </c>
      <c r="O238">
        <f t="shared" si="99"/>
        <v>2.9049077647058827</v>
      </c>
      <c r="P238">
        <f t="shared" si="100"/>
        <v>2.7213822894168467</v>
      </c>
      <c r="Q238">
        <f t="shared" si="101"/>
        <v>63</v>
      </c>
      <c r="R238">
        <f t="shared" si="102"/>
        <v>270</v>
      </c>
      <c r="S238">
        <f t="shared" si="103"/>
        <v>251.77500000000001</v>
      </c>
      <c r="T238">
        <f t="shared" si="104"/>
        <v>18.224999999999998</v>
      </c>
      <c r="U238">
        <f>I238*E238/'[1]Inverter Analysis'!$L$2</f>
        <v>122.28337514855824</v>
      </c>
      <c r="V238">
        <f t="shared" si="105"/>
        <v>296.2962962962963</v>
      </c>
      <c r="W238">
        <f t="shared" si="106"/>
        <v>317.74401747592094</v>
      </c>
      <c r="X238">
        <f t="shared" si="107"/>
        <v>211.64021164021165</v>
      </c>
      <c r="Y238">
        <f t="shared" si="108"/>
        <v>0.4543256728878225</v>
      </c>
      <c r="Z238">
        <f t="shared" si="109"/>
        <v>2.0800057236328131</v>
      </c>
    </row>
    <row r="239" spans="1:26">
      <c r="A239">
        <v>14</v>
      </c>
      <c r="B239">
        <v>3</v>
      </c>
      <c r="C239">
        <v>6</v>
      </c>
      <c r="D239">
        <f t="shared" si="88"/>
        <v>480</v>
      </c>
      <c r="E239">
        <f t="shared" si="89"/>
        <v>135</v>
      </c>
      <c r="F239">
        <f t="shared" si="90"/>
        <v>17.64</v>
      </c>
      <c r="G239">
        <f t="shared" si="91"/>
        <v>0.126</v>
      </c>
      <c r="H239">
        <f t="shared" si="92"/>
        <v>47.628</v>
      </c>
      <c r="I239">
        <f t="shared" si="93"/>
        <v>352.8</v>
      </c>
      <c r="J239">
        <f t="shared" si="94"/>
        <v>252</v>
      </c>
      <c r="K239">
        <f t="shared" si="95"/>
        <v>34.020000000000003</v>
      </c>
      <c r="L239">
        <f t="shared" si="96"/>
        <v>3.8409336000000005</v>
      </c>
      <c r="M239">
        <f t="shared" si="97"/>
        <v>3.8896199999999999</v>
      </c>
      <c r="N239">
        <f t="shared" si="98"/>
        <v>2.9455271999999999</v>
      </c>
      <c r="O239">
        <f t="shared" si="99"/>
        <v>2.7112472470588243</v>
      </c>
      <c r="P239">
        <f t="shared" si="100"/>
        <v>2.5399568034557238</v>
      </c>
      <c r="Q239">
        <f t="shared" si="101"/>
        <v>58.800000000000004</v>
      </c>
      <c r="R239">
        <f t="shared" si="102"/>
        <v>252</v>
      </c>
      <c r="S239">
        <f t="shared" si="103"/>
        <v>234.99</v>
      </c>
      <c r="T239">
        <f t="shared" si="104"/>
        <v>17.010000000000002</v>
      </c>
      <c r="U239">
        <f>I239*E239/'[1]Inverter Analysis'!$L$2</f>
        <v>114.13115013865436</v>
      </c>
      <c r="V239">
        <f t="shared" si="105"/>
        <v>317.46031746031747</v>
      </c>
      <c r="W239">
        <f t="shared" si="106"/>
        <v>340.44001872420102</v>
      </c>
      <c r="X239">
        <f t="shared" si="107"/>
        <v>226.75736961451247</v>
      </c>
      <c r="Y239">
        <f t="shared" si="108"/>
        <v>0.52154732857020447</v>
      </c>
      <c r="Z239">
        <f t="shared" si="109"/>
        <v>1.6911216905625002</v>
      </c>
    </row>
    <row r="240" spans="1:26">
      <c r="A240">
        <v>13</v>
      </c>
      <c r="B240">
        <v>3</v>
      </c>
      <c r="C240">
        <v>6</v>
      </c>
      <c r="D240">
        <f t="shared" si="88"/>
        <v>480</v>
      </c>
      <c r="E240">
        <f t="shared" si="89"/>
        <v>135</v>
      </c>
      <c r="F240">
        <f t="shared" si="90"/>
        <v>16.38</v>
      </c>
      <c r="G240">
        <f t="shared" si="91"/>
        <v>0.11699999999999998</v>
      </c>
      <c r="H240">
        <f t="shared" si="92"/>
        <v>44.225999999999999</v>
      </c>
      <c r="I240">
        <f t="shared" si="93"/>
        <v>327.60000000000002</v>
      </c>
      <c r="J240">
        <f t="shared" si="94"/>
        <v>234</v>
      </c>
      <c r="K240">
        <f t="shared" si="95"/>
        <v>31.59</v>
      </c>
      <c r="L240">
        <f t="shared" si="96"/>
        <v>3.5665811999999999</v>
      </c>
      <c r="M240">
        <f t="shared" si="97"/>
        <v>3.6117900000000001</v>
      </c>
      <c r="N240">
        <f t="shared" si="98"/>
        <v>2.7351324000000004</v>
      </c>
      <c r="O240">
        <f t="shared" si="99"/>
        <v>2.5175867294117649</v>
      </c>
      <c r="P240">
        <f t="shared" si="100"/>
        <v>2.3585313174946005</v>
      </c>
      <c r="Q240">
        <f t="shared" si="101"/>
        <v>54.6</v>
      </c>
      <c r="R240">
        <f t="shared" si="102"/>
        <v>234</v>
      </c>
      <c r="S240">
        <f t="shared" si="103"/>
        <v>218.20500000000001</v>
      </c>
      <c r="T240">
        <f t="shared" si="104"/>
        <v>15.794999999999996</v>
      </c>
      <c r="U240">
        <f>I240*E240/'[1]Inverter Analysis'!$L$2</f>
        <v>105.97892512875048</v>
      </c>
      <c r="V240">
        <f t="shared" si="105"/>
        <v>341.88034188034186</v>
      </c>
      <c r="W240">
        <f t="shared" si="106"/>
        <v>366.62771247221644</v>
      </c>
      <c r="X240">
        <f t="shared" si="107"/>
        <v>244.20024420024419</v>
      </c>
      <c r="Y240">
        <f t="shared" si="108"/>
        <v>0.60487145798674591</v>
      </c>
      <c r="Z240">
        <f t="shared" si="109"/>
        <v>1.3540066888359379</v>
      </c>
    </row>
    <row r="241" spans="1:26">
      <c r="A241">
        <v>12</v>
      </c>
      <c r="B241">
        <v>3</v>
      </c>
      <c r="C241">
        <v>6</v>
      </c>
      <c r="D241">
        <f t="shared" si="88"/>
        <v>480</v>
      </c>
      <c r="E241">
        <f t="shared" si="89"/>
        <v>135</v>
      </c>
      <c r="F241">
        <f t="shared" si="90"/>
        <v>15.12</v>
      </c>
      <c r="G241">
        <f t="shared" si="91"/>
        <v>0.10799999999999998</v>
      </c>
      <c r="H241">
        <f t="shared" si="92"/>
        <v>40.824000000000005</v>
      </c>
      <c r="I241">
        <f t="shared" si="93"/>
        <v>302.40000000000003</v>
      </c>
      <c r="J241">
        <f t="shared" si="94"/>
        <v>216</v>
      </c>
      <c r="K241">
        <f t="shared" si="95"/>
        <v>29.16</v>
      </c>
      <c r="L241">
        <f t="shared" si="96"/>
        <v>3.2922288000000006</v>
      </c>
      <c r="M241">
        <f t="shared" si="97"/>
        <v>3.3339600000000007</v>
      </c>
      <c r="N241">
        <f t="shared" si="98"/>
        <v>2.5247375999999999</v>
      </c>
      <c r="O241">
        <f t="shared" si="99"/>
        <v>2.3239262117647064</v>
      </c>
      <c r="P241">
        <f t="shared" si="100"/>
        <v>2.1771058315334773</v>
      </c>
      <c r="Q241">
        <f t="shared" si="101"/>
        <v>50.400000000000006</v>
      </c>
      <c r="R241">
        <f t="shared" si="102"/>
        <v>216</v>
      </c>
      <c r="S241">
        <f t="shared" si="103"/>
        <v>201.42000000000002</v>
      </c>
      <c r="T241">
        <f t="shared" si="104"/>
        <v>14.579999999999998</v>
      </c>
      <c r="U241">
        <f>I241*E241/'[1]Inverter Analysis'!$L$2</f>
        <v>97.826700118846603</v>
      </c>
      <c r="V241">
        <f t="shared" si="105"/>
        <v>370.37037037037038</v>
      </c>
      <c r="W241">
        <f t="shared" si="106"/>
        <v>397.18002184490115</v>
      </c>
      <c r="X241">
        <f t="shared" si="107"/>
        <v>264.5502645502645</v>
      </c>
      <c r="Y241">
        <f t="shared" si="108"/>
        <v>0.70988386388722269</v>
      </c>
      <c r="Z241">
        <f t="shared" si="109"/>
        <v>1.0649629305000001</v>
      </c>
    </row>
    <row r="242" spans="1:26">
      <c r="A242">
        <v>11</v>
      </c>
      <c r="B242">
        <v>3</v>
      </c>
      <c r="C242">
        <v>6</v>
      </c>
      <c r="D242">
        <f t="shared" si="88"/>
        <v>480</v>
      </c>
      <c r="E242">
        <f t="shared" si="89"/>
        <v>135</v>
      </c>
      <c r="F242">
        <f t="shared" si="90"/>
        <v>13.86</v>
      </c>
      <c r="G242">
        <f t="shared" si="91"/>
        <v>9.8999999999999977E-2</v>
      </c>
      <c r="H242">
        <f t="shared" si="92"/>
        <v>37.421999999999997</v>
      </c>
      <c r="I242">
        <f t="shared" si="93"/>
        <v>277.2</v>
      </c>
      <c r="J242">
        <f t="shared" si="94"/>
        <v>198</v>
      </c>
      <c r="K242">
        <f t="shared" si="95"/>
        <v>26.73</v>
      </c>
      <c r="L242">
        <f t="shared" si="96"/>
        <v>3.0178764</v>
      </c>
      <c r="M242">
        <f t="shared" si="97"/>
        <v>3.0561299999999996</v>
      </c>
      <c r="N242">
        <f t="shared" si="98"/>
        <v>2.3143427999999999</v>
      </c>
      <c r="O242">
        <f t="shared" si="99"/>
        <v>2.130265694117647</v>
      </c>
      <c r="P242">
        <f t="shared" si="100"/>
        <v>1.995680345572354</v>
      </c>
      <c r="Q242">
        <f t="shared" si="101"/>
        <v>46.199999999999996</v>
      </c>
      <c r="R242">
        <f t="shared" si="102"/>
        <v>198</v>
      </c>
      <c r="S242">
        <f t="shared" si="103"/>
        <v>184.63499999999999</v>
      </c>
      <c r="T242">
        <f t="shared" si="104"/>
        <v>13.364999999999997</v>
      </c>
      <c r="U242">
        <f>I242*E242/'[1]Inverter Analysis'!$L$2</f>
        <v>89.674475108942715</v>
      </c>
      <c r="V242">
        <f t="shared" si="105"/>
        <v>404.04040404040404</v>
      </c>
      <c r="W242">
        <f t="shared" si="106"/>
        <v>433.28729655807405</v>
      </c>
      <c r="X242">
        <f t="shared" si="107"/>
        <v>288.60028860028859</v>
      </c>
      <c r="Y242">
        <f t="shared" si="108"/>
        <v>0.84482046611371986</v>
      </c>
      <c r="Z242">
        <f t="shared" si="109"/>
        <v>0.82029262760156252</v>
      </c>
    </row>
    <row r="243" spans="1:26">
      <c r="A243">
        <v>10</v>
      </c>
      <c r="B243">
        <v>3</v>
      </c>
      <c r="C243">
        <v>6</v>
      </c>
      <c r="D243">
        <f t="shared" si="88"/>
        <v>480</v>
      </c>
      <c r="E243">
        <f t="shared" si="89"/>
        <v>135</v>
      </c>
      <c r="F243">
        <f t="shared" si="90"/>
        <v>12.6</v>
      </c>
      <c r="G243">
        <f t="shared" si="91"/>
        <v>8.9999999999999983E-2</v>
      </c>
      <c r="H243">
        <f t="shared" si="92"/>
        <v>34.020000000000003</v>
      </c>
      <c r="I243">
        <f t="shared" si="93"/>
        <v>252</v>
      </c>
      <c r="J243">
        <f t="shared" si="94"/>
        <v>180</v>
      </c>
      <c r="K243">
        <f t="shared" si="95"/>
        <v>24.3</v>
      </c>
      <c r="L243">
        <f t="shared" si="96"/>
        <v>2.7435240000000003</v>
      </c>
      <c r="M243">
        <f t="shared" si="97"/>
        <v>2.7782999999999998</v>
      </c>
      <c r="N243">
        <f t="shared" si="98"/>
        <v>2.1039480000000004</v>
      </c>
      <c r="O243">
        <f t="shared" si="99"/>
        <v>1.9366051764705885</v>
      </c>
      <c r="P243">
        <f t="shared" si="100"/>
        <v>1.8142548596112311</v>
      </c>
      <c r="Q243">
        <f t="shared" si="101"/>
        <v>42</v>
      </c>
      <c r="R243">
        <f t="shared" si="102"/>
        <v>180</v>
      </c>
      <c r="S243">
        <f t="shared" si="103"/>
        <v>167.85</v>
      </c>
      <c r="T243">
        <f t="shared" si="104"/>
        <v>12.149999999999997</v>
      </c>
      <c r="U243">
        <f>I243*E243/'[1]Inverter Analysis'!$L$2</f>
        <v>81.522250099038828</v>
      </c>
      <c r="V243">
        <f t="shared" si="105"/>
        <v>444.44444444444446</v>
      </c>
      <c r="W243">
        <f t="shared" si="106"/>
        <v>476.61602621388147</v>
      </c>
      <c r="X243">
        <f t="shared" si="107"/>
        <v>317.46031746031747</v>
      </c>
      <c r="Y243">
        <f t="shared" si="108"/>
        <v>1.022232763997601</v>
      </c>
      <c r="Z243">
        <f t="shared" si="109"/>
        <v>0.61629799218749992</v>
      </c>
    </row>
    <row r="244" spans="1:26">
      <c r="A244">
        <v>16</v>
      </c>
      <c r="B244">
        <v>2</v>
      </c>
      <c r="C244">
        <v>6</v>
      </c>
      <c r="D244">
        <f t="shared" si="88"/>
        <v>320</v>
      </c>
      <c r="E244">
        <f t="shared" si="89"/>
        <v>90</v>
      </c>
      <c r="F244">
        <f t="shared" si="90"/>
        <v>13.44</v>
      </c>
      <c r="G244">
        <f t="shared" si="91"/>
        <v>0.21599999999999997</v>
      </c>
      <c r="H244">
        <f t="shared" si="92"/>
        <v>36.288000000000004</v>
      </c>
      <c r="I244">
        <f t="shared" si="93"/>
        <v>403.20000000000005</v>
      </c>
      <c r="J244">
        <f t="shared" si="94"/>
        <v>288</v>
      </c>
      <c r="K244">
        <f t="shared" si="95"/>
        <v>25.92</v>
      </c>
      <c r="L244">
        <f t="shared" si="96"/>
        <v>2.9264256000000004</v>
      </c>
      <c r="M244">
        <f t="shared" si="97"/>
        <v>2.9635199999999999</v>
      </c>
      <c r="N244">
        <f t="shared" si="98"/>
        <v>2.2442112000000001</v>
      </c>
      <c r="O244">
        <f t="shared" si="99"/>
        <v>2.0657121882352945</v>
      </c>
      <c r="P244">
        <f t="shared" si="100"/>
        <v>1.9352051835853132</v>
      </c>
      <c r="Q244">
        <f t="shared" si="101"/>
        <v>67.2</v>
      </c>
      <c r="R244">
        <f t="shared" si="102"/>
        <v>192</v>
      </c>
      <c r="S244">
        <f t="shared" si="103"/>
        <v>268.56</v>
      </c>
      <c r="T244">
        <f t="shared" si="104"/>
        <v>19.439999999999998</v>
      </c>
      <c r="U244">
        <f>I244*E244/'[1]Inverter Analysis'!$L$2</f>
        <v>86.957066772308096</v>
      </c>
      <c r="V244">
        <f t="shared" si="105"/>
        <v>277.77777777777777</v>
      </c>
      <c r="W244">
        <f t="shared" si="106"/>
        <v>297.88501638367592</v>
      </c>
      <c r="X244">
        <f t="shared" si="107"/>
        <v>198.4126984126984</v>
      </c>
      <c r="Y244">
        <f t="shared" si="108"/>
        <v>0.39930967343656287</v>
      </c>
      <c r="Z244">
        <f t="shared" si="109"/>
        <v>1.682904384</v>
      </c>
    </row>
    <row r="245" spans="1:26">
      <c r="A245">
        <v>15</v>
      </c>
      <c r="B245">
        <v>2</v>
      </c>
      <c r="C245">
        <v>6</v>
      </c>
      <c r="D245">
        <f t="shared" si="88"/>
        <v>320</v>
      </c>
      <c r="E245">
        <f t="shared" si="89"/>
        <v>90</v>
      </c>
      <c r="F245">
        <f t="shared" si="90"/>
        <v>12.6</v>
      </c>
      <c r="G245">
        <f t="shared" si="91"/>
        <v>0.20249999999999996</v>
      </c>
      <c r="H245">
        <f t="shared" si="92"/>
        <v>34.020000000000003</v>
      </c>
      <c r="I245">
        <f t="shared" si="93"/>
        <v>378</v>
      </c>
      <c r="J245">
        <f t="shared" si="94"/>
        <v>270</v>
      </c>
      <c r="K245">
        <f t="shared" si="95"/>
        <v>24.3</v>
      </c>
      <c r="L245">
        <f t="shared" si="96"/>
        <v>2.7435239999999999</v>
      </c>
      <c r="M245">
        <f t="shared" si="97"/>
        <v>2.7782999999999998</v>
      </c>
      <c r="N245">
        <f t="shared" si="98"/>
        <v>2.1039479999999999</v>
      </c>
      <c r="O245">
        <f t="shared" si="99"/>
        <v>1.9366051764705883</v>
      </c>
      <c r="P245">
        <f t="shared" si="100"/>
        <v>1.8142548596112311</v>
      </c>
      <c r="Q245">
        <f t="shared" si="101"/>
        <v>63</v>
      </c>
      <c r="R245">
        <f t="shared" si="102"/>
        <v>180</v>
      </c>
      <c r="S245">
        <f t="shared" si="103"/>
        <v>251.77500000000001</v>
      </c>
      <c r="T245">
        <f t="shared" si="104"/>
        <v>18.224999999999998</v>
      </c>
      <c r="U245">
        <f>I245*E245/'[1]Inverter Analysis'!$L$2</f>
        <v>81.522250099038828</v>
      </c>
      <c r="V245">
        <f t="shared" si="105"/>
        <v>296.2962962962963</v>
      </c>
      <c r="W245">
        <f t="shared" si="106"/>
        <v>317.74401747592094</v>
      </c>
      <c r="X245">
        <f t="shared" si="107"/>
        <v>211.64021164021165</v>
      </c>
      <c r="Y245">
        <f t="shared" si="108"/>
        <v>0.4543256728878225</v>
      </c>
      <c r="Z245">
        <f t="shared" si="109"/>
        <v>1.3866704824218754</v>
      </c>
    </row>
    <row r="246" spans="1:26">
      <c r="A246">
        <v>14</v>
      </c>
      <c r="B246">
        <v>2</v>
      </c>
      <c r="C246">
        <v>6</v>
      </c>
      <c r="D246">
        <f t="shared" si="88"/>
        <v>320</v>
      </c>
      <c r="E246">
        <f t="shared" si="89"/>
        <v>90</v>
      </c>
      <c r="F246">
        <f t="shared" si="90"/>
        <v>11.76</v>
      </c>
      <c r="G246">
        <f t="shared" si="91"/>
        <v>0.189</v>
      </c>
      <c r="H246">
        <f t="shared" si="92"/>
        <v>31.751999999999999</v>
      </c>
      <c r="I246">
        <f t="shared" si="93"/>
        <v>352.8</v>
      </c>
      <c r="J246">
        <f t="shared" si="94"/>
        <v>252</v>
      </c>
      <c r="K246">
        <f t="shared" si="95"/>
        <v>22.68</v>
      </c>
      <c r="L246">
        <f t="shared" si="96"/>
        <v>2.5606224000000002</v>
      </c>
      <c r="M246">
        <f t="shared" si="97"/>
        <v>2.5930800000000001</v>
      </c>
      <c r="N246">
        <f t="shared" si="98"/>
        <v>1.9636848</v>
      </c>
      <c r="O246">
        <f t="shared" si="99"/>
        <v>1.8074981647058825</v>
      </c>
      <c r="P246">
        <f t="shared" si="100"/>
        <v>1.693304535637149</v>
      </c>
      <c r="Q246">
        <f t="shared" si="101"/>
        <v>58.800000000000004</v>
      </c>
      <c r="R246">
        <f t="shared" si="102"/>
        <v>168</v>
      </c>
      <c r="S246">
        <f t="shared" si="103"/>
        <v>234.99</v>
      </c>
      <c r="T246">
        <f t="shared" si="104"/>
        <v>17.010000000000002</v>
      </c>
      <c r="U246">
        <f>I246*E246/'[1]Inverter Analysis'!$L$2</f>
        <v>76.087433425769575</v>
      </c>
      <c r="V246">
        <f t="shared" si="105"/>
        <v>317.46031746031747</v>
      </c>
      <c r="W246">
        <f t="shared" si="106"/>
        <v>340.44001872420102</v>
      </c>
      <c r="X246">
        <f t="shared" si="107"/>
        <v>226.75736961451247</v>
      </c>
      <c r="Y246">
        <f t="shared" si="108"/>
        <v>0.52154732857020447</v>
      </c>
      <c r="Z246">
        <f t="shared" si="109"/>
        <v>1.127414460375</v>
      </c>
    </row>
    <row r="247" spans="1:26">
      <c r="A247">
        <v>13</v>
      </c>
      <c r="B247">
        <v>2</v>
      </c>
      <c r="C247">
        <v>6</v>
      </c>
      <c r="D247">
        <f t="shared" si="88"/>
        <v>320</v>
      </c>
      <c r="E247">
        <f t="shared" si="89"/>
        <v>90</v>
      </c>
      <c r="F247">
        <f t="shared" si="90"/>
        <v>10.92</v>
      </c>
      <c r="G247">
        <f t="shared" si="91"/>
        <v>0.17549999999999999</v>
      </c>
      <c r="H247">
        <f t="shared" si="92"/>
        <v>29.484000000000005</v>
      </c>
      <c r="I247">
        <f t="shared" si="93"/>
        <v>327.60000000000002</v>
      </c>
      <c r="J247">
        <f t="shared" si="94"/>
        <v>234</v>
      </c>
      <c r="K247">
        <f t="shared" si="95"/>
        <v>21.06</v>
      </c>
      <c r="L247">
        <f t="shared" si="96"/>
        <v>2.3777208000000001</v>
      </c>
      <c r="M247">
        <f t="shared" si="97"/>
        <v>2.4078600000000003</v>
      </c>
      <c r="N247">
        <f t="shared" si="98"/>
        <v>1.8234216000000001</v>
      </c>
      <c r="O247">
        <f t="shared" si="99"/>
        <v>1.6783911529411766</v>
      </c>
      <c r="P247">
        <f t="shared" si="100"/>
        <v>1.5723542116630671</v>
      </c>
      <c r="Q247">
        <f t="shared" si="101"/>
        <v>54.6</v>
      </c>
      <c r="R247">
        <f t="shared" si="102"/>
        <v>156</v>
      </c>
      <c r="S247">
        <f t="shared" si="103"/>
        <v>218.20500000000001</v>
      </c>
      <c r="T247">
        <f t="shared" si="104"/>
        <v>15.794999999999998</v>
      </c>
      <c r="U247">
        <f>I247*E247/'[1]Inverter Analysis'!$L$2</f>
        <v>70.652616752500322</v>
      </c>
      <c r="V247">
        <f t="shared" si="105"/>
        <v>341.88034188034186</v>
      </c>
      <c r="W247">
        <f t="shared" si="106"/>
        <v>366.62771247221644</v>
      </c>
      <c r="X247">
        <f t="shared" si="107"/>
        <v>244.20024420024419</v>
      </c>
      <c r="Y247">
        <f t="shared" si="108"/>
        <v>0.60487145798674591</v>
      </c>
      <c r="Z247">
        <f t="shared" si="109"/>
        <v>0.90267112589062526</v>
      </c>
    </row>
    <row r="248" spans="1:26">
      <c r="A248">
        <v>12</v>
      </c>
      <c r="B248">
        <v>2</v>
      </c>
      <c r="C248">
        <v>6</v>
      </c>
      <c r="D248">
        <f t="shared" si="88"/>
        <v>320</v>
      </c>
      <c r="E248">
        <f t="shared" si="89"/>
        <v>90</v>
      </c>
      <c r="F248">
        <f t="shared" si="90"/>
        <v>10.08</v>
      </c>
      <c r="G248">
        <f t="shared" si="91"/>
        <v>0.16199999999999998</v>
      </c>
      <c r="H248">
        <f t="shared" si="92"/>
        <v>27.216000000000005</v>
      </c>
      <c r="I248">
        <f t="shared" si="93"/>
        <v>302.40000000000003</v>
      </c>
      <c r="J248">
        <f t="shared" si="94"/>
        <v>216</v>
      </c>
      <c r="K248">
        <f t="shared" si="95"/>
        <v>19.440000000000001</v>
      </c>
      <c r="L248">
        <f t="shared" si="96"/>
        <v>2.1948192000000004</v>
      </c>
      <c r="M248">
        <f t="shared" si="97"/>
        <v>2.2226400000000002</v>
      </c>
      <c r="N248">
        <f t="shared" si="98"/>
        <v>1.6831583999999999</v>
      </c>
      <c r="O248">
        <f t="shared" si="99"/>
        <v>1.5492841411764711</v>
      </c>
      <c r="P248">
        <f t="shared" si="100"/>
        <v>1.4514038876889852</v>
      </c>
      <c r="Q248">
        <f t="shared" si="101"/>
        <v>50.400000000000006</v>
      </c>
      <c r="R248">
        <f t="shared" si="102"/>
        <v>144</v>
      </c>
      <c r="S248">
        <f t="shared" si="103"/>
        <v>201.42000000000002</v>
      </c>
      <c r="T248">
        <f t="shared" si="104"/>
        <v>14.579999999999998</v>
      </c>
      <c r="U248">
        <f>I248*E248/'[1]Inverter Analysis'!$L$2</f>
        <v>65.217800079231068</v>
      </c>
      <c r="V248">
        <f t="shared" si="105"/>
        <v>370.37037037037038</v>
      </c>
      <c r="W248">
        <f t="shared" si="106"/>
        <v>397.18002184490115</v>
      </c>
      <c r="X248">
        <f t="shared" si="107"/>
        <v>264.5502645502645</v>
      </c>
      <c r="Y248">
        <f t="shared" si="108"/>
        <v>0.70988386388722269</v>
      </c>
      <c r="Z248">
        <f t="shared" si="109"/>
        <v>0.70997528700000023</v>
      </c>
    </row>
    <row r="249" spans="1:26">
      <c r="A249">
        <v>11</v>
      </c>
      <c r="B249">
        <v>2</v>
      </c>
      <c r="C249">
        <v>6</v>
      </c>
      <c r="D249">
        <f t="shared" si="88"/>
        <v>320</v>
      </c>
      <c r="E249">
        <f t="shared" si="89"/>
        <v>90</v>
      </c>
      <c r="F249">
        <f t="shared" si="90"/>
        <v>9.24</v>
      </c>
      <c r="G249">
        <f t="shared" si="91"/>
        <v>0.14849999999999999</v>
      </c>
      <c r="H249">
        <f t="shared" si="92"/>
        <v>24.948</v>
      </c>
      <c r="I249">
        <f t="shared" si="93"/>
        <v>277.2</v>
      </c>
      <c r="J249">
        <f t="shared" si="94"/>
        <v>198</v>
      </c>
      <c r="K249">
        <f t="shared" si="95"/>
        <v>17.82</v>
      </c>
      <c r="L249">
        <f t="shared" si="96"/>
        <v>2.0119175999999999</v>
      </c>
      <c r="M249">
        <f t="shared" si="97"/>
        <v>2.03742</v>
      </c>
      <c r="N249">
        <f t="shared" si="98"/>
        <v>1.5428952</v>
      </c>
      <c r="O249">
        <f t="shared" si="99"/>
        <v>1.4201771294117647</v>
      </c>
      <c r="P249">
        <f t="shared" si="100"/>
        <v>1.3304535637149026</v>
      </c>
      <c r="Q249">
        <f t="shared" si="101"/>
        <v>46.199999999999996</v>
      </c>
      <c r="R249">
        <f t="shared" si="102"/>
        <v>132</v>
      </c>
      <c r="S249">
        <f t="shared" si="103"/>
        <v>184.63499999999999</v>
      </c>
      <c r="T249">
        <f t="shared" si="104"/>
        <v>13.365</v>
      </c>
      <c r="U249">
        <f>I249*E249/'[1]Inverter Analysis'!$L$2</f>
        <v>59.782983405961808</v>
      </c>
      <c r="V249">
        <f t="shared" si="105"/>
        <v>404.04040404040404</v>
      </c>
      <c r="W249">
        <f t="shared" si="106"/>
        <v>433.28729655807405</v>
      </c>
      <c r="X249">
        <f t="shared" si="107"/>
        <v>288.60028860028859</v>
      </c>
      <c r="Y249">
        <f t="shared" si="108"/>
        <v>0.84482046611371986</v>
      </c>
      <c r="Z249">
        <f t="shared" si="109"/>
        <v>0.54686175173437501</v>
      </c>
    </row>
    <row r="250" spans="1:26">
      <c r="A250">
        <v>10</v>
      </c>
      <c r="B250">
        <v>2</v>
      </c>
      <c r="C250">
        <v>6</v>
      </c>
      <c r="D250">
        <f t="shared" si="88"/>
        <v>320</v>
      </c>
      <c r="E250">
        <f t="shared" si="89"/>
        <v>90</v>
      </c>
      <c r="F250">
        <f t="shared" si="90"/>
        <v>8.4</v>
      </c>
      <c r="G250">
        <f t="shared" si="91"/>
        <v>0.13500000000000001</v>
      </c>
      <c r="H250">
        <f t="shared" si="92"/>
        <v>22.68</v>
      </c>
      <c r="I250">
        <f t="shared" si="93"/>
        <v>252</v>
      </c>
      <c r="J250">
        <f t="shared" si="94"/>
        <v>180</v>
      </c>
      <c r="K250">
        <f t="shared" si="95"/>
        <v>16.2</v>
      </c>
      <c r="L250">
        <f t="shared" si="96"/>
        <v>1.829016</v>
      </c>
      <c r="M250">
        <f t="shared" si="97"/>
        <v>1.8521999999999998</v>
      </c>
      <c r="N250">
        <f t="shared" si="98"/>
        <v>1.4026320000000001</v>
      </c>
      <c r="O250">
        <f t="shared" si="99"/>
        <v>1.2910701176470589</v>
      </c>
      <c r="P250">
        <f t="shared" si="100"/>
        <v>1.2095032397408207</v>
      </c>
      <c r="Q250">
        <f t="shared" si="101"/>
        <v>42</v>
      </c>
      <c r="R250">
        <f t="shared" si="102"/>
        <v>120</v>
      </c>
      <c r="S250">
        <f t="shared" si="103"/>
        <v>167.85</v>
      </c>
      <c r="T250">
        <f t="shared" si="104"/>
        <v>12.15</v>
      </c>
      <c r="U250">
        <f>I250*E250/'[1]Inverter Analysis'!$L$2</f>
        <v>54.348166732692547</v>
      </c>
      <c r="V250">
        <f t="shared" si="105"/>
        <v>444.44444444444446</v>
      </c>
      <c r="W250">
        <f t="shared" si="106"/>
        <v>476.61602621388147</v>
      </c>
      <c r="X250">
        <f t="shared" si="107"/>
        <v>317.46031746031747</v>
      </c>
      <c r="Y250">
        <f t="shared" si="108"/>
        <v>1.022232763997601</v>
      </c>
      <c r="Z250">
        <f t="shared" si="109"/>
        <v>0.41086532812499998</v>
      </c>
    </row>
  </sheetData>
  <autoFilter ref="A5:Z5" xr:uid="{879B403A-E40E-452F-9BD1-233309246C03}"/>
  <mergeCells count="1">
    <mergeCell ref="Q1:S1"/>
  </mergeCells>
  <conditionalFormatting sqref="H6:H250">
    <cfRule type="cellIs" dxfId="15" priority="4" operator="between">
      <formula>70</formula>
      <formula>85</formula>
    </cfRule>
    <cfRule type="cellIs" dxfId="14" priority="5" operator="lessThan">
      <formula>70</formula>
    </cfRule>
    <cfRule type="cellIs" dxfId="13" priority="6" operator="greaterThan">
      <formula>85</formula>
    </cfRule>
  </conditionalFormatting>
  <conditionalFormatting sqref="I6:I250">
    <cfRule type="cellIs" dxfId="12" priority="3" operator="greaterThan">
      <formula>600</formula>
    </cfRule>
  </conditionalFormatting>
  <conditionalFormatting sqref="I5:K250">
    <cfRule type="cellIs" dxfId="11" priority="1" operator="between">
      <formula>400</formula>
      <formula>600</formula>
    </cfRule>
    <cfRule type="cellIs" dxfId="10" priority="2" operator="lessThan">
      <formula>400</formula>
    </cfRule>
  </conditionalFormatting>
  <conditionalFormatting sqref="Q6:Q250">
    <cfRule type="cellIs" dxfId="9" priority="7" operator="lessThan">
      <formula>60</formula>
    </cfRule>
    <cfRule type="cellIs" dxfId="8" priority="8" operator="greaterThan">
      <formula>60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2068-694F-45A6-995C-8024BA80B050}">
  <dimension ref="A1:Z250"/>
  <sheetViews>
    <sheetView workbookViewId="0">
      <selection activeCell="E4" sqref="E4"/>
    </sheetView>
  </sheetViews>
  <sheetFormatPr defaultRowHeight="15"/>
  <sheetData>
    <row r="1" spans="1:26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6" t="s">
        <v>36</v>
      </c>
      <c r="R1" s="26"/>
      <c r="S1" s="26"/>
    </row>
    <row r="2" spans="1:26">
      <c r="A2" s="1" t="s">
        <v>37</v>
      </c>
      <c r="B2" s="1" t="s">
        <v>38</v>
      </c>
      <c r="C2" s="1" t="s">
        <v>39</v>
      </c>
      <c r="D2" s="1"/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3</v>
      </c>
      <c r="K2" s="1" t="s">
        <v>45</v>
      </c>
      <c r="L2" s="1" t="s">
        <v>46</v>
      </c>
      <c r="M2" s="1" t="s">
        <v>47</v>
      </c>
      <c r="N2" s="1" t="s">
        <v>49</v>
      </c>
      <c r="O2" s="1" t="s">
        <v>75</v>
      </c>
      <c r="P2" s="1" t="s">
        <v>76</v>
      </c>
      <c r="Q2" s="1" t="s">
        <v>51</v>
      </c>
      <c r="R2" s="1" t="s">
        <v>52</v>
      </c>
      <c r="S2" s="1" t="s">
        <v>53</v>
      </c>
    </row>
    <row r="3" spans="1:26">
      <c r="A3" s="2" t="s">
        <v>96</v>
      </c>
      <c r="B3" s="2" t="s">
        <v>55</v>
      </c>
      <c r="C3" s="2">
        <v>21700</v>
      </c>
      <c r="D3" s="2"/>
      <c r="E3" s="2">
        <v>2023</v>
      </c>
      <c r="F3" s="2" t="s">
        <v>56</v>
      </c>
      <c r="G3" s="2" t="s">
        <v>57</v>
      </c>
      <c r="H3">
        <v>4500</v>
      </c>
      <c r="I3">
        <v>45</v>
      </c>
      <c r="J3" s="2">
        <v>90</v>
      </c>
      <c r="K3" s="2">
        <v>3</v>
      </c>
      <c r="L3" s="2">
        <v>4.2</v>
      </c>
      <c r="M3" s="2">
        <v>2.5</v>
      </c>
      <c r="N3">
        <v>4500</v>
      </c>
      <c r="O3">
        <v>4420</v>
      </c>
      <c r="P3">
        <v>2300</v>
      </c>
      <c r="Q3">
        <v>70</v>
      </c>
      <c r="R3">
        <v>1.4999999999999999E-2</v>
      </c>
      <c r="S3" s="4">
        <v>5</v>
      </c>
    </row>
    <row r="4" spans="1:26">
      <c r="A4" s="1" t="s">
        <v>58</v>
      </c>
    </row>
    <row r="5" spans="1:26">
      <c r="A5" s="3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80</v>
      </c>
      <c r="N5" s="1" t="s">
        <v>81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20</v>
      </c>
      <c r="Y5" s="1" t="s">
        <v>22</v>
      </c>
      <c r="Z5" s="1" t="s">
        <v>23</v>
      </c>
    </row>
    <row r="6" spans="1:26">
      <c r="A6" s="8">
        <v>16</v>
      </c>
      <c r="B6" s="1">
        <v>6</v>
      </c>
      <c r="C6" s="1">
        <v>12</v>
      </c>
      <c r="D6">
        <f>B6*$J$3</f>
        <v>540</v>
      </c>
      <c r="E6">
        <f>B6*$I$3</f>
        <v>270</v>
      </c>
      <c r="F6">
        <f>A6*B6*C6*$Q$3/1000</f>
        <v>80.64</v>
      </c>
      <c r="G6">
        <f>((B6*$R$3^(-1))^(-1))*A6*C6</f>
        <v>0.48</v>
      </c>
      <c r="H6">
        <f>E6*I6/1000</f>
        <v>217.72800000000004</v>
      </c>
      <c r="I6">
        <f>A6*C6*4.2</f>
        <v>806.40000000000009</v>
      </c>
      <c r="J6">
        <f>C6*A6*$K$3</f>
        <v>576</v>
      </c>
      <c r="K6">
        <f>E6*J6/1000</f>
        <v>155.52000000000001</v>
      </c>
      <c r="L6">
        <f>$N$3/1000*I6*B6/1000</f>
        <v>21.772800000000004</v>
      </c>
      <c r="M6">
        <f>$O$3/1000*I6*B6/1000</f>
        <v>21.385728000000004</v>
      </c>
      <c r="N6">
        <f>$P$3/1000*I6*B6/1000</f>
        <v>11.12832</v>
      </c>
      <c r="O6">
        <f>L6*(($L$3-$K$3)/($L$3-$M$3))</f>
        <v>15.369035294117651</v>
      </c>
      <c r="P6">
        <f>$H$3/1000*B6*I6/277.8/C6</f>
        <v>6.5313174946004331</v>
      </c>
      <c r="Q6">
        <f>I6/C6</f>
        <v>67.2</v>
      </c>
      <c r="R6">
        <f>(A6*B6*C6)</f>
        <v>1152</v>
      </c>
      <c r="S6">
        <f>J6-(G6*E6)</f>
        <v>446.4</v>
      </c>
      <c r="T6">
        <f>G6*E6</f>
        <v>129.6</v>
      </c>
      <c r="U6">
        <f>I6*E6/'[1]Inverter Analysis'!$L$2</f>
        <v>521.74240063384855</v>
      </c>
      <c r="V6">
        <f>80000/J6</f>
        <v>138.88888888888889</v>
      </c>
      <c r="W6">
        <f>80000/S6</f>
        <v>179.2114695340502</v>
      </c>
      <c r="X6">
        <f>80000/I6</f>
        <v>99.206349206349202</v>
      </c>
      <c r="Y6">
        <f>(MAX(V6:X6)^2)*$R$3/1000</f>
        <v>0.48175126218830699</v>
      </c>
      <c r="Z6">
        <f>($S$3*F6/(Y6*1000))*10</f>
        <v>8.3694643199999987</v>
      </c>
    </row>
    <row r="7" spans="1:26">
      <c r="A7" s="8">
        <v>15</v>
      </c>
      <c r="B7" s="1">
        <v>6</v>
      </c>
      <c r="C7" s="1">
        <v>12</v>
      </c>
      <c r="D7">
        <f t="shared" ref="D7:D70" si="0">B7*$J$3</f>
        <v>540</v>
      </c>
      <c r="E7">
        <f t="shared" ref="E7:E70" si="1">B7*$I$3</f>
        <v>270</v>
      </c>
      <c r="F7">
        <f t="shared" ref="F7:F70" si="2">A7*B7*C7*$Q$3/1000</f>
        <v>75.599999999999994</v>
      </c>
      <c r="G7">
        <f t="shared" ref="G7:G70" si="3">((B7*$R$3^(-1))^(-1))*A7*C7</f>
        <v>0.44999999999999996</v>
      </c>
      <c r="H7">
        <f t="shared" ref="H7:H70" si="4">E7*I7/1000</f>
        <v>204.12</v>
      </c>
      <c r="I7">
        <f t="shared" ref="I7:I70" si="5">A7*C7*4.2</f>
        <v>756</v>
      </c>
      <c r="J7">
        <f t="shared" ref="J7:J70" si="6">C7*A7*$K$3</f>
        <v>540</v>
      </c>
      <c r="K7">
        <f t="shared" ref="K7:K70" si="7">E7*J7/1000</f>
        <v>145.80000000000001</v>
      </c>
      <c r="L7">
        <f t="shared" ref="L7:L70" si="8">$N$3/1000*I7*B7/1000</f>
        <v>20.411999999999999</v>
      </c>
      <c r="M7">
        <f t="shared" ref="M7:M70" si="9">$O$3/1000*I7*B7/1000</f>
        <v>20.049119999999998</v>
      </c>
      <c r="N7">
        <f t="shared" ref="N7:N70" si="10">$P$3/1000*I7*B7/1000</f>
        <v>10.432799999999999</v>
      </c>
      <c r="O7">
        <f t="shared" ref="O7:O70" si="11">L7*(($L$3-$K$3)/($L$3-$M$3))</f>
        <v>14.408470588235295</v>
      </c>
      <c r="P7">
        <f t="shared" ref="P7:P70" si="12">$H$3/1000*B7*I7/277.8/C7</f>
        <v>6.1231101511879045</v>
      </c>
      <c r="Q7">
        <f t="shared" ref="Q7:Q70" si="13">I7/C7</f>
        <v>63</v>
      </c>
      <c r="R7">
        <f t="shared" ref="R7:R70" si="14">(A7*B7*C7)</f>
        <v>1080</v>
      </c>
      <c r="S7">
        <f t="shared" ref="S7:S70" si="15">J7-(G7*E7)</f>
        <v>418.5</v>
      </c>
      <c r="T7">
        <f t="shared" ref="T7:T70" si="16">G7*E7</f>
        <v>121.49999999999999</v>
      </c>
      <c r="U7">
        <f>I7*E7/'[1]Inverter Analysis'!$L$2</f>
        <v>489.13350059423294</v>
      </c>
      <c r="V7">
        <f t="shared" ref="V7:V70" si="17">80000/J7</f>
        <v>148.14814814814815</v>
      </c>
      <c r="W7">
        <f t="shared" ref="W7:W70" si="18">80000/S7</f>
        <v>191.15890083632019</v>
      </c>
      <c r="X7">
        <f t="shared" ref="X7:X70" si="19">80000/I7</f>
        <v>105.82010582010582</v>
      </c>
      <c r="Y7">
        <f t="shared" ref="Y7:Y70" si="20">(MAX(V7:X7)^2)*$R$3/1000</f>
        <v>0.54812588053425138</v>
      </c>
      <c r="Z7">
        <f t="shared" ref="Z7:Z70" si="21">($S$3*F7/(Y7*1000))*10</f>
        <v>6.8962260937500011</v>
      </c>
    </row>
    <row r="8" spans="1:26">
      <c r="A8">
        <v>14</v>
      </c>
      <c r="B8" s="1">
        <v>6</v>
      </c>
      <c r="C8" s="1">
        <v>12</v>
      </c>
      <c r="D8">
        <f t="shared" si="0"/>
        <v>540</v>
      </c>
      <c r="E8">
        <f t="shared" si="1"/>
        <v>270</v>
      </c>
      <c r="F8">
        <f t="shared" si="2"/>
        <v>70.56</v>
      </c>
      <c r="G8">
        <f t="shared" si="3"/>
        <v>0.42000000000000004</v>
      </c>
      <c r="H8">
        <f t="shared" si="4"/>
        <v>190.512</v>
      </c>
      <c r="I8">
        <f t="shared" si="5"/>
        <v>705.6</v>
      </c>
      <c r="J8">
        <f t="shared" si="6"/>
        <v>504</v>
      </c>
      <c r="K8">
        <f t="shared" si="7"/>
        <v>136.08000000000001</v>
      </c>
      <c r="L8">
        <f t="shared" si="8"/>
        <v>19.051200000000001</v>
      </c>
      <c r="M8">
        <f t="shared" si="9"/>
        <v>18.712512</v>
      </c>
      <c r="N8">
        <f t="shared" si="10"/>
        <v>9.7372799999999984</v>
      </c>
      <c r="O8">
        <f t="shared" si="11"/>
        <v>13.447905882352943</v>
      </c>
      <c r="P8">
        <f t="shared" si="12"/>
        <v>5.7149028077753776</v>
      </c>
      <c r="Q8">
        <f t="shared" si="13"/>
        <v>58.800000000000004</v>
      </c>
      <c r="R8">
        <f t="shared" si="14"/>
        <v>1008</v>
      </c>
      <c r="S8">
        <f t="shared" si="15"/>
        <v>390.6</v>
      </c>
      <c r="T8">
        <f t="shared" si="16"/>
        <v>113.4</v>
      </c>
      <c r="U8">
        <f>I8*E8/'[1]Inverter Analysis'!$L$2</f>
        <v>456.52460055461745</v>
      </c>
      <c r="V8">
        <f t="shared" si="17"/>
        <v>158.73015873015873</v>
      </c>
      <c r="W8">
        <f t="shared" si="18"/>
        <v>204.81310803891449</v>
      </c>
      <c r="X8">
        <f t="shared" si="19"/>
        <v>113.37868480725623</v>
      </c>
      <c r="Y8">
        <f t="shared" si="20"/>
        <v>0.62922613836840091</v>
      </c>
      <c r="Z8">
        <f t="shared" si="21"/>
        <v>5.6068872299999999</v>
      </c>
    </row>
    <row r="9" spans="1:26">
      <c r="A9">
        <v>13</v>
      </c>
      <c r="B9" s="1">
        <v>6</v>
      </c>
      <c r="C9" s="1">
        <v>12</v>
      </c>
      <c r="D9">
        <f t="shared" si="0"/>
        <v>540</v>
      </c>
      <c r="E9">
        <f t="shared" si="1"/>
        <v>270</v>
      </c>
      <c r="F9">
        <f t="shared" si="2"/>
        <v>65.52</v>
      </c>
      <c r="G9">
        <f t="shared" si="3"/>
        <v>0.39</v>
      </c>
      <c r="H9">
        <f t="shared" si="4"/>
        <v>176.904</v>
      </c>
      <c r="I9">
        <f t="shared" si="5"/>
        <v>655.20000000000005</v>
      </c>
      <c r="J9">
        <f t="shared" si="6"/>
        <v>468</v>
      </c>
      <c r="K9">
        <f t="shared" si="7"/>
        <v>126.36</v>
      </c>
      <c r="L9">
        <f t="shared" si="8"/>
        <v>17.6904</v>
      </c>
      <c r="M9">
        <f t="shared" si="9"/>
        <v>17.375904000000002</v>
      </c>
      <c r="N9">
        <f t="shared" si="10"/>
        <v>9.04176</v>
      </c>
      <c r="O9">
        <f t="shared" si="11"/>
        <v>12.48734117647059</v>
      </c>
      <c r="P9">
        <f t="shared" si="12"/>
        <v>5.3066954643628508</v>
      </c>
      <c r="Q9">
        <f t="shared" si="13"/>
        <v>54.6</v>
      </c>
      <c r="R9">
        <f t="shared" si="14"/>
        <v>936</v>
      </c>
      <c r="S9">
        <f t="shared" si="15"/>
        <v>362.7</v>
      </c>
      <c r="T9">
        <f t="shared" si="16"/>
        <v>105.3</v>
      </c>
      <c r="U9">
        <f>I9*E9/'[1]Inverter Analysis'!$L$2</f>
        <v>423.9157005150019</v>
      </c>
      <c r="V9">
        <f t="shared" si="17"/>
        <v>170.94017094017093</v>
      </c>
      <c r="W9">
        <f t="shared" si="18"/>
        <v>220.56796250344638</v>
      </c>
      <c r="X9">
        <f t="shared" si="19"/>
        <v>122.10012210012209</v>
      </c>
      <c r="Y9">
        <f t="shared" si="20"/>
        <v>0.72975339124382588</v>
      </c>
      <c r="Z9">
        <f t="shared" si="21"/>
        <v>4.4891877712500001</v>
      </c>
    </row>
    <row r="10" spans="1:26">
      <c r="A10">
        <v>12</v>
      </c>
      <c r="B10" s="1">
        <v>6</v>
      </c>
      <c r="C10" s="1">
        <v>12</v>
      </c>
      <c r="D10">
        <f t="shared" si="0"/>
        <v>540</v>
      </c>
      <c r="E10">
        <f t="shared" si="1"/>
        <v>270</v>
      </c>
      <c r="F10">
        <f t="shared" si="2"/>
        <v>60.48</v>
      </c>
      <c r="G10">
        <f t="shared" si="3"/>
        <v>0.36</v>
      </c>
      <c r="H10">
        <f t="shared" si="4"/>
        <v>163.29600000000002</v>
      </c>
      <c r="I10">
        <f t="shared" si="5"/>
        <v>604.80000000000007</v>
      </c>
      <c r="J10">
        <f t="shared" si="6"/>
        <v>432</v>
      </c>
      <c r="K10">
        <f t="shared" si="7"/>
        <v>116.64</v>
      </c>
      <c r="L10">
        <f t="shared" si="8"/>
        <v>16.329600000000003</v>
      </c>
      <c r="M10">
        <f t="shared" si="9"/>
        <v>16.039296000000004</v>
      </c>
      <c r="N10">
        <f t="shared" si="10"/>
        <v>8.3462399999999999</v>
      </c>
      <c r="O10">
        <f t="shared" si="11"/>
        <v>11.526776470588239</v>
      </c>
      <c r="P10">
        <f t="shared" si="12"/>
        <v>4.8984881209503248</v>
      </c>
      <c r="Q10">
        <f t="shared" si="13"/>
        <v>50.400000000000006</v>
      </c>
      <c r="R10">
        <f t="shared" si="14"/>
        <v>864</v>
      </c>
      <c r="S10">
        <f t="shared" si="15"/>
        <v>334.8</v>
      </c>
      <c r="T10">
        <f t="shared" si="16"/>
        <v>97.2</v>
      </c>
      <c r="U10">
        <f>I10*E10/'[1]Inverter Analysis'!$L$2</f>
        <v>391.30680047538641</v>
      </c>
      <c r="V10">
        <f t="shared" si="17"/>
        <v>185.18518518518519</v>
      </c>
      <c r="W10">
        <f t="shared" si="18"/>
        <v>238.94862604540023</v>
      </c>
      <c r="X10">
        <f t="shared" si="19"/>
        <v>132.27513227513225</v>
      </c>
      <c r="Y10">
        <f t="shared" si="20"/>
        <v>0.85644668833476767</v>
      </c>
      <c r="Z10">
        <f t="shared" si="21"/>
        <v>3.5308677600000005</v>
      </c>
    </row>
    <row r="11" spans="1:26">
      <c r="A11">
        <v>11</v>
      </c>
      <c r="B11" s="1">
        <v>6</v>
      </c>
      <c r="C11" s="1">
        <v>12</v>
      </c>
      <c r="D11">
        <f t="shared" si="0"/>
        <v>540</v>
      </c>
      <c r="E11">
        <f t="shared" si="1"/>
        <v>270</v>
      </c>
      <c r="F11">
        <f t="shared" si="2"/>
        <v>55.44</v>
      </c>
      <c r="G11">
        <f t="shared" si="3"/>
        <v>0.33</v>
      </c>
      <c r="H11">
        <f t="shared" si="4"/>
        <v>149.68799999999999</v>
      </c>
      <c r="I11">
        <f t="shared" si="5"/>
        <v>554.4</v>
      </c>
      <c r="J11">
        <f t="shared" si="6"/>
        <v>396</v>
      </c>
      <c r="K11">
        <f t="shared" si="7"/>
        <v>106.92</v>
      </c>
      <c r="L11">
        <f t="shared" si="8"/>
        <v>14.9688</v>
      </c>
      <c r="M11">
        <f t="shared" si="9"/>
        <v>14.702687999999998</v>
      </c>
      <c r="N11">
        <f t="shared" si="10"/>
        <v>7.6507199999999997</v>
      </c>
      <c r="O11">
        <f t="shared" si="11"/>
        <v>10.566211764705884</v>
      </c>
      <c r="P11">
        <f t="shared" si="12"/>
        <v>4.4902807775377971</v>
      </c>
      <c r="Q11">
        <f t="shared" si="13"/>
        <v>46.199999999999996</v>
      </c>
      <c r="R11">
        <f t="shared" si="14"/>
        <v>792</v>
      </c>
      <c r="S11">
        <f t="shared" si="15"/>
        <v>306.89999999999998</v>
      </c>
      <c r="T11">
        <f t="shared" si="16"/>
        <v>89.100000000000009</v>
      </c>
      <c r="U11">
        <f>I11*E11/'[1]Inverter Analysis'!$L$2</f>
        <v>358.69790043577086</v>
      </c>
      <c r="V11">
        <f t="shared" si="17"/>
        <v>202.02020202020202</v>
      </c>
      <c r="W11">
        <f t="shared" si="18"/>
        <v>260.67122841316393</v>
      </c>
      <c r="X11">
        <f t="shared" si="19"/>
        <v>144.3001443001443</v>
      </c>
      <c r="Y11">
        <f t="shared" si="20"/>
        <v>1.0192423398364181</v>
      </c>
      <c r="Z11">
        <f t="shared" si="21"/>
        <v>2.7196672387499996</v>
      </c>
    </row>
    <row r="12" spans="1:26">
      <c r="A12">
        <v>10</v>
      </c>
      <c r="B12" s="1">
        <v>6</v>
      </c>
      <c r="C12" s="1">
        <v>12</v>
      </c>
      <c r="D12">
        <f t="shared" si="0"/>
        <v>540</v>
      </c>
      <c r="E12">
        <f t="shared" si="1"/>
        <v>270</v>
      </c>
      <c r="F12">
        <f t="shared" si="2"/>
        <v>50.4</v>
      </c>
      <c r="G12">
        <f t="shared" si="3"/>
        <v>0.30000000000000004</v>
      </c>
      <c r="H12">
        <f t="shared" si="4"/>
        <v>136.08000000000001</v>
      </c>
      <c r="I12">
        <f t="shared" si="5"/>
        <v>504</v>
      </c>
      <c r="J12">
        <f t="shared" si="6"/>
        <v>360</v>
      </c>
      <c r="K12">
        <f t="shared" si="7"/>
        <v>97.2</v>
      </c>
      <c r="L12">
        <f t="shared" si="8"/>
        <v>13.608000000000001</v>
      </c>
      <c r="M12">
        <f t="shared" si="9"/>
        <v>13.366079999999998</v>
      </c>
      <c r="N12">
        <f t="shared" si="10"/>
        <v>6.9551999999999987</v>
      </c>
      <c r="O12">
        <f t="shared" si="11"/>
        <v>9.6056470588235303</v>
      </c>
      <c r="P12">
        <f t="shared" si="12"/>
        <v>4.0820734341252694</v>
      </c>
      <c r="Q12">
        <f t="shared" si="13"/>
        <v>42</v>
      </c>
      <c r="R12">
        <f t="shared" si="14"/>
        <v>720</v>
      </c>
      <c r="S12">
        <f t="shared" si="15"/>
        <v>279</v>
      </c>
      <c r="T12">
        <f t="shared" si="16"/>
        <v>81.000000000000014</v>
      </c>
      <c r="U12">
        <f>I12*E12/'[1]Inverter Analysis'!$L$2</f>
        <v>326.08900039615531</v>
      </c>
      <c r="V12">
        <f t="shared" si="17"/>
        <v>222.22222222222223</v>
      </c>
      <c r="W12">
        <f t="shared" si="18"/>
        <v>286.73835125448028</v>
      </c>
      <c r="X12">
        <f t="shared" si="19"/>
        <v>158.73015873015873</v>
      </c>
      <c r="Y12">
        <f t="shared" si="20"/>
        <v>1.2332832312020658</v>
      </c>
      <c r="Z12">
        <f t="shared" si="21"/>
        <v>2.0433262499999998</v>
      </c>
    </row>
    <row r="13" spans="1:26">
      <c r="A13" s="8">
        <v>16</v>
      </c>
      <c r="B13" s="9">
        <v>5</v>
      </c>
      <c r="C13" s="9">
        <v>12</v>
      </c>
      <c r="D13">
        <f t="shared" si="0"/>
        <v>450</v>
      </c>
      <c r="E13">
        <f t="shared" si="1"/>
        <v>225</v>
      </c>
      <c r="F13">
        <f t="shared" si="2"/>
        <v>67.2</v>
      </c>
      <c r="G13">
        <f t="shared" si="3"/>
        <v>0.57599999999999996</v>
      </c>
      <c r="H13">
        <f t="shared" si="4"/>
        <v>181.44000000000003</v>
      </c>
      <c r="I13">
        <f t="shared" si="5"/>
        <v>806.40000000000009</v>
      </c>
      <c r="J13">
        <f t="shared" si="6"/>
        <v>576</v>
      </c>
      <c r="K13">
        <f t="shared" si="7"/>
        <v>129.6</v>
      </c>
      <c r="L13">
        <f t="shared" si="8"/>
        <v>18.143999999999998</v>
      </c>
      <c r="M13">
        <f t="shared" si="9"/>
        <v>17.821440000000003</v>
      </c>
      <c r="N13">
        <f t="shared" si="10"/>
        <v>9.2736000000000001</v>
      </c>
      <c r="O13">
        <f t="shared" si="11"/>
        <v>12.807529411764705</v>
      </c>
      <c r="P13">
        <f t="shared" si="12"/>
        <v>5.4427645788336934</v>
      </c>
      <c r="Q13">
        <f t="shared" si="13"/>
        <v>67.2</v>
      </c>
      <c r="R13">
        <f t="shared" si="14"/>
        <v>960</v>
      </c>
      <c r="S13">
        <f t="shared" si="15"/>
        <v>446.4</v>
      </c>
      <c r="T13">
        <f t="shared" si="16"/>
        <v>129.6</v>
      </c>
      <c r="U13">
        <f>I13*E13/'[1]Inverter Analysis'!$L$2</f>
        <v>434.78533386154049</v>
      </c>
      <c r="V13">
        <f t="shared" si="17"/>
        <v>138.88888888888889</v>
      </c>
      <c r="W13">
        <f t="shared" si="18"/>
        <v>179.2114695340502</v>
      </c>
      <c r="X13">
        <f t="shared" si="19"/>
        <v>99.206349206349202</v>
      </c>
      <c r="Y13">
        <f t="shared" si="20"/>
        <v>0.48175126218830699</v>
      </c>
      <c r="Z13">
        <f t="shared" si="21"/>
        <v>6.9745535999999984</v>
      </c>
    </row>
    <row r="14" spans="1:26">
      <c r="A14" s="8">
        <v>15</v>
      </c>
      <c r="B14" s="9">
        <v>5</v>
      </c>
      <c r="C14" s="9">
        <v>12</v>
      </c>
      <c r="D14">
        <f t="shared" si="0"/>
        <v>450</v>
      </c>
      <c r="E14">
        <f t="shared" si="1"/>
        <v>225</v>
      </c>
      <c r="F14">
        <f t="shared" si="2"/>
        <v>63</v>
      </c>
      <c r="G14">
        <f t="shared" si="3"/>
        <v>0.53999999999999992</v>
      </c>
      <c r="H14">
        <f t="shared" si="4"/>
        <v>170.1</v>
      </c>
      <c r="I14">
        <f t="shared" si="5"/>
        <v>756</v>
      </c>
      <c r="J14">
        <f t="shared" si="6"/>
        <v>540</v>
      </c>
      <c r="K14">
        <f t="shared" si="7"/>
        <v>121.5</v>
      </c>
      <c r="L14">
        <f t="shared" si="8"/>
        <v>17.010000000000002</v>
      </c>
      <c r="M14">
        <f t="shared" si="9"/>
        <v>16.707599999999999</v>
      </c>
      <c r="N14">
        <f t="shared" si="10"/>
        <v>8.6940000000000008</v>
      </c>
      <c r="O14">
        <f t="shared" si="11"/>
        <v>12.007058823529414</v>
      </c>
      <c r="P14">
        <f t="shared" si="12"/>
        <v>5.1025917926565869</v>
      </c>
      <c r="Q14">
        <f t="shared" si="13"/>
        <v>63</v>
      </c>
      <c r="R14">
        <f t="shared" si="14"/>
        <v>900</v>
      </c>
      <c r="S14">
        <f t="shared" si="15"/>
        <v>418.5</v>
      </c>
      <c r="T14">
        <f t="shared" si="16"/>
        <v>121.49999999999999</v>
      </c>
      <c r="U14">
        <f>I14*E14/'[1]Inverter Analysis'!$L$2</f>
        <v>407.61125049519416</v>
      </c>
      <c r="V14">
        <f t="shared" si="17"/>
        <v>148.14814814814815</v>
      </c>
      <c r="W14">
        <f t="shared" si="18"/>
        <v>191.15890083632019</v>
      </c>
      <c r="X14">
        <f t="shared" si="19"/>
        <v>105.82010582010582</v>
      </c>
      <c r="Y14">
        <f t="shared" si="20"/>
        <v>0.54812588053425138</v>
      </c>
      <c r="Z14">
        <f t="shared" si="21"/>
        <v>5.7468550781250016</v>
      </c>
    </row>
    <row r="15" spans="1:26">
      <c r="A15">
        <v>14</v>
      </c>
      <c r="B15" s="9">
        <v>5</v>
      </c>
      <c r="C15">
        <v>12</v>
      </c>
      <c r="D15">
        <f t="shared" si="0"/>
        <v>450</v>
      </c>
      <c r="E15">
        <f t="shared" si="1"/>
        <v>225</v>
      </c>
      <c r="F15">
        <f t="shared" si="2"/>
        <v>58.8</v>
      </c>
      <c r="G15">
        <f t="shared" si="3"/>
        <v>0.504</v>
      </c>
      <c r="H15">
        <f t="shared" si="4"/>
        <v>158.76</v>
      </c>
      <c r="I15">
        <f t="shared" si="5"/>
        <v>705.6</v>
      </c>
      <c r="J15">
        <f t="shared" si="6"/>
        <v>504</v>
      </c>
      <c r="K15">
        <f t="shared" si="7"/>
        <v>113.4</v>
      </c>
      <c r="L15">
        <f t="shared" si="8"/>
        <v>15.876000000000001</v>
      </c>
      <c r="M15">
        <f t="shared" si="9"/>
        <v>15.59376</v>
      </c>
      <c r="N15">
        <f t="shared" si="10"/>
        <v>8.1143999999999998</v>
      </c>
      <c r="O15">
        <f t="shared" si="11"/>
        <v>11.206588235294118</v>
      </c>
      <c r="P15">
        <f t="shared" si="12"/>
        <v>4.7624190064794814</v>
      </c>
      <c r="Q15">
        <f t="shared" si="13"/>
        <v>58.800000000000004</v>
      </c>
      <c r="R15">
        <f t="shared" si="14"/>
        <v>840</v>
      </c>
      <c r="S15">
        <f t="shared" si="15"/>
        <v>390.6</v>
      </c>
      <c r="T15">
        <f t="shared" si="16"/>
        <v>113.4</v>
      </c>
      <c r="U15">
        <f>I15*E15/'[1]Inverter Analysis'!$L$2</f>
        <v>380.43716712884788</v>
      </c>
      <c r="V15">
        <f t="shared" si="17"/>
        <v>158.73015873015873</v>
      </c>
      <c r="W15">
        <f t="shared" si="18"/>
        <v>204.81310803891449</v>
      </c>
      <c r="X15">
        <f t="shared" si="19"/>
        <v>113.37868480725623</v>
      </c>
      <c r="Y15">
        <f t="shared" si="20"/>
        <v>0.62922613836840091</v>
      </c>
      <c r="Z15">
        <f t="shared" si="21"/>
        <v>4.6724060249999999</v>
      </c>
    </row>
    <row r="16" spans="1:26">
      <c r="A16">
        <v>13</v>
      </c>
      <c r="B16" s="9">
        <v>5</v>
      </c>
      <c r="C16">
        <v>12</v>
      </c>
      <c r="D16">
        <f t="shared" si="0"/>
        <v>450</v>
      </c>
      <c r="E16">
        <f t="shared" si="1"/>
        <v>225</v>
      </c>
      <c r="F16">
        <f t="shared" si="2"/>
        <v>54.6</v>
      </c>
      <c r="G16">
        <f t="shared" si="3"/>
        <v>0.46799999999999992</v>
      </c>
      <c r="H16">
        <f t="shared" si="4"/>
        <v>147.41999999999999</v>
      </c>
      <c r="I16">
        <f t="shared" si="5"/>
        <v>655.20000000000005</v>
      </c>
      <c r="J16">
        <f t="shared" si="6"/>
        <v>468</v>
      </c>
      <c r="K16">
        <f t="shared" si="7"/>
        <v>105.3</v>
      </c>
      <c r="L16">
        <f t="shared" si="8"/>
        <v>14.742000000000001</v>
      </c>
      <c r="M16">
        <f t="shared" si="9"/>
        <v>14.479920000000002</v>
      </c>
      <c r="N16">
        <f t="shared" si="10"/>
        <v>7.5348000000000006</v>
      </c>
      <c r="O16">
        <f t="shared" si="11"/>
        <v>10.406117647058824</v>
      </c>
      <c r="P16">
        <f t="shared" si="12"/>
        <v>4.4222462203023758</v>
      </c>
      <c r="Q16">
        <f t="shared" si="13"/>
        <v>54.6</v>
      </c>
      <c r="R16">
        <f t="shared" si="14"/>
        <v>780</v>
      </c>
      <c r="S16">
        <f t="shared" si="15"/>
        <v>362.70000000000005</v>
      </c>
      <c r="T16">
        <f t="shared" si="16"/>
        <v>105.29999999999998</v>
      </c>
      <c r="U16">
        <f>I16*E16/'[1]Inverter Analysis'!$L$2</f>
        <v>353.26308376250159</v>
      </c>
      <c r="V16">
        <f t="shared" si="17"/>
        <v>170.94017094017093</v>
      </c>
      <c r="W16">
        <f t="shared" si="18"/>
        <v>220.56796250344635</v>
      </c>
      <c r="X16">
        <f t="shared" si="19"/>
        <v>122.10012210012209</v>
      </c>
      <c r="Y16">
        <f t="shared" si="20"/>
        <v>0.72975339124382577</v>
      </c>
      <c r="Z16">
        <f t="shared" si="21"/>
        <v>3.7409898093750011</v>
      </c>
    </row>
    <row r="17" spans="1:26">
      <c r="A17">
        <v>12</v>
      </c>
      <c r="B17" s="9">
        <v>5</v>
      </c>
      <c r="C17">
        <v>12</v>
      </c>
      <c r="D17">
        <f t="shared" si="0"/>
        <v>450</v>
      </c>
      <c r="E17">
        <f t="shared" si="1"/>
        <v>225</v>
      </c>
      <c r="F17">
        <f t="shared" si="2"/>
        <v>50.4</v>
      </c>
      <c r="G17">
        <f t="shared" si="3"/>
        <v>0.43199999999999994</v>
      </c>
      <c r="H17">
        <f t="shared" si="4"/>
        <v>136.08000000000004</v>
      </c>
      <c r="I17">
        <f t="shared" si="5"/>
        <v>604.80000000000007</v>
      </c>
      <c r="J17">
        <f t="shared" si="6"/>
        <v>432</v>
      </c>
      <c r="K17">
        <f t="shared" si="7"/>
        <v>97.2</v>
      </c>
      <c r="L17">
        <f t="shared" si="8"/>
        <v>13.608000000000002</v>
      </c>
      <c r="M17">
        <f t="shared" si="9"/>
        <v>13.366080000000002</v>
      </c>
      <c r="N17">
        <f t="shared" si="10"/>
        <v>6.9551999999999996</v>
      </c>
      <c r="O17">
        <f t="shared" si="11"/>
        <v>9.6056470588235321</v>
      </c>
      <c r="P17">
        <f t="shared" si="12"/>
        <v>4.0820734341252702</v>
      </c>
      <c r="Q17">
        <f t="shared" si="13"/>
        <v>50.400000000000006</v>
      </c>
      <c r="R17">
        <f t="shared" si="14"/>
        <v>720</v>
      </c>
      <c r="S17">
        <f t="shared" si="15"/>
        <v>334.8</v>
      </c>
      <c r="T17">
        <f t="shared" si="16"/>
        <v>97.199999999999989</v>
      </c>
      <c r="U17">
        <f>I17*E17/'[1]Inverter Analysis'!$L$2</f>
        <v>326.08900039615537</v>
      </c>
      <c r="V17">
        <f t="shared" si="17"/>
        <v>185.18518518518519</v>
      </c>
      <c r="W17">
        <f t="shared" si="18"/>
        <v>238.94862604540023</v>
      </c>
      <c r="X17">
        <f t="shared" si="19"/>
        <v>132.27513227513225</v>
      </c>
      <c r="Y17">
        <f t="shared" si="20"/>
        <v>0.85644668833476767</v>
      </c>
      <c r="Z17">
        <f t="shared" si="21"/>
        <v>2.9423898000000004</v>
      </c>
    </row>
    <row r="18" spans="1:26">
      <c r="A18">
        <v>11</v>
      </c>
      <c r="B18" s="9">
        <v>5</v>
      </c>
      <c r="C18">
        <v>12</v>
      </c>
      <c r="D18">
        <f t="shared" si="0"/>
        <v>450</v>
      </c>
      <c r="E18">
        <f t="shared" si="1"/>
        <v>225</v>
      </c>
      <c r="F18">
        <f t="shared" si="2"/>
        <v>46.2</v>
      </c>
      <c r="G18">
        <f t="shared" si="3"/>
        <v>0.39599999999999991</v>
      </c>
      <c r="H18">
        <f t="shared" si="4"/>
        <v>124.74</v>
      </c>
      <c r="I18">
        <f t="shared" si="5"/>
        <v>554.4</v>
      </c>
      <c r="J18">
        <f t="shared" si="6"/>
        <v>396</v>
      </c>
      <c r="K18">
        <f t="shared" si="7"/>
        <v>89.1</v>
      </c>
      <c r="L18">
        <f t="shared" si="8"/>
        <v>12.473999999999998</v>
      </c>
      <c r="M18">
        <f t="shared" si="9"/>
        <v>12.25224</v>
      </c>
      <c r="N18">
        <f t="shared" si="10"/>
        <v>6.3755999999999995</v>
      </c>
      <c r="O18">
        <f t="shared" si="11"/>
        <v>8.8051764705882345</v>
      </c>
      <c r="P18">
        <f t="shared" si="12"/>
        <v>3.7419006479481638</v>
      </c>
      <c r="Q18">
        <f t="shared" si="13"/>
        <v>46.199999999999996</v>
      </c>
      <c r="R18">
        <f t="shared" si="14"/>
        <v>660</v>
      </c>
      <c r="S18">
        <f t="shared" si="15"/>
        <v>306.90000000000003</v>
      </c>
      <c r="T18">
        <f t="shared" si="16"/>
        <v>89.09999999999998</v>
      </c>
      <c r="U18">
        <f>I18*E18/'[1]Inverter Analysis'!$L$2</f>
        <v>298.91491702980903</v>
      </c>
      <c r="V18">
        <f t="shared" si="17"/>
        <v>202.02020202020202</v>
      </c>
      <c r="W18">
        <f t="shared" si="18"/>
        <v>260.67122841316387</v>
      </c>
      <c r="X18">
        <f t="shared" si="19"/>
        <v>144.3001443001443</v>
      </c>
      <c r="Y18">
        <f t="shared" si="20"/>
        <v>1.0192423398364177</v>
      </c>
      <c r="Z18">
        <f t="shared" si="21"/>
        <v>2.2663893656250007</v>
      </c>
    </row>
    <row r="19" spans="1:26">
      <c r="A19">
        <v>10</v>
      </c>
      <c r="B19" s="9">
        <v>5</v>
      </c>
      <c r="C19">
        <v>12</v>
      </c>
      <c r="D19">
        <f t="shared" si="0"/>
        <v>450</v>
      </c>
      <c r="E19">
        <f t="shared" si="1"/>
        <v>225</v>
      </c>
      <c r="F19">
        <f t="shared" si="2"/>
        <v>42</v>
      </c>
      <c r="G19">
        <f t="shared" si="3"/>
        <v>0.35999999999999993</v>
      </c>
      <c r="H19">
        <f t="shared" si="4"/>
        <v>113.4</v>
      </c>
      <c r="I19">
        <f t="shared" si="5"/>
        <v>504</v>
      </c>
      <c r="J19">
        <f t="shared" si="6"/>
        <v>360</v>
      </c>
      <c r="K19">
        <f t="shared" si="7"/>
        <v>81</v>
      </c>
      <c r="L19">
        <f t="shared" si="8"/>
        <v>11.34</v>
      </c>
      <c r="M19">
        <f t="shared" si="9"/>
        <v>11.138399999999999</v>
      </c>
      <c r="N19">
        <f t="shared" si="10"/>
        <v>5.7959999999999994</v>
      </c>
      <c r="O19">
        <f t="shared" si="11"/>
        <v>8.0047058823529422</v>
      </c>
      <c r="P19">
        <f t="shared" si="12"/>
        <v>3.4017278617710578</v>
      </c>
      <c r="Q19">
        <f t="shared" si="13"/>
        <v>42</v>
      </c>
      <c r="R19">
        <f t="shared" si="14"/>
        <v>600</v>
      </c>
      <c r="S19">
        <f t="shared" si="15"/>
        <v>279</v>
      </c>
      <c r="T19">
        <f t="shared" si="16"/>
        <v>80.999999999999986</v>
      </c>
      <c r="U19">
        <f>I19*E19/'[1]Inverter Analysis'!$L$2</f>
        <v>271.74083366346275</v>
      </c>
      <c r="V19">
        <f t="shared" si="17"/>
        <v>222.22222222222223</v>
      </c>
      <c r="W19">
        <f t="shared" si="18"/>
        <v>286.73835125448028</v>
      </c>
      <c r="X19">
        <f t="shared" si="19"/>
        <v>158.73015873015873</v>
      </c>
      <c r="Y19">
        <f t="shared" si="20"/>
        <v>1.2332832312020658</v>
      </c>
      <c r="Z19">
        <f t="shared" si="21"/>
        <v>1.702771875</v>
      </c>
    </row>
    <row r="20" spans="1:26">
      <c r="A20">
        <v>16</v>
      </c>
      <c r="B20">
        <v>4</v>
      </c>
      <c r="C20">
        <v>12</v>
      </c>
      <c r="D20">
        <f t="shared" si="0"/>
        <v>360</v>
      </c>
      <c r="E20">
        <f t="shared" si="1"/>
        <v>180</v>
      </c>
      <c r="F20">
        <f t="shared" si="2"/>
        <v>53.76</v>
      </c>
      <c r="G20">
        <f t="shared" si="3"/>
        <v>0.72</v>
      </c>
      <c r="H20">
        <f t="shared" si="4"/>
        <v>145.15200000000002</v>
      </c>
      <c r="I20">
        <f t="shared" si="5"/>
        <v>806.40000000000009</v>
      </c>
      <c r="J20">
        <f t="shared" si="6"/>
        <v>576</v>
      </c>
      <c r="K20">
        <f t="shared" si="7"/>
        <v>103.68</v>
      </c>
      <c r="L20">
        <f t="shared" si="8"/>
        <v>14.5152</v>
      </c>
      <c r="M20">
        <f t="shared" si="9"/>
        <v>14.257152000000001</v>
      </c>
      <c r="N20">
        <f t="shared" si="10"/>
        <v>7.4188799999999997</v>
      </c>
      <c r="O20">
        <f t="shared" si="11"/>
        <v>10.246023529411765</v>
      </c>
      <c r="P20">
        <f t="shared" si="12"/>
        <v>4.3542116630669545</v>
      </c>
      <c r="Q20">
        <f t="shared" si="13"/>
        <v>67.2</v>
      </c>
      <c r="R20">
        <f t="shared" si="14"/>
        <v>768</v>
      </c>
      <c r="S20">
        <f t="shared" si="15"/>
        <v>446.4</v>
      </c>
      <c r="T20">
        <f t="shared" si="16"/>
        <v>129.6</v>
      </c>
      <c r="U20">
        <f>I20*E20/'[1]Inverter Analysis'!$L$2</f>
        <v>347.82826708923238</v>
      </c>
      <c r="V20">
        <f t="shared" si="17"/>
        <v>138.88888888888889</v>
      </c>
      <c r="W20">
        <f t="shared" si="18"/>
        <v>179.2114695340502</v>
      </c>
      <c r="X20">
        <f t="shared" si="19"/>
        <v>99.206349206349202</v>
      </c>
      <c r="Y20">
        <f t="shared" si="20"/>
        <v>0.48175126218830699</v>
      </c>
      <c r="Z20">
        <f t="shared" si="21"/>
        <v>5.5796428799999997</v>
      </c>
    </row>
    <row r="21" spans="1:26">
      <c r="A21">
        <v>15</v>
      </c>
      <c r="B21">
        <v>4</v>
      </c>
      <c r="C21">
        <v>12</v>
      </c>
      <c r="D21">
        <f t="shared" si="0"/>
        <v>360</v>
      </c>
      <c r="E21">
        <f t="shared" si="1"/>
        <v>180</v>
      </c>
      <c r="F21">
        <f t="shared" si="2"/>
        <v>50.4</v>
      </c>
      <c r="G21">
        <f t="shared" si="3"/>
        <v>0.67499999999999993</v>
      </c>
      <c r="H21">
        <f t="shared" si="4"/>
        <v>136.08000000000001</v>
      </c>
      <c r="I21">
        <f t="shared" si="5"/>
        <v>756</v>
      </c>
      <c r="J21">
        <f t="shared" si="6"/>
        <v>540</v>
      </c>
      <c r="K21">
        <f t="shared" si="7"/>
        <v>97.2</v>
      </c>
      <c r="L21">
        <f t="shared" si="8"/>
        <v>13.608000000000001</v>
      </c>
      <c r="M21">
        <f t="shared" si="9"/>
        <v>13.36608</v>
      </c>
      <c r="N21">
        <f t="shared" si="10"/>
        <v>6.9551999999999996</v>
      </c>
      <c r="O21">
        <f t="shared" si="11"/>
        <v>9.6056470588235303</v>
      </c>
      <c r="P21">
        <f t="shared" si="12"/>
        <v>4.0820734341252694</v>
      </c>
      <c r="Q21">
        <f t="shared" si="13"/>
        <v>63</v>
      </c>
      <c r="R21">
        <f t="shared" si="14"/>
        <v>720</v>
      </c>
      <c r="S21">
        <f t="shared" si="15"/>
        <v>418.5</v>
      </c>
      <c r="T21">
        <f t="shared" si="16"/>
        <v>121.49999999999999</v>
      </c>
      <c r="U21">
        <f>I21*E21/'[1]Inverter Analysis'!$L$2</f>
        <v>326.08900039615531</v>
      </c>
      <c r="V21">
        <f t="shared" si="17"/>
        <v>148.14814814814815</v>
      </c>
      <c r="W21">
        <f t="shared" si="18"/>
        <v>191.15890083632019</v>
      </c>
      <c r="X21">
        <f t="shared" si="19"/>
        <v>105.82010582010582</v>
      </c>
      <c r="Y21">
        <f t="shared" si="20"/>
        <v>0.54812588053425138</v>
      </c>
      <c r="Z21">
        <f t="shared" si="21"/>
        <v>4.5974840625000004</v>
      </c>
    </row>
    <row r="22" spans="1:26">
      <c r="A22">
        <v>14</v>
      </c>
      <c r="B22">
        <v>4</v>
      </c>
      <c r="C22">
        <v>12</v>
      </c>
      <c r="D22">
        <f t="shared" si="0"/>
        <v>360</v>
      </c>
      <c r="E22">
        <f t="shared" si="1"/>
        <v>180</v>
      </c>
      <c r="F22">
        <f t="shared" si="2"/>
        <v>47.04</v>
      </c>
      <c r="G22">
        <f t="shared" si="3"/>
        <v>0.63</v>
      </c>
      <c r="H22">
        <f t="shared" si="4"/>
        <v>127.008</v>
      </c>
      <c r="I22">
        <f t="shared" si="5"/>
        <v>705.6</v>
      </c>
      <c r="J22">
        <f t="shared" si="6"/>
        <v>504</v>
      </c>
      <c r="K22">
        <f t="shared" si="7"/>
        <v>90.72</v>
      </c>
      <c r="L22">
        <f t="shared" si="8"/>
        <v>12.700800000000001</v>
      </c>
      <c r="M22">
        <f t="shared" si="9"/>
        <v>12.475007999999999</v>
      </c>
      <c r="N22">
        <f t="shared" si="10"/>
        <v>6.4915199999999995</v>
      </c>
      <c r="O22">
        <f t="shared" si="11"/>
        <v>8.9652705882352954</v>
      </c>
      <c r="P22">
        <f t="shared" si="12"/>
        <v>3.8099352051835855</v>
      </c>
      <c r="Q22">
        <f t="shared" si="13"/>
        <v>58.800000000000004</v>
      </c>
      <c r="R22">
        <f t="shared" si="14"/>
        <v>672</v>
      </c>
      <c r="S22">
        <f t="shared" si="15"/>
        <v>390.6</v>
      </c>
      <c r="T22">
        <f t="shared" si="16"/>
        <v>113.4</v>
      </c>
      <c r="U22">
        <f>I22*E22/'[1]Inverter Analysis'!$L$2</f>
        <v>304.3497337030783</v>
      </c>
      <c r="V22">
        <f t="shared" si="17"/>
        <v>158.73015873015873</v>
      </c>
      <c r="W22">
        <f t="shared" si="18"/>
        <v>204.81310803891449</v>
      </c>
      <c r="X22">
        <f t="shared" si="19"/>
        <v>113.37868480725623</v>
      </c>
      <c r="Y22">
        <f t="shared" si="20"/>
        <v>0.62922613836840091</v>
      </c>
      <c r="Z22">
        <f t="shared" si="21"/>
        <v>3.7379248199999999</v>
      </c>
    </row>
    <row r="23" spans="1:26">
      <c r="A23">
        <v>13</v>
      </c>
      <c r="B23">
        <v>4</v>
      </c>
      <c r="C23">
        <v>12</v>
      </c>
      <c r="D23">
        <f t="shared" si="0"/>
        <v>360</v>
      </c>
      <c r="E23">
        <f t="shared" si="1"/>
        <v>180</v>
      </c>
      <c r="F23">
        <f t="shared" si="2"/>
        <v>43.68</v>
      </c>
      <c r="G23">
        <f t="shared" si="3"/>
        <v>0.58499999999999996</v>
      </c>
      <c r="H23">
        <f t="shared" si="4"/>
        <v>117.93600000000002</v>
      </c>
      <c r="I23">
        <f t="shared" si="5"/>
        <v>655.20000000000005</v>
      </c>
      <c r="J23">
        <f t="shared" si="6"/>
        <v>468</v>
      </c>
      <c r="K23">
        <f t="shared" si="7"/>
        <v>84.24</v>
      </c>
      <c r="L23">
        <f t="shared" si="8"/>
        <v>11.7936</v>
      </c>
      <c r="M23">
        <f t="shared" si="9"/>
        <v>11.583936000000001</v>
      </c>
      <c r="N23">
        <f t="shared" si="10"/>
        <v>6.0278400000000003</v>
      </c>
      <c r="O23">
        <f t="shared" si="11"/>
        <v>8.3248941176470588</v>
      </c>
      <c r="P23">
        <f t="shared" si="12"/>
        <v>3.5377969762419004</v>
      </c>
      <c r="Q23">
        <f t="shared" si="13"/>
        <v>54.6</v>
      </c>
      <c r="R23">
        <f t="shared" si="14"/>
        <v>624</v>
      </c>
      <c r="S23">
        <f t="shared" si="15"/>
        <v>362.7</v>
      </c>
      <c r="T23">
        <f t="shared" si="16"/>
        <v>105.3</v>
      </c>
      <c r="U23">
        <f>I23*E23/'[1]Inverter Analysis'!$L$2</f>
        <v>282.61046701000129</v>
      </c>
      <c r="V23">
        <f t="shared" si="17"/>
        <v>170.94017094017093</v>
      </c>
      <c r="W23">
        <f t="shared" si="18"/>
        <v>220.56796250344638</v>
      </c>
      <c r="X23">
        <f t="shared" si="19"/>
        <v>122.10012210012209</v>
      </c>
      <c r="Y23">
        <f t="shared" si="20"/>
        <v>0.72975339124382588</v>
      </c>
      <c r="Z23">
        <f t="shared" si="21"/>
        <v>2.9927918475000004</v>
      </c>
    </row>
    <row r="24" spans="1:26">
      <c r="A24">
        <v>12</v>
      </c>
      <c r="B24">
        <v>4</v>
      </c>
      <c r="C24">
        <v>12</v>
      </c>
      <c r="D24">
        <f t="shared" si="0"/>
        <v>360</v>
      </c>
      <c r="E24">
        <f t="shared" si="1"/>
        <v>180</v>
      </c>
      <c r="F24">
        <f t="shared" si="2"/>
        <v>40.32</v>
      </c>
      <c r="G24">
        <f t="shared" si="3"/>
        <v>0.54</v>
      </c>
      <c r="H24">
        <f t="shared" si="4"/>
        <v>108.86400000000002</v>
      </c>
      <c r="I24">
        <f t="shared" si="5"/>
        <v>604.80000000000007</v>
      </c>
      <c r="J24">
        <f t="shared" si="6"/>
        <v>432</v>
      </c>
      <c r="K24">
        <f t="shared" si="7"/>
        <v>77.760000000000005</v>
      </c>
      <c r="L24">
        <f t="shared" si="8"/>
        <v>10.886400000000002</v>
      </c>
      <c r="M24">
        <f t="shared" si="9"/>
        <v>10.692864000000002</v>
      </c>
      <c r="N24">
        <f t="shared" si="10"/>
        <v>5.5641600000000002</v>
      </c>
      <c r="O24">
        <f t="shared" si="11"/>
        <v>7.6845176470588257</v>
      </c>
      <c r="P24">
        <f t="shared" si="12"/>
        <v>3.2656587473002165</v>
      </c>
      <c r="Q24">
        <f t="shared" si="13"/>
        <v>50.400000000000006</v>
      </c>
      <c r="R24">
        <f t="shared" si="14"/>
        <v>576</v>
      </c>
      <c r="S24">
        <f t="shared" si="15"/>
        <v>334.8</v>
      </c>
      <c r="T24">
        <f t="shared" si="16"/>
        <v>97.2</v>
      </c>
      <c r="U24">
        <f>I24*E24/'[1]Inverter Analysis'!$L$2</f>
        <v>260.87120031692427</v>
      </c>
      <c r="V24">
        <f t="shared" si="17"/>
        <v>185.18518518518519</v>
      </c>
      <c r="W24">
        <f t="shared" si="18"/>
        <v>238.94862604540023</v>
      </c>
      <c r="X24">
        <f t="shared" si="19"/>
        <v>132.27513227513225</v>
      </c>
      <c r="Y24">
        <f t="shared" si="20"/>
        <v>0.85644668833476767</v>
      </c>
      <c r="Z24">
        <f t="shared" si="21"/>
        <v>2.3539118400000003</v>
      </c>
    </row>
    <row r="25" spans="1:26">
      <c r="A25">
        <v>11</v>
      </c>
      <c r="B25">
        <v>4</v>
      </c>
      <c r="C25">
        <v>12</v>
      </c>
      <c r="D25">
        <f t="shared" si="0"/>
        <v>360</v>
      </c>
      <c r="E25">
        <f t="shared" si="1"/>
        <v>180</v>
      </c>
      <c r="F25">
        <f t="shared" si="2"/>
        <v>36.96</v>
      </c>
      <c r="G25">
        <f t="shared" si="3"/>
        <v>0.49499999999999994</v>
      </c>
      <c r="H25">
        <f t="shared" si="4"/>
        <v>99.792000000000002</v>
      </c>
      <c r="I25">
        <f t="shared" si="5"/>
        <v>554.4</v>
      </c>
      <c r="J25">
        <f t="shared" si="6"/>
        <v>396</v>
      </c>
      <c r="K25">
        <f t="shared" si="7"/>
        <v>71.28</v>
      </c>
      <c r="L25">
        <f t="shared" si="8"/>
        <v>9.9791999999999987</v>
      </c>
      <c r="M25">
        <f t="shared" si="9"/>
        <v>9.8017919999999989</v>
      </c>
      <c r="N25">
        <f t="shared" si="10"/>
        <v>5.1004799999999992</v>
      </c>
      <c r="O25">
        <f t="shared" si="11"/>
        <v>7.0441411764705881</v>
      </c>
      <c r="P25">
        <f t="shared" si="12"/>
        <v>2.9935205183585309</v>
      </c>
      <c r="Q25">
        <f t="shared" si="13"/>
        <v>46.199999999999996</v>
      </c>
      <c r="R25">
        <f t="shared" si="14"/>
        <v>528</v>
      </c>
      <c r="S25">
        <f t="shared" si="15"/>
        <v>306.89999999999998</v>
      </c>
      <c r="T25">
        <f t="shared" si="16"/>
        <v>89.1</v>
      </c>
      <c r="U25">
        <f>I25*E25/'[1]Inverter Analysis'!$L$2</f>
        <v>239.13193362384723</v>
      </c>
      <c r="V25">
        <f t="shared" si="17"/>
        <v>202.02020202020202</v>
      </c>
      <c r="W25">
        <f t="shared" si="18"/>
        <v>260.67122841316393</v>
      </c>
      <c r="X25">
        <f t="shared" si="19"/>
        <v>144.3001443001443</v>
      </c>
      <c r="Y25">
        <f t="shared" si="20"/>
        <v>1.0192423398364181</v>
      </c>
      <c r="Z25">
        <f t="shared" si="21"/>
        <v>1.8131114925</v>
      </c>
    </row>
    <row r="26" spans="1:26">
      <c r="A26">
        <v>10</v>
      </c>
      <c r="B26">
        <v>4</v>
      </c>
      <c r="C26">
        <v>12</v>
      </c>
      <c r="D26">
        <f t="shared" si="0"/>
        <v>360</v>
      </c>
      <c r="E26">
        <f t="shared" si="1"/>
        <v>180</v>
      </c>
      <c r="F26">
        <f t="shared" si="2"/>
        <v>33.6</v>
      </c>
      <c r="G26">
        <f t="shared" si="3"/>
        <v>0.44999999999999996</v>
      </c>
      <c r="H26">
        <f t="shared" si="4"/>
        <v>90.72</v>
      </c>
      <c r="I26">
        <f t="shared" si="5"/>
        <v>504</v>
      </c>
      <c r="J26">
        <f t="shared" si="6"/>
        <v>360</v>
      </c>
      <c r="K26">
        <f t="shared" si="7"/>
        <v>64.8</v>
      </c>
      <c r="L26">
        <f t="shared" si="8"/>
        <v>9.0719999999999992</v>
      </c>
      <c r="M26">
        <f t="shared" si="9"/>
        <v>8.9107199999999995</v>
      </c>
      <c r="N26">
        <f t="shared" si="10"/>
        <v>4.6367999999999991</v>
      </c>
      <c r="O26">
        <f t="shared" si="11"/>
        <v>6.4037647058823524</v>
      </c>
      <c r="P26">
        <f t="shared" si="12"/>
        <v>2.7213822894168467</v>
      </c>
      <c r="Q26">
        <f t="shared" si="13"/>
        <v>42</v>
      </c>
      <c r="R26">
        <f t="shared" si="14"/>
        <v>480</v>
      </c>
      <c r="S26">
        <f t="shared" si="15"/>
        <v>279</v>
      </c>
      <c r="T26">
        <f t="shared" si="16"/>
        <v>80.999999999999986</v>
      </c>
      <c r="U26">
        <f>I26*E26/'[1]Inverter Analysis'!$L$2</f>
        <v>217.39266693077019</v>
      </c>
      <c r="V26">
        <f t="shared" si="17"/>
        <v>222.22222222222223</v>
      </c>
      <c r="W26">
        <f t="shared" si="18"/>
        <v>286.73835125448028</v>
      </c>
      <c r="X26">
        <f t="shared" si="19"/>
        <v>158.73015873015873</v>
      </c>
      <c r="Y26">
        <f t="shared" si="20"/>
        <v>1.2332832312020658</v>
      </c>
      <c r="Z26">
        <f t="shared" si="21"/>
        <v>1.3622175000000001</v>
      </c>
    </row>
    <row r="27" spans="1:26">
      <c r="A27">
        <v>16</v>
      </c>
      <c r="B27">
        <v>3</v>
      </c>
      <c r="C27">
        <v>12</v>
      </c>
      <c r="D27">
        <f t="shared" si="0"/>
        <v>270</v>
      </c>
      <c r="E27">
        <f t="shared" si="1"/>
        <v>135</v>
      </c>
      <c r="F27">
        <f t="shared" si="2"/>
        <v>40.32</v>
      </c>
      <c r="G27">
        <f t="shared" si="3"/>
        <v>0.96</v>
      </c>
      <c r="H27">
        <f t="shared" si="4"/>
        <v>108.86400000000002</v>
      </c>
      <c r="I27">
        <f t="shared" si="5"/>
        <v>806.40000000000009</v>
      </c>
      <c r="J27">
        <f t="shared" si="6"/>
        <v>576</v>
      </c>
      <c r="K27">
        <f t="shared" si="7"/>
        <v>77.760000000000005</v>
      </c>
      <c r="L27">
        <f t="shared" si="8"/>
        <v>10.886400000000002</v>
      </c>
      <c r="M27">
        <f t="shared" si="9"/>
        <v>10.692864000000002</v>
      </c>
      <c r="N27">
        <f t="shared" si="10"/>
        <v>5.5641600000000002</v>
      </c>
      <c r="O27">
        <f t="shared" si="11"/>
        <v>7.6845176470588257</v>
      </c>
      <c r="P27">
        <f t="shared" si="12"/>
        <v>3.2656587473002165</v>
      </c>
      <c r="Q27">
        <f t="shared" si="13"/>
        <v>67.2</v>
      </c>
      <c r="R27">
        <f t="shared" si="14"/>
        <v>576</v>
      </c>
      <c r="S27">
        <f t="shared" si="15"/>
        <v>446.4</v>
      </c>
      <c r="T27">
        <f t="shared" si="16"/>
        <v>129.6</v>
      </c>
      <c r="U27">
        <f>I27*E27/'[1]Inverter Analysis'!$L$2</f>
        <v>260.87120031692427</v>
      </c>
      <c r="V27">
        <f t="shared" si="17"/>
        <v>138.88888888888889</v>
      </c>
      <c r="W27">
        <f t="shared" si="18"/>
        <v>179.2114695340502</v>
      </c>
      <c r="X27">
        <f t="shared" si="19"/>
        <v>99.206349206349202</v>
      </c>
      <c r="Y27">
        <f t="shared" si="20"/>
        <v>0.48175126218830699</v>
      </c>
      <c r="Z27">
        <f t="shared" si="21"/>
        <v>4.1847321599999994</v>
      </c>
    </row>
    <row r="28" spans="1:26">
      <c r="A28">
        <v>15</v>
      </c>
      <c r="B28">
        <v>3</v>
      </c>
      <c r="C28">
        <v>12</v>
      </c>
      <c r="D28">
        <f t="shared" si="0"/>
        <v>270</v>
      </c>
      <c r="E28">
        <f t="shared" si="1"/>
        <v>135</v>
      </c>
      <c r="F28">
        <f t="shared" si="2"/>
        <v>37.799999999999997</v>
      </c>
      <c r="G28">
        <f t="shared" si="3"/>
        <v>0.89999999999999991</v>
      </c>
      <c r="H28">
        <f t="shared" si="4"/>
        <v>102.06</v>
      </c>
      <c r="I28">
        <f t="shared" si="5"/>
        <v>756</v>
      </c>
      <c r="J28">
        <f t="shared" si="6"/>
        <v>540</v>
      </c>
      <c r="K28">
        <f t="shared" si="7"/>
        <v>72.900000000000006</v>
      </c>
      <c r="L28">
        <f t="shared" si="8"/>
        <v>10.206</v>
      </c>
      <c r="M28">
        <f t="shared" si="9"/>
        <v>10.024559999999999</v>
      </c>
      <c r="N28">
        <f t="shared" si="10"/>
        <v>5.2163999999999993</v>
      </c>
      <c r="O28">
        <f t="shared" si="11"/>
        <v>7.2042352941176473</v>
      </c>
      <c r="P28">
        <f t="shared" si="12"/>
        <v>3.0615550755939522</v>
      </c>
      <c r="Q28">
        <f t="shared" si="13"/>
        <v>63</v>
      </c>
      <c r="R28">
        <f t="shared" si="14"/>
        <v>540</v>
      </c>
      <c r="S28">
        <f t="shared" si="15"/>
        <v>418.5</v>
      </c>
      <c r="T28">
        <f t="shared" si="16"/>
        <v>121.49999999999999</v>
      </c>
      <c r="U28">
        <f>I28*E28/'[1]Inverter Analysis'!$L$2</f>
        <v>244.56675029711647</v>
      </c>
      <c r="V28">
        <f t="shared" si="17"/>
        <v>148.14814814814815</v>
      </c>
      <c r="W28">
        <f t="shared" si="18"/>
        <v>191.15890083632019</v>
      </c>
      <c r="X28">
        <f t="shared" si="19"/>
        <v>105.82010582010582</v>
      </c>
      <c r="Y28">
        <f t="shared" si="20"/>
        <v>0.54812588053425138</v>
      </c>
      <c r="Z28">
        <f t="shared" si="21"/>
        <v>3.4481130468750005</v>
      </c>
    </row>
    <row r="29" spans="1:26">
      <c r="A29">
        <v>14</v>
      </c>
      <c r="B29">
        <v>3</v>
      </c>
      <c r="C29">
        <v>12</v>
      </c>
      <c r="D29">
        <f t="shared" si="0"/>
        <v>270</v>
      </c>
      <c r="E29">
        <f t="shared" si="1"/>
        <v>135</v>
      </c>
      <c r="F29">
        <f t="shared" si="2"/>
        <v>35.28</v>
      </c>
      <c r="G29">
        <f t="shared" si="3"/>
        <v>0.84000000000000008</v>
      </c>
      <c r="H29">
        <f t="shared" si="4"/>
        <v>95.256</v>
      </c>
      <c r="I29">
        <f t="shared" si="5"/>
        <v>705.6</v>
      </c>
      <c r="J29">
        <f t="shared" si="6"/>
        <v>504</v>
      </c>
      <c r="K29">
        <f t="shared" si="7"/>
        <v>68.040000000000006</v>
      </c>
      <c r="L29">
        <f t="shared" si="8"/>
        <v>9.5256000000000007</v>
      </c>
      <c r="M29">
        <f t="shared" si="9"/>
        <v>9.3562560000000001</v>
      </c>
      <c r="N29">
        <f t="shared" si="10"/>
        <v>4.8686399999999992</v>
      </c>
      <c r="O29">
        <f t="shared" si="11"/>
        <v>6.7239529411764716</v>
      </c>
      <c r="P29">
        <f t="shared" si="12"/>
        <v>2.8574514038876888</v>
      </c>
      <c r="Q29">
        <f t="shared" si="13"/>
        <v>58.800000000000004</v>
      </c>
      <c r="R29">
        <f t="shared" si="14"/>
        <v>504</v>
      </c>
      <c r="S29">
        <f t="shared" si="15"/>
        <v>390.6</v>
      </c>
      <c r="T29">
        <f t="shared" si="16"/>
        <v>113.4</v>
      </c>
      <c r="U29">
        <f>I29*E29/'[1]Inverter Analysis'!$L$2</f>
        <v>228.26230027730873</v>
      </c>
      <c r="V29">
        <f t="shared" si="17"/>
        <v>158.73015873015873</v>
      </c>
      <c r="W29">
        <f t="shared" si="18"/>
        <v>204.81310803891449</v>
      </c>
      <c r="X29">
        <f t="shared" si="19"/>
        <v>113.37868480725623</v>
      </c>
      <c r="Y29">
        <f t="shared" si="20"/>
        <v>0.62922613836840091</v>
      </c>
      <c r="Z29">
        <f t="shared" si="21"/>
        <v>2.8034436149999999</v>
      </c>
    </row>
    <row r="30" spans="1:26">
      <c r="A30">
        <v>13</v>
      </c>
      <c r="B30">
        <v>3</v>
      </c>
      <c r="C30">
        <v>12</v>
      </c>
      <c r="D30">
        <f t="shared" si="0"/>
        <v>270</v>
      </c>
      <c r="E30">
        <f t="shared" si="1"/>
        <v>135</v>
      </c>
      <c r="F30">
        <f t="shared" si="2"/>
        <v>32.76</v>
      </c>
      <c r="G30">
        <f t="shared" si="3"/>
        <v>0.78</v>
      </c>
      <c r="H30">
        <f t="shared" si="4"/>
        <v>88.451999999999998</v>
      </c>
      <c r="I30">
        <f t="shared" si="5"/>
        <v>655.20000000000005</v>
      </c>
      <c r="J30">
        <f t="shared" si="6"/>
        <v>468</v>
      </c>
      <c r="K30">
        <f t="shared" si="7"/>
        <v>63.18</v>
      </c>
      <c r="L30">
        <f t="shared" si="8"/>
        <v>8.8452000000000002</v>
      </c>
      <c r="M30">
        <f t="shared" si="9"/>
        <v>8.687952000000001</v>
      </c>
      <c r="N30">
        <f t="shared" si="10"/>
        <v>4.52088</v>
      </c>
      <c r="O30">
        <f t="shared" si="11"/>
        <v>6.243670588235295</v>
      </c>
      <c r="P30">
        <f t="shared" si="12"/>
        <v>2.6533477321814254</v>
      </c>
      <c r="Q30">
        <f t="shared" si="13"/>
        <v>54.6</v>
      </c>
      <c r="R30">
        <f t="shared" si="14"/>
        <v>468</v>
      </c>
      <c r="S30">
        <f t="shared" si="15"/>
        <v>362.7</v>
      </c>
      <c r="T30">
        <f t="shared" si="16"/>
        <v>105.3</v>
      </c>
      <c r="U30">
        <f>I30*E30/'[1]Inverter Analysis'!$L$2</f>
        <v>211.95785025750095</v>
      </c>
      <c r="V30">
        <f t="shared" si="17"/>
        <v>170.94017094017093</v>
      </c>
      <c r="W30">
        <f t="shared" si="18"/>
        <v>220.56796250344638</v>
      </c>
      <c r="X30">
        <f t="shared" si="19"/>
        <v>122.10012210012209</v>
      </c>
      <c r="Y30">
        <f t="shared" si="20"/>
        <v>0.72975339124382588</v>
      </c>
      <c r="Z30">
        <f t="shared" si="21"/>
        <v>2.2445938856250001</v>
      </c>
    </row>
    <row r="31" spans="1:26">
      <c r="A31">
        <v>12</v>
      </c>
      <c r="B31">
        <v>3</v>
      </c>
      <c r="C31">
        <v>12</v>
      </c>
      <c r="D31">
        <f t="shared" si="0"/>
        <v>270</v>
      </c>
      <c r="E31">
        <f t="shared" si="1"/>
        <v>135</v>
      </c>
      <c r="F31">
        <f t="shared" si="2"/>
        <v>30.24</v>
      </c>
      <c r="G31">
        <f t="shared" si="3"/>
        <v>0.72</v>
      </c>
      <c r="H31">
        <f t="shared" si="4"/>
        <v>81.64800000000001</v>
      </c>
      <c r="I31">
        <f t="shared" si="5"/>
        <v>604.80000000000007</v>
      </c>
      <c r="J31">
        <f t="shared" si="6"/>
        <v>432</v>
      </c>
      <c r="K31">
        <f t="shared" si="7"/>
        <v>58.32</v>
      </c>
      <c r="L31">
        <f t="shared" si="8"/>
        <v>8.1648000000000014</v>
      </c>
      <c r="M31">
        <f t="shared" si="9"/>
        <v>8.0196480000000019</v>
      </c>
      <c r="N31">
        <f t="shared" si="10"/>
        <v>4.1731199999999999</v>
      </c>
      <c r="O31">
        <f t="shared" si="11"/>
        <v>5.7633882352941193</v>
      </c>
      <c r="P31">
        <f t="shared" si="12"/>
        <v>2.4492440604751624</v>
      </c>
      <c r="Q31">
        <f t="shared" si="13"/>
        <v>50.400000000000006</v>
      </c>
      <c r="R31">
        <f t="shared" si="14"/>
        <v>432</v>
      </c>
      <c r="S31">
        <f t="shared" si="15"/>
        <v>334.8</v>
      </c>
      <c r="T31">
        <f t="shared" si="16"/>
        <v>97.2</v>
      </c>
      <c r="U31">
        <f>I31*E31/'[1]Inverter Analysis'!$L$2</f>
        <v>195.65340023769321</v>
      </c>
      <c r="V31">
        <f t="shared" si="17"/>
        <v>185.18518518518519</v>
      </c>
      <c r="W31">
        <f t="shared" si="18"/>
        <v>238.94862604540023</v>
      </c>
      <c r="X31">
        <f t="shared" si="19"/>
        <v>132.27513227513225</v>
      </c>
      <c r="Y31">
        <f t="shared" si="20"/>
        <v>0.85644668833476767</v>
      </c>
      <c r="Z31">
        <f t="shared" si="21"/>
        <v>1.7654338800000002</v>
      </c>
    </row>
    <row r="32" spans="1:26">
      <c r="A32">
        <v>11</v>
      </c>
      <c r="B32">
        <v>3</v>
      </c>
      <c r="C32">
        <v>12</v>
      </c>
      <c r="D32">
        <f t="shared" si="0"/>
        <v>270</v>
      </c>
      <c r="E32">
        <f t="shared" si="1"/>
        <v>135</v>
      </c>
      <c r="F32">
        <f t="shared" si="2"/>
        <v>27.72</v>
      </c>
      <c r="G32">
        <f t="shared" si="3"/>
        <v>0.66</v>
      </c>
      <c r="H32">
        <f t="shared" si="4"/>
        <v>74.843999999999994</v>
      </c>
      <c r="I32">
        <f t="shared" si="5"/>
        <v>554.4</v>
      </c>
      <c r="J32">
        <f t="shared" si="6"/>
        <v>396</v>
      </c>
      <c r="K32">
        <f t="shared" si="7"/>
        <v>53.46</v>
      </c>
      <c r="L32">
        <f t="shared" si="8"/>
        <v>7.4843999999999999</v>
      </c>
      <c r="M32">
        <f t="shared" si="9"/>
        <v>7.3513439999999992</v>
      </c>
      <c r="N32">
        <f t="shared" si="10"/>
        <v>3.8253599999999999</v>
      </c>
      <c r="O32">
        <f t="shared" si="11"/>
        <v>5.2831058823529418</v>
      </c>
      <c r="P32">
        <f t="shared" si="12"/>
        <v>2.2451403887688985</v>
      </c>
      <c r="Q32">
        <f t="shared" si="13"/>
        <v>46.199999999999996</v>
      </c>
      <c r="R32">
        <f t="shared" si="14"/>
        <v>396</v>
      </c>
      <c r="S32">
        <f t="shared" si="15"/>
        <v>306.89999999999998</v>
      </c>
      <c r="T32">
        <f t="shared" si="16"/>
        <v>89.100000000000009</v>
      </c>
      <c r="U32">
        <f>I32*E32/'[1]Inverter Analysis'!$L$2</f>
        <v>179.34895021788543</v>
      </c>
      <c r="V32">
        <f t="shared" si="17"/>
        <v>202.02020202020202</v>
      </c>
      <c r="W32">
        <f t="shared" si="18"/>
        <v>260.67122841316393</v>
      </c>
      <c r="X32">
        <f t="shared" si="19"/>
        <v>144.3001443001443</v>
      </c>
      <c r="Y32">
        <f t="shared" si="20"/>
        <v>1.0192423398364181</v>
      </c>
      <c r="Z32">
        <f t="shared" si="21"/>
        <v>1.3598336193749998</v>
      </c>
    </row>
    <row r="33" spans="1:26">
      <c r="A33">
        <v>10</v>
      </c>
      <c r="B33">
        <v>3</v>
      </c>
      <c r="C33">
        <v>12</v>
      </c>
      <c r="D33">
        <f t="shared" si="0"/>
        <v>270</v>
      </c>
      <c r="E33">
        <f t="shared" si="1"/>
        <v>135</v>
      </c>
      <c r="F33">
        <f t="shared" si="2"/>
        <v>25.2</v>
      </c>
      <c r="G33">
        <f t="shared" si="3"/>
        <v>0.60000000000000009</v>
      </c>
      <c r="H33">
        <f t="shared" si="4"/>
        <v>68.040000000000006</v>
      </c>
      <c r="I33">
        <f t="shared" si="5"/>
        <v>504</v>
      </c>
      <c r="J33">
        <f t="shared" si="6"/>
        <v>360</v>
      </c>
      <c r="K33">
        <f t="shared" si="7"/>
        <v>48.6</v>
      </c>
      <c r="L33">
        <f t="shared" si="8"/>
        <v>6.8040000000000003</v>
      </c>
      <c r="M33">
        <f t="shared" si="9"/>
        <v>6.6830399999999992</v>
      </c>
      <c r="N33">
        <f t="shared" si="10"/>
        <v>3.4775999999999994</v>
      </c>
      <c r="O33">
        <f t="shared" si="11"/>
        <v>4.8028235294117652</v>
      </c>
      <c r="P33">
        <f t="shared" si="12"/>
        <v>2.0410367170626347</v>
      </c>
      <c r="Q33">
        <f t="shared" si="13"/>
        <v>42</v>
      </c>
      <c r="R33">
        <f t="shared" si="14"/>
        <v>360</v>
      </c>
      <c r="S33">
        <f t="shared" si="15"/>
        <v>279</v>
      </c>
      <c r="T33">
        <f t="shared" si="16"/>
        <v>81.000000000000014</v>
      </c>
      <c r="U33">
        <f>I33*E33/'[1]Inverter Analysis'!$L$2</f>
        <v>163.04450019807766</v>
      </c>
      <c r="V33">
        <f t="shared" si="17"/>
        <v>222.22222222222223</v>
      </c>
      <c r="W33">
        <f t="shared" si="18"/>
        <v>286.73835125448028</v>
      </c>
      <c r="X33">
        <f t="shared" si="19"/>
        <v>158.73015873015873</v>
      </c>
      <c r="Y33">
        <f t="shared" si="20"/>
        <v>1.2332832312020658</v>
      </c>
      <c r="Z33">
        <f t="shared" si="21"/>
        <v>1.0216631249999999</v>
      </c>
    </row>
    <row r="34" spans="1:26">
      <c r="A34">
        <v>16</v>
      </c>
      <c r="B34">
        <v>2</v>
      </c>
      <c r="C34">
        <v>12</v>
      </c>
      <c r="D34">
        <f t="shared" si="0"/>
        <v>180</v>
      </c>
      <c r="E34">
        <f t="shared" si="1"/>
        <v>90</v>
      </c>
      <c r="F34">
        <f t="shared" si="2"/>
        <v>26.88</v>
      </c>
      <c r="G34">
        <f t="shared" si="3"/>
        <v>1.44</v>
      </c>
      <c r="H34">
        <f t="shared" si="4"/>
        <v>72.576000000000008</v>
      </c>
      <c r="I34">
        <f t="shared" si="5"/>
        <v>806.40000000000009</v>
      </c>
      <c r="J34">
        <f t="shared" si="6"/>
        <v>576</v>
      </c>
      <c r="K34">
        <f t="shared" si="7"/>
        <v>51.84</v>
      </c>
      <c r="L34">
        <f t="shared" si="8"/>
        <v>7.2576000000000001</v>
      </c>
      <c r="M34">
        <f t="shared" si="9"/>
        <v>7.1285760000000007</v>
      </c>
      <c r="N34">
        <f t="shared" si="10"/>
        <v>3.7094399999999998</v>
      </c>
      <c r="O34">
        <f t="shared" si="11"/>
        <v>5.1230117647058826</v>
      </c>
      <c r="P34">
        <f t="shared" si="12"/>
        <v>2.1771058315334773</v>
      </c>
      <c r="Q34">
        <f t="shared" si="13"/>
        <v>67.2</v>
      </c>
      <c r="R34">
        <f t="shared" si="14"/>
        <v>384</v>
      </c>
      <c r="S34">
        <f t="shared" si="15"/>
        <v>446.4</v>
      </c>
      <c r="T34">
        <f t="shared" si="16"/>
        <v>129.6</v>
      </c>
      <c r="U34">
        <f>I34*E34/'[1]Inverter Analysis'!$L$2</f>
        <v>173.91413354461619</v>
      </c>
      <c r="V34">
        <f t="shared" si="17"/>
        <v>138.88888888888889</v>
      </c>
      <c r="W34">
        <f t="shared" si="18"/>
        <v>179.2114695340502</v>
      </c>
      <c r="X34">
        <f t="shared" si="19"/>
        <v>99.206349206349202</v>
      </c>
      <c r="Y34">
        <f t="shared" si="20"/>
        <v>0.48175126218830699</v>
      </c>
      <c r="Z34">
        <f t="shared" si="21"/>
        <v>2.7898214399999999</v>
      </c>
    </row>
    <row r="35" spans="1:26">
      <c r="A35">
        <v>15</v>
      </c>
      <c r="B35">
        <v>2</v>
      </c>
      <c r="C35">
        <v>12</v>
      </c>
      <c r="D35">
        <f t="shared" si="0"/>
        <v>180</v>
      </c>
      <c r="E35">
        <f t="shared" si="1"/>
        <v>90</v>
      </c>
      <c r="F35">
        <f t="shared" si="2"/>
        <v>25.2</v>
      </c>
      <c r="G35">
        <f t="shared" si="3"/>
        <v>1.3499999999999999</v>
      </c>
      <c r="H35">
        <f t="shared" si="4"/>
        <v>68.040000000000006</v>
      </c>
      <c r="I35">
        <f t="shared" si="5"/>
        <v>756</v>
      </c>
      <c r="J35">
        <f t="shared" si="6"/>
        <v>540</v>
      </c>
      <c r="K35">
        <f t="shared" si="7"/>
        <v>48.6</v>
      </c>
      <c r="L35">
        <f t="shared" si="8"/>
        <v>6.8040000000000003</v>
      </c>
      <c r="M35">
        <f t="shared" si="9"/>
        <v>6.6830400000000001</v>
      </c>
      <c r="N35">
        <f t="shared" si="10"/>
        <v>3.4775999999999998</v>
      </c>
      <c r="O35">
        <f t="shared" si="11"/>
        <v>4.8028235294117652</v>
      </c>
      <c r="P35">
        <f t="shared" si="12"/>
        <v>2.0410367170626347</v>
      </c>
      <c r="Q35">
        <f t="shared" si="13"/>
        <v>63</v>
      </c>
      <c r="R35">
        <f t="shared" si="14"/>
        <v>360</v>
      </c>
      <c r="S35">
        <f t="shared" si="15"/>
        <v>418.5</v>
      </c>
      <c r="T35">
        <f t="shared" si="16"/>
        <v>121.49999999999999</v>
      </c>
      <c r="U35">
        <f>I35*E35/'[1]Inverter Analysis'!$L$2</f>
        <v>163.04450019807766</v>
      </c>
      <c r="V35">
        <f t="shared" si="17"/>
        <v>148.14814814814815</v>
      </c>
      <c r="W35">
        <f t="shared" si="18"/>
        <v>191.15890083632019</v>
      </c>
      <c r="X35">
        <f t="shared" si="19"/>
        <v>105.82010582010582</v>
      </c>
      <c r="Y35">
        <f t="shared" si="20"/>
        <v>0.54812588053425138</v>
      </c>
      <c r="Z35">
        <f t="shared" si="21"/>
        <v>2.2987420312500002</v>
      </c>
    </row>
    <row r="36" spans="1:26">
      <c r="A36">
        <v>14</v>
      </c>
      <c r="B36">
        <v>2</v>
      </c>
      <c r="C36">
        <v>12</v>
      </c>
      <c r="D36">
        <f t="shared" si="0"/>
        <v>180</v>
      </c>
      <c r="E36">
        <f t="shared" si="1"/>
        <v>90</v>
      </c>
      <c r="F36">
        <f t="shared" si="2"/>
        <v>23.52</v>
      </c>
      <c r="G36">
        <f t="shared" si="3"/>
        <v>1.26</v>
      </c>
      <c r="H36">
        <f t="shared" si="4"/>
        <v>63.503999999999998</v>
      </c>
      <c r="I36">
        <f t="shared" si="5"/>
        <v>705.6</v>
      </c>
      <c r="J36">
        <f t="shared" si="6"/>
        <v>504</v>
      </c>
      <c r="K36">
        <f t="shared" si="7"/>
        <v>45.36</v>
      </c>
      <c r="L36">
        <f t="shared" si="8"/>
        <v>6.3504000000000005</v>
      </c>
      <c r="M36">
        <f t="shared" si="9"/>
        <v>6.2375039999999995</v>
      </c>
      <c r="N36">
        <f t="shared" si="10"/>
        <v>3.2457599999999998</v>
      </c>
      <c r="O36">
        <f t="shared" si="11"/>
        <v>4.4826352941176477</v>
      </c>
      <c r="P36">
        <f t="shared" si="12"/>
        <v>1.9049676025917928</v>
      </c>
      <c r="Q36">
        <f t="shared" si="13"/>
        <v>58.800000000000004</v>
      </c>
      <c r="R36">
        <f t="shared" si="14"/>
        <v>336</v>
      </c>
      <c r="S36">
        <f t="shared" si="15"/>
        <v>390.6</v>
      </c>
      <c r="T36">
        <f t="shared" si="16"/>
        <v>113.4</v>
      </c>
      <c r="U36">
        <f>I36*E36/'[1]Inverter Analysis'!$L$2</f>
        <v>152.17486685153915</v>
      </c>
      <c r="V36">
        <f t="shared" si="17"/>
        <v>158.73015873015873</v>
      </c>
      <c r="W36">
        <f t="shared" si="18"/>
        <v>204.81310803891449</v>
      </c>
      <c r="X36">
        <f t="shared" si="19"/>
        <v>113.37868480725623</v>
      </c>
      <c r="Y36">
        <f t="shared" si="20"/>
        <v>0.62922613836840091</v>
      </c>
      <c r="Z36">
        <f t="shared" si="21"/>
        <v>1.86896241</v>
      </c>
    </row>
    <row r="37" spans="1:26">
      <c r="A37">
        <v>13</v>
      </c>
      <c r="B37">
        <v>2</v>
      </c>
      <c r="C37">
        <v>12</v>
      </c>
      <c r="D37">
        <f t="shared" si="0"/>
        <v>180</v>
      </c>
      <c r="E37">
        <f t="shared" si="1"/>
        <v>90</v>
      </c>
      <c r="F37">
        <f t="shared" si="2"/>
        <v>21.84</v>
      </c>
      <c r="G37">
        <f t="shared" si="3"/>
        <v>1.17</v>
      </c>
      <c r="H37">
        <f t="shared" si="4"/>
        <v>58.968000000000011</v>
      </c>
      <c r="I37">
        <f t="shared" si="5"/>
        <v>655.20000000000005</v>
      </c>
      <c r="J37">
        <f t="shared" si="6"/>
        <v>468</v>
      </c>
      <c r="K37">
        <f t="shared" si="7"/>
        <v>42.12</v>
      </c>
      <c r="L37">
        <f t="shared" si="8"/>
        <v>5.8967999999999998</v>
      </c>
      <c r="M37">
        <f t="shared" si="9"/>
        <v>5.7919680000000007</v>
      </c>
      <c r="N37">
        <f t="shared" si="10"/>
        <v>3.0139200000000002</v>
      </c>
      <c r="O37">
        <f t="shared" si="11"/>
        <v>4.1624470588235294</v>
      </c>
      <c r="P37">
        <f t="shared" si="12"/>
        <v>1.7688984881209502</v>
      </c>
      <c r="Q37">
        <f t="shared" si="13"/>
        <v>54.6</v>
      </c>
      <c r="R37">
        <f t="shared" si="14"/>
        <v>312</v>
      </c>
      <c r="S37">
        <f t="shared" si="15"/>
        <v>362.7</v>
      </c>
      <c r="T37">
        <f t="shared" si="16"/>
        <v>105.3</v>
      </c>
      <c r="U37">
        <f>I37*E37/'[1]Inverter Analysis'!$L$2</f>
        <v>141.30523350500064</v>
      </c>
      <c r="V37">
        <f t="shared" si="17"/>
        <v>170.94017094017093</v>
      </c>
      <c r="W37">
        <f t="shared" si="18"/>
        <v>220.56796250344638</v>
      </c>
      <c r="X37">
        <f t="shared" si="19"/>
        <v>122.10012210012209</v>
      </c>
      <c r="Y37">
        <f t="shared" si="20"/>
        <v>0.72975339124382588</v>
      </c>
      <c r="Z37">
        <f t="shared" si="21"/>
        <v>1.4963959237500002</v>
      </c>
    </row>
    <row r="38" spans="1:26">
      <c r="A38">
        <v>12</v>
      </c>
      <c r="B38">
        <v>2</v>
      </c>
      <c r="C38">
        <v>12</v>
      </c>
      <c r="D38">
        <f t="shared" si="0"/>
        <v>180</v>
      </c>
      <c r="E38">
        <f t="shared" si="1"/>
        <v>90</v>
      </c>
      <c r="F38">
        <f t="shared" si="2"/>
        <v>20.16</v>
      </c>
      <c r="G38">
        <f t="shared" si="3"/>
        <v>1.08</v>
      </c>
      <c r="H38">
        <f t="shared" si="4"/>
        <v>54.432000000000009</v>
      </c>
      <c r="I38">
        <f t="shared" si="5"/>
        <v>604.80000000000007</v>
      </c>
      <c r="J38">
        <f t="shared" si="6"/>
        <v>432</v>
      </c>
      <c r="K38">
        <f t="shared" si="7"/>
        <v>38.880000000000003</v>
      </c>
      <c r="L38">
        <f t="shared" si="8"/>
        <v>5.4432000000000009</v>
      </c>
      <c r="M38">
        <f t="shared" si="9"/>
        <v>5.346432000000001</v>
      </c>
      <c r="N38">
        <f t="shared" si="10"/>
        <v>2.7820800000000001</v>
      </c>
      <c r="O38">
        <f t="shared" si="11"/>
        <v>3.8422588235294128</v>
      </c>
      <c r="P38">
        <f t="shared" si="12"/>
        <v>1.6328293736501083</v>
      </c>
      <c r="Q38">
        <f t="shared" si="13"/>
        <v>50.400000000000006</v>
      </c>
      <c r="R38">
        <f t="shared" si="14"/>
        <v>288</v>
      </c>
      <c r="S38">
        <f t="shared" si="15"/>
        <v>334.8</v>
      </c>
      <c r="T38">
        <f t="shared" si="16"/>
        <v>97.2</v>
      </c>
      <c r="U38">
        <f>I38*E38/'[1]Inverter Analysis'!$L$2</f>
        <v>130.43560015846214</v>
      </c>
      <c r="V38">
        <f t="shared" si="17"/>
        <v>185.18518518518519</v>
      </c>
      <c r="W38">
        <f t="shared" si="18"/>
        <v>238.94862604540023</v>
      </c>
      <c r="X38">
        <f t="shared" si="19"/>
        <v>132.27513227513225</v>
      </c>
      <c r="Y38">
        <f t="shared" si="20"/>
        <v>0.85644668833476767</v>
      </c>
      <c r="Z38">
        <f t="shared" si="21"/>
        <v>1.1769559200000002</v>
      </c>
    </row>
    <row r="39" spans="1:26">
      <c r="A39">
        <v>11</v>
      </c>
      <c r="B39">
        <v>2</v>
      </c>
      <c r="C39">
        <v>12</v>
      </c>
      <c r="D39">
        <f t="shared" si="0"/>
        <v>180</v>
      </c>
      <c r="E39">
        <f t="shared" si="1"/>
        <v>90</v>
      </c>
      <c r="F39">
        <f t="shared" si="2"/>
        <v>18.48</v>
      </c>
      <c r="G39">
        <f t="shared" si="3"/>
        <v>0.98999999999999988</v>
      </c>
      <c r="H39">
        <f t="shared" si="4"/>
        <v>49.896000000000001</v>
      </c>
      <c r="I39">
        <f t="shared" si="5"/>
        <v>554.4</v>
      </c>
      <c r="J39">
        <f t="shared" si="6"/>
        <v>396</v>
      </c>
      <c r="K39">
        <f t="shared" si="7"/>
        <v>35.64</v>
      </c>
      <c r="L39">
        <f t="shared" si="8"/>
        <v>4.9895999999999994</v>
      </c>
      <c r="M39">
        <f t="shared" si="9"/>
        <v>4.9008959999999995</v>
      </c>
      <c r="N39">
        <f t="shared" si="10"/>
        <v>2.5502399999999996</v>
      </c>
      <c r="O39">
        <f t="shared" si="11"/>
        <v>3.5220705882352941</v>
      </c>
      <c r="P39">
        <f t="shared" si="12"/>
        <v>1.4967602591792655</v>
      </c>
      <c r="Q39">
        <f t="shared" si="13"/>
        <v>46.199999999999996</v>
      </c>
      <c r="R39">
        <f t="shared" si="14"/>
        <v>264</v>
      </c>
      <c r="S39">
        <f t="shared" si="15"/>
        <v>306.89999999999998</v>
      </c>
      <c r="T39">
        <f t="shared" si="16"/>
        <v>89.1</v>
      </c>
      <c r="U39">
        <f>I39*E39/'[1]Inverter Analysis'!$L$2</f>
        <v>119.56596681192362</v>
      </c>
      <c r="V39">
        <f t="shared" si="17"/>
        <v>202.02020202020202</v>
      </c>
      <c r="W39">
        <f t="shared" si="18"/>
        <v>260.67122841316393</v>
      </c>
      <c r="X39">
        <f t="shared" si="19"/>
        <v>144.3001443001443</v>
      </c>
      <c r="Y39">
        <f t="shared" si="20"/>
        <v>1.0192423398364181</v>
      </c>
      <c r="Z39">
        <f t="shared" si="21"/>
        <v>0.90655574625000002</v>
      </c>
    </row>
    <row r="40" spans="1:26">
      <c r="A40">
        <v>10</v>
      </c>
      <c r="B40">
        <v>2</v>
      </c>
      <c r="C40">
        <v>12</v>
      </c>
      <c r="D40">
        <f t="shared" si="0"/>
        <v>180</v>
      </c>
      <c r="E40">
        <f t="shared" si="1"/>
        <v>90</v>
      </c>
      <c r="F40">
        <f t="shared" si="2"/>
        <v>16.8</v>
      </c>
      <c r="G40">
        <f t="shared" si="3"/>
        <v>0.89999999999999991</v>
      </c>
      <c r="H40">
        <f t="shared" si="4"/>
        <v>45.36</v>
      </c>
      <c r="I40">
        <f t="shared" si="5"/>
        <v>504</v>
      </c>
      <c r="J40">
        <f t="shared" si="6"/>
        <v>360</v>
      </c>
      <c r="K40">
        <f t="shared" si="7"/>
        <v>32.4</v>
      </c>
      <c r="L40">
        <f t="shared" si="8"/>
        <v>4.5359999999999996</v>
      </c>
      <c r="M40">
        <f t="shared" si="9"/>
        <v>4.4553599999999998</v>
      </c>
      <c r="N40">
        <f t="shared" si="10"/>
        <v>2.3183999999999996</v>
      </c>
      <c r="O40">
        <f t="shared" si="11"/>
        <v>3.2018823529411762</v>
      </c>
      <c r="P40">
        <f t="shared" si="12"/>
        <v>1.3606911447084233</v>
      </c>
      <c r="Q40">
        <f t="shared" si="13"/>
        <v>42</v>
      </c>
      <c r="R40">
        <f t="shared" si="14"/>
        <v>240</v>
      </c>
      <c r="S40">
        <f t="shared" si="15"/>
        <v>279</v>
      </c>
      <c r="T40">
        <f t="shared" si="16"/>
        <v>80.999999999999986</v>
      </c>
      <c r="U40">
        <f>I40*E40/'[1]Inverter Analysis'!$L$2</f>
        <v>108.69633346538509</v>
      </c>
      <c r="V40">
        <f t="shared" si="17"/>
        <v>222.22222222222223</v>
      </c>
      <c r="W40">
        <f t="shared" si="18"/>
        <v>286.73835125448028</v>
      </c>
      <c r="X40">
        <f t="shared" si="19"/>
        <v>158.73015873015873</v>
      </c>
      <c r="Y40">
        <f t="shared" si="20"/>
        <v>1.2332832312020658</v>
      </c>
      <c r="Z40">
        <f t="shared" si="21"/>
        <v>0.68110875000000004</v>
      </c>
    </row>
    <row r="41" spans="1:26">
      <c r="A41" s="8">
        <v>16</v>
      </c>
      <c r="B41" s="1">
        <v>6</v>
      </c>
      <c r="C41" s="1">
        <v>11</v>
      </c>
      <c r="D41">
        <f t="shared" si="0"/>
        <v>540</v>
      </c>
      <c r="E41">
        <f t="shared" si="1"/>
        <v>270</v>
      </c>
      <c r="F41">
        <f t="shared" si="2"/>
        <v>73.92</v>
      </c>
      <c r="G41">
        <f t="shared" si="3"/>
        <v>0.44</v>
      </c>
      <c r="H41">
        <f t="shared" si="4"/>
        <v>199.584</v>
      </c>
      <c r="I41">
        <f t="shared" si="5"/>
        <v>739.2</v>
      </c>
      <c r="J41">
        <f t="shared" si="6"/>
        <v>528</v>
      </c>
      <c r="K41">
        <f t="shared" si="7"/>
        <v>142.56</v>
      </c>
      <c r="L41">
        <f t="shared" si="8"/>
        <v>19.958400000000001</v>
      </c>
      <c r="M41">
        <f t="shared" si="9"/>
        <v>19.603584000000001</v>
      </c>
      <c r="N41">
        <f t="shared" si="10"/>
        <v>10.20096</v>
      </c>
      <c r="O41">
        <f t="shared" si="11"/>
        <v>14.088282352941178</v>
      </c>
      <c r="P41">
        <f t="shared" si="12"/>
        <v>6.5313174946004322</v>
      </c>
      <c r="Q41">
        <f t="shared" si="13"/>
        <v>67.2</v>
      </c>
      <c r="R41">
        <f t="shared" si="14"/>
        <v>1056</v>
      </c>
      <c r="S41">
        <f t="shared" si="15"/>
        <v>409.2</v>
      </c>
      <c r="T41">
        <f t="shared" si="16"/>
        <v>118.8</v>
      </c>
      <c r="U41">
        <f>I41*E41/'[1]Inverter Analysis'!$L$2</f>
        <v>478.26386724769446</v>
      </c>
      <c r="V41">
        <f t="shared" si="17"/>
        <v>151.5151515151515</v>
      </c>
      <c r="W41">
        <f t="shared" si="18"/>
        <v>195.50342130987292</v>
      </c>
      <c r="X41">
        <f t="shared" si="19"/>
        <v>108.22510822510822</v>
      </c>
      <c r="Y41">
        <f t="shared" si="20"/>
        <v>0.57332381615798511</v>
      </c>
      <c r="Z41">
        <f t="shared" si="21"/>
        <v>6.4466186400000005</v>
      </c>
    </row>
    <row r="42" spans="1:26">
      <c r="A42" s="8">
        <v>15</v>
      </c>
      <c r="B42" s="1">
        <v>6</v>
      </c>
      <c r="C42" s="1">
        <v>11</v>
      </c>
      <c r="D42">
        <f t="shared" si="0"/>
        <v>540</v>
      </c>
      <c r="E42">
        <f t="shared" si="1"/>
        <v>270</v>
      </c>
      <c r="F42">
        <f t="shared" si="2"/>
        <v>69.3</v>
      </c>
      <c r="G42">
        <f t="shared" si="3"/>
        <v>0.41249999999999998</v>
      </c>
      <c r="H42">
        <f t="shared" si="4"/>
        <v>187.11</v>
      </c>
      <c r="I42">
        <f t="shared" si="5"/>
        <v>693</v>
      </c>
      <c r="J42">
        <f t="shared" si="6"/>
        <v>495</v>
      </c>
      <c r="K42">
        <f t="shared" si="7"/>
        <v>133.65</v>
      </c>
      <c r="L42">
        <f t="shared" si="8"/>
        <v>18.710999999999999</v>
      </c>
      <c r="M42">
        <f t="shared" si="9"/>
        <v>18.378360000000001</v>
      </c>
      <c r="N42">
        <f t="shared" si="10"/>
        <v>9.5633999999999997</v>
      </c>
      <c r="O42">
        <f t="shared" si="11"/>
        <v>13.207764705882353</v>
      </c>
      <c r="P42">
        <f t="shared" si="12"/>
        <v>6.1231101511879045</v>
      </c>
      <c r="Q42">
        <f t="shared" si="13"/>
        <v>63</v>
      </c>
      <c r="R42">
        <f t="shared" si="14"/>
        <v>990</v>
      </c>
      <c r="S42">
        <f t="shared" si="15"/>
        <v>383.625</v>
      </c>
      <c r="T42">
        <f t="shared" si="16"/>
        <v>111.375</v>
      </c>
      <c r="U42">
        <f>I42*E42/'[1]Inverter Analysis'!$L$2</f>
        <v>448.37237554471352</v>
      </c>
      <c r="V42">
        <f t="shared" si="17"/>
        <v>161.61616161616161</v>
      </c>
      <c r="W42">
        <f t="shared" si="18"/>
        <v>208.53698273053112</v>
      </c>
      <c r="X42">
        <f t="shared" si="19"/>
        <v>115.44011544011543</v>
      </c>
      <c r="Y42">
        <f t="shared" si="20"/>
        <v>0.65231509749530758</v>
      </c>
      <c r="Z42">
        <f t="shared" si="21"/>
        <v>5.3118500756835925</v>
      </c>
    </row>
    <row r="43" spans="1:26">
      <c r="A43">
        <v>14</v>
      </c>
      <c r="B43" s="1">
        <v>6</v>
      </c>
      <c r="C43" s="1">
        <v>11</v>
      </c>
      <c r="D43">
        <f t="shared" si="0"/>
        <v>540</v>
      </c>
      <c r="E43">
        <f t="shared" si="1"/>
        <v>270</v>
      </c>
      <c r="F43">
        <f t="shared" si="2"/>
        <v>64.680000000000007</v>
      </c>
      <c r="G43">
        <f t="shared" si="3"/>
        <v>0.38500000000000001</v>
      </c>
      <c r="H43">
        <f t="shared" si="4"/>
        <v>174.63600000000002</v>
      </c>
      <c r="I43">
        <f t="shared" si="5"/>
        <v>646.80000000000007</v>
      </c>
      <c r="J43">
        <f t="shared" si="6"/>
        <v>462</v>
      </c>
      <c r="K43">
        <f t="shared" si="7"/>
        <v>124.74</v>
      </c>
      <c r="L43">
        <f t="shared" si="8"/>
        <v>17.463600000000003</v>
      </c>
      <c r="M43">
        <f t="shared" si="9"/>
        <v>17.153136000000003</v>
      </c>
      <c r="N43">
        <f t="shared" si="10"/>
        <v>8.9258400000000009</v>
      </c>
      <c r="O43">
        <f t="shared" si="11"/>
        <v>12.327247058823533</v>
      </c>
      <c r="P43">
        <f t="shared" si="12"/>
        <v>5.7149028077753785</v>
      </c>
      <c r="Q43">
        <f t="shared" si="13"/>
        <v>58.800000000000004</v>
      </c>
      <c r="R43">
        <f t="shared" si="14"/>
        <v>924</v>
      </c>
      <c r="S43">
        <f t="shared" si="15"/>
        <v>358.05</v>
      </c>
      <c r="T43">
        <f t="shared" si="16"/>
        <v>103.95</v>
      </c>
      <c r="U43">
        <f>I43*E43/'[1]Inverter Analysis'!$L$2</f>
        <v>418.48088384173269</v>
      </c>
      <c r="V43">
        <f t="shared" si="17"/>
        <v>173.16017316017317</v>
      </c>
      <c r="W43">
        <f t="shared" si="18"/>
        <v>223.43248149699761</v>
      </c>
      <c r="X43">
        <f t="shared" si="19"/>
        <v>123.68583797155225</v>
      </c>
      <c r="Y43">
        <f t="shared" si="20"/>
        <v>0.74883110681859266</v>
      </c>
      <c r="Z43">
        <f t="shared" si="21"/>
        <v>4.3187308467187515</v>
      </c>
    </row>
    <row r="44" spans="1:26">
      <c r="A44">
        <v>13</v>
      </c>
      <c r="B44" s="1">
        <v>6</v>
      </c>
      <c r="C44" s="1">
        <v>11</v>
      </c>
      <c r="D44">
        <f t="shared" si="0"/>
        <v>540</v>
      </c>
      <c r="E44">
        <f t="shared" si="1"/>
        <v>270</v>
      </c>
      <c r="F44">
        <f t="shared" si="2"/>
        <v>60.06</v>
      </c>
      <c r="G44">
        <f t="shared" si="3"/>
        <v>0.35750000000000004</v>
      </c>
      <c r="H44">
        <f t="shared" si="4"/>
        <v>162.16200000000001</v>
      </c>
      <c r="I44">
        <f t="shared" si="5"/>
        <v>600.6</v>
      </c>
      <c r="J44">
        <f t="shared" si="6"/>
        <v>429</v>
      </c>
      <c r="K44">
        <f t="shared" si="7"/>
        <v>115.83</v>
      </c>
      <c r="L44">
        <f t="shared" si="8"/>
        <v>16.216200000000001</v>
      </c>
      <c r="M44">
        <f t="shared" si="9"/>
        <v>15.927912000000001</v>
      </c>
      <c r="N44">
        <f t="shared" si="10"/>
        <v>8.2882799999999985</v>
      </c>
      <c r="O44">
        <f t="shared" si="11"/>
        <v>11.446729411764707</v>
      </c>
      <c r="P44">
        <f t="shared" si="12"/>
        <v>5.3066954643628508</v>
      </c>
      <c r="Q44">
        <f t="shared" si="13"/>
        <v>54.6</v>
      </c>
      <c r="R44">
        <f t="shared" si="14"/>
        <v>858</v>
      </c>
      <c r="S44">
        <f t="shared" si="15"/>
        <v>332.47500000000002</v>
      </c>
      <c r="T44">
        <f t="shared" si="16"/>
        <v>96.525000000000006</v>
      </c>
      <c r="U44">
        <f>I44*E44/'[1]Inverter Analysis'!$L$2</f>
        <v>388.58939213875175</v>
      </c>
      <c r="V44">
        <f t="shared" si="17"/>
        <v>186.48018648018649</v>
      </c>
      <c r="W44">
        <f t="shared" si="18"/>
        <v>240.61959545830513</v>
      </c>
      <c r="X44">
        <f t="shared" si="19"/>
        <v>133.20013320013319</v>
      </c>
      <c r="Y44">
        <f t="shared" si="20"/>
        <v>0.86846684577777611</v>
      </c>
      <c r="Z44">
        <f t="shared" si="21"/>
        <v>3.4578176640820319</v>
      </c>
    </row>
    <row r="45" spans="1:26">
      <c r="A45">
        <v>12</v>
      </c>
      <c r="B45" s="1">
        <v>6</v>
      </c>
      <c r="C45" s="1">
        <v>11</v>
      </c>
      <c r="D45">
        <f t="shared" si="0"/>
        <v>540</v>
      </c>
      <c r="E45">
        <f t="shared" si="1"/>
        <v>270</v>
      </c>
      <c r="F45">
        <f t="shared" si="2"/>
        <v>55.44</v>
      </c>
      <c r="G45">
        <f t="shared" si="3"/>
        <v>0.32999999999999996</v>
      </c>
      <c r="H45">
        <f t="shared" si="4"/>
        <v>149.68799999999999</v>
      </c>
      <c r="I45">
        <f t="shared" si="5"/>
        <v>554.4</v>
      </c>
      <c r="J45">
        <f t="shared" si="6"/>
        <v>396</v>
      </c>
      <c r="K45">
        <f t="shared" si="7"/>
        <v>106.92</v>
      </c>
      <c r="L45">
        <f t="shared" si="8"/>
        <v>14.9688</v>
      </c>
      <c r="M45">
        <f t="shared" si="9"/>
        <v>14.702687999999998</v>
      </c>
      <c r="N45">
        <f t="shared" si="10"/>
        <v>7.6507199999999997</v>
      </c>
      <c r="O45">
        <f t="shared" si="11"/>
        <v>10.566211764705884</v>
      </c>
      <c r="P45">
        <f t="shared" si="12"/>
        <v>4.8984881209503239</v>
      </c>
      <c r="Q45">
        <f t="shared" si="13"/>
        <v>50.4</v>
      </c>
      <c r="R45">
        <f t="shared" si="14"/>
        <v>792</v>
      </c>
      <c r="S45">
        <f t="shared" si="15"/>
        <v>306.89999999999998</v>
      </c>
      <c r="T45">
        <f t="shared" si="16"/>
        <v>89.1</v>
      </c>
      <c r="U45">
        <f>I45*E45/'[1]Inverter Analysis'!$L$2</f>
        <v>358.69790043577086</v>
      </c>
      <c r="V45">
        <f t="shared" si="17"/>
        <v>202.02020202020202</v>
      </c>
      <c r="W45">
        <f t="shared" si="18"/>
        <v>260.67122841316393</v>
      </c>
      <c r="X45">
        <f t="shared" si="19"/>
        <v>144.3001443001443</v>
      </c>
      <c r="Y45">
        <f t="shared" si="20"/>
        <v>1.0192423398364181</v>
      </c>
      <c r="Z45">
        <f t="shared" si="21"/>
        <v>2.7196672387499996</v>
      </c>
    </row>
    <row r="46" spans="1:26">
      <c r="A46">
        <v>11</v>
      </c>
      <c r="B46" s="1">
        <v>6</v>
      </c>
      <c r="C46" s="1">
        <v>11</v>
      </c>
      <c r="D46">
        <f t="shared" si="0"/>
        <v>540</v>
      </c>
      <c r="E46">
        <f t="shared" si="1"/>
        <v>270</v>
      </c>
      <c r="F46">
        <f t="shared" si="2"/>
        <v>50.82</v>
      </c>
      <c r="G46">
        <f t="shared" si="3"/>
        <v>0.30249999999999999</v>
      </c>
      <c r="H46">
        <f t="shared" si="4"/>
        <v>137.214</v>
      </c>
      <c r="I46">
        <f t="shared" si="5"/>
        <v>508.20000000000005</v>
      </c>
      <c r="J46">
        <f t="shared" si="6"/>
        <v>363</v>
      </c>
      <c r="K46">
        <f t="shared" si="7"/>
        <v>98.01</v>
      </c>
      <c r="L46">
        <f t="shared" si="8"/>
        <v>13.721400000000001</v>
      </c>
      <c r="M46">
        <f t="shared" si="9"/>
        <v>13.477463999999999</v>
      </c>
      <c r="N46">
        <f t="shared" si="10"/>
        <v>7.0131600000000009</v>
      </c>
      <c r="O46">
        <f t="shared" si="11"/>
        <v>9.6856941176470599</v>
      </c>
      <c r="P46">
        <f t="shared" si="12"/>
        <v>4.4902807775377971</v>
      </c>
      <c r="Q46">
        <f t="shared" si="13"/>
        <v>46.2</v>
      </c>
      <c r="R46">
        <f t="shared" si="14"/>
        <v>726</v>
      </c>
      <c r="S46">
        <f t="shared" si="15"/>
        <v>281.32499999999999</v>
      </c>
      <c r="T46">
        <f t="shared" si="16"/>
        <v>81.674999999999997</v>
      </c>
      <c r="U46">
        <f>I46*E46/'[1]Inverter Analysis'!$L$2</f>
        <v>328.80640873278992</v>
      </c>
      <c r="V46">
        <f t="shared" si="17"/>
        <v>220.38567493112947</v>
      </c>
      <c r="W46">
        <f t="shared" si="18"/>
        <v>284.36861281436063</v>
      </c>
      <c r="X46">
        <f t="shared" si="19"/>
        <v>157.41833923652104</v>
      </c>
      <c r="Y46">
        <f t="shared" si="20"/>
        <v>1.2129826193094562</v>
      </c>
      <c r="Z46">
        <f t="shared" si="21"/>
        <v>2.0948362816992185</v>
      </c>
    </row>
    <row r="47" spans="1:26">
      <c r="A47">
        <v>10</v>
      </c>
      <c r="B47" s="1">
        <v>6</v>
      </c>
      <c r="C47" s="1">
        <v>11</v>
      </c>
      <c r="D47">
        <f t="shared" si="0"/>
        <v>540</v>
      </c>
      <c r="E47">
        <f t="shared" si="1"/>
        <v>270</v>
      </c>
      <c r="F47">
        <f t="shared" si="2"/>
        <v>46.2</v>
      </c>
      <c r="G47">
        <f t="shared" si="3"/>
        <v>0.27500000000000002</v>
      </c>
      <c r="H47">
        <f t="shared" si="4"/>
        <v>124.74</v>
      </c>
      <c r="I47">
        <f t="shared" si="5"/>
        <v>462</v>
      </c>
      <c r="J47">
        <f t="shared" si="6"/>
        <v>330</v>
      </c>
      <c r="K47">
        <f t="shared" si="7"/>
        <v>89.1</v>
      </c>
      <c r="L47">
        <f t="shared" si="8"/>
        <v>12.474</v>
      </c>
      <c r="M47">
        <f t="shared" si="9"/>
        <v>12.25224</v>
      </c>
      <c r="N47">
        <f t="shared" si="10"/>
        <v>6.3755999999999995</v>
      </c>
      <c r="O47">
        <f t="shared" si="11"/>
        <v>8.8051764705882363</v>
      </c>
      <c r="P47">
        <f t="shared" si="12"/>
        <v>4.0820734341252694</v>
      </c>
      <c r="Q47">
        <f t="shared" si="13"/>
        <v>42</v>
      </c>
      <c r="R47">
        <f t="shared" si="14"/>
        <v>660</v>
      </c>
      <c r="S47">
        <f t="shared" si="15"/>
        <v>255.75</v>
      </c>
      <c r="T47">
        <f t="shared" si="16"/>
        <v>74.25</v>
      </c>
      <c r="U47">
        <f>I47*E47/'[1]Inverter Analysis'!$L$2</f>
        <v>298.91491702980903</v>
      </c>
      <c r="V47">
        <f t="shared" si="17"/>
        <v>242.42424242424244</v>
      </c>
      <c r="W47">
        <f t="shared" si="18"/>
        <v>312.80547409579668</v>
      </c>
      <c r="X47">
        <f t="shared" si="19"/>
        <v>173.16017316017317</v>
      </c>
      <c r="Y47">
        <f t="shared" si="20"/>
        <v>1.4677089693644421</v>
      </c>
      <c r="Z47">
        <f t="shared" si="21"/>
        <v>1.5738815039062497</v>
      </c>
    </row>
    <row r="48" spans="1:26">
      <c r="A48" s="8">
        <v>16</v>
      </c>
      <c r="B48" s="9">
        <v>5</v>
      </c>
      <c r="C48" s="1">
        <v>11</v>
      </c>
      <c r="D48">
        <f t="shared" si="0"/>
        <v>450</v>
      </c>
      <c r="E48">
        <f t="shared" si="1"/>
        <v>225</v>
      </c>
      <c r="F48">
        <f t="shared" si="2"/>
        <v>61.6</v>
      </c>
      <c r="G48">
        <f t="shared" si="3"/>
        <v>0.52799999999999991</v>
      </c>
      <c r="H48">
        <f t="shared" si="4"/>
        <v>166.32</v>
      </c>
      <c r="I48">
        <f t="shared" si="5"/>
        <v>739.2</v>
      </c>
      <c r="J48">
        <f t="shared" si="6"/>
        <v>528</v>
      </c>
      <c r="K48">
        <f t="shared" si="7"/>
        <v>118.8</v>
      </c>
      <c r="L48">
        <f t="shared" si="8"/>
        <v>16.632000000000001</v>
      </c>
      <c r="M48">
        <f t="shared" si="9"/>
        <v>16.336320000000001</v>
      </c>
      <c r="N48">
        <f t="shared" si="10"/>
        <v>8.5008000000000017</v>
      </c>
      <c r="O48">
        <f t="shared" si="11"/>
        <v>11.74023529411765</v>
      </c>
      <c r="P48">
        <f t="shared" si="12"/>
        <v>5.4427645788336925</v>
      </c>
      <c r="Q48">
        <f t="shared" si="13"/>
        <v>67.2</v>
      </c>
      <c r="R48">
        <f t="shared" si="14"/>
        <v>880</v>
      </c>
      <c r="S48">
        <f t="shared" si="15"/>
        <v>409.20000000000005</v>
      </c>
      <c r="T48">
        <f t="shared" si="16"/>
        <v>118.79999999999998</v>
      </c>
      <c r="U48">
        <f>I48*E48/'[1]Inverter Analysis'!$L$2</f>
        <v>398.55322270641204</v>
      </c>
      <c r="V48">
        <f t="shared" si="17"/>
        <v>151.5151515151515</v>
      </c>
      <c r="W48">
        <f t="shared" si="18"/>
        <v>195.50342130987289</v>
      </c>
      <c r="X48">
        <f t="shared" si="19"/>
        <v>108.22510822510822</v>
      </c>
      <c r="Y48">
        <f t="shared" si="20"/>
        <v>0.57332381615798489</v>
      </c>
      <c r="Z48">
        <f t="shared" si="21"/>
        <v>5.3721822000000019</v>
      </c>
    </row>
    <row r="49" spans="1:26">
      <c r="A49" s="8">
        <v>15</v>
      </c>
      <c r="B49" s="9">
        <v>5</v>
      </c>
      <c r="C49" s="1">
        <v>11</v>
      </c>
      <c r="D49">
        <f t="shared" si="0"/>
        <v>450</v>
      </c>
      <c r="E49">
        <f t="shared" si="1"/>
        <v>225</v>
      </c>
      <c r="F49">
        <f t="shared" si="2"/>
        <v>57.75</v>
      </c>
      <c r="G49">
        <f t="shared" si="3"/>
        <v>0.49499999999999988</v>
      </c>
      <c r="H49">
        <f t="shared" si="4"/>
        <v>155.92500000000001</v>
      </c>
      <c r="I49">
        <f t="shared" si="5"/>
        <v>693</v>
      </c>
      <c r="J49">
        <f t="shared" si="6"/>
        <v>495</v>
      </c>
      <c r="K49">
        <f t="shared" si="7"/>
        <v>111.375</v>
      </c>
      <c r="L49">
        <f t="shared" si="8"/>
        <v>15.592499999999999</v>
      </c>
      <c r="M49">
        <f t="shared" si="9"/>
        <v>15.315299999999999</v>
      </c>
      <c r="N49">
        <f t="shared" si="10"/>
        <v>7.9694999999999991</v>
      </c>
      <c r="O49">
        <f t="shared" si="11"/>
        <v>11.006470588235294</v>
      </c>
      <c r="P49">
        <f t="shared" si="12"/>
        <v>5.1025917926565869</v>
      </c>
      <c r="Q49">
        <f t="shared" si="13"/>
        <v>63</v>
      </c>
      <c r="R49">
        <f t="shared" si="14"/>
        <v>825</v>
      </c>
      <c r="S49">
        <f t="shared" si="15"/>
        <v>383.625</v>
      </c>
      <c r="T49">
        <f t="shared" si="16"/>
        <v>111.37499999999997</v>
      </c>
      <c r="U49">
        <f>I49*E49/'[1]Inverter Analysis'!$L$2</f>
        <v>373.64364628726128</v>
      </c>
      <c r="V49">
        <f t="shared" si="17"/>
        <v>161.61616161616161</v>
      </c>
      <c r="W49">
        <f t="shared" si="18"/>
        <v>208.53698273053112</v>
      </c>
      <c r="X49">
        <f t="shared" si="19"/>
        <v>115.44011544011543</v>
      </c>
      <c r="Y49">
        <f t="shared" si="20"/>
        <v>0.65231509749530758</v>
      </c>
      <c r="Z49">
        <f t="shared" si="21"/>
        <v>4.4265417297363276</v>
      </c>
    </row>
    <row r="50" spans="1:26">
      <c r="A50">
        <v>14</v>
      </c>
      <c r="B50" s="9">
        <v>5</v>
      </c>
      <c r="C50" s="1">
        <v>11</v>
      </c>
      <c r="D50">
        <f t="shared" si="0"/>
        <v>450</v>
      </c>
      <c r="E50">
        <f t="shared" si="1"/>
        <v>225</v>
      </c>
      <c r="F50">
        <f t="shared" si="2"/>
        <v>53.9</v>
      </c>
      <c r="G50">
        <f t="shared" si="3"/>
        <v>0.46199999999999997</v>
      </c>
      <c r="H50">
        <f t="shared" si="4"/>
        <v>145.53000000000003</v>
      </c>
      <c r="I50">
        <f t="shared" si="5"/>
        <v>646.80000000000007</v>
      </c>
      <c r="J50">
        <f t="shared" si="6"/>
        <v>462</v>
      </c>
      <c r="K50">
        <f t="shared" si="7"/>
        <v>103.95</v>
      </c>
      <c r="L50">
        <f t="shared" si="8"/>
        <v>14.553000000000003</v>
      </c>
      <c r="M50">
        <f t="shared" si="9"/>
        <v>14.294280000000001</v>
      </c>
      <c r="N50">
        <f t="shared" si="10"/>
        <v>7.438200000000001</v>
      </c>
      <c r="O50">
        <f t="shared" si="11"/>
        <v>10.272705882352943</v>
      </c>
      <c r="P50">
        <f t="shared" si="12"/>
        <v>4.7624190064794822</v>
      </c>
      <c r="Q50">
        <f t="shared" si="13"/>
        <v>58.800000000000004</v>
      </c>
      <c r="R50">
        <f t="shared" si="14"/>
        <v>770</v>
      </c>
      <c r="S50">
        <f t="shared" si="15"/>
        <v>358.05</v>
      </c>
      <c r="T50">
        <f t="shared" si="16"/>
        <v>103.94999999999999</v>
      </c>
      <c r="U50">
        <f>I50*E50/'[1]Inverter Analysis'!$L$2</f>
        <v>348.73406986811062</v>
      </c>
      <c r="V50">
        <f t="shared" si="17"/>
        <v>173.16017316017317</v>
      </c>
      <c r="W50">
        <f t="shared" si="18"/>
        <v>223.43248149699761</v>
      </c>
      <c r="X50">
        <f t="shared" si="19"/>
        <v>123.68583797155225</v>
      </c>
      <c r="Y50">
        <f t="shared" si="20"/>
        <v>0.74883110681859266</v>
      </c>
      <c r="Z50">
        <f t="shared" si="21"/>
        <v>3.598942372265626</v>
      </c>
    </row>
    <row r="51" spans="1:26">
      <c r="A51">
        <v>13</v>
      </c>
      <c r="B51" s="9">
        <v>5</v>
      </c>
      <c r="C51" s="1">
        <v>11</v>
      </c>
      <c r="D51">
        <f t="shared" si="0"/>
        <v>450</v>
      </c>
      <c r="E51">
        <f t="shared" si="1"/>
        <v>225</v>
      </c>
      <c r="F51">
        <f t="shared" si="2"/>
        <v>50.05</v>
      </c>
      <c r="G51">
        <f t="shared" si="3"/>
        <v>0.42899999999999994</v>
      </c>
      <c r="H51">
        <f t="shared" si="4"/>
        <v>135.13499999999999</v>
      </c>
      <c r="I51">
        <f t="shared" si="5"/>
        <v>600.6</v>
      </c>
      <c r="J51">
        <f t="shared" si="6"/>
        <v>429</v>
      </c>
      <c r="K51">
        <f t="shared" si="7"/>
        <v>96.525000000000006</v>
      </c>
      <c r="L51">
        <f t="shared" si="8"/>
        <v>13.513500000000002</v>
      </c>
      <c r="M51">
        <f t="shared" si="9"/>
        <v>13.273260000000001</v>
      </c>
      <c r="N51">
        <f t="shared" si="10"/>
        <v>6.9068999999999994</v>
      </c>
      <c r="O51">
        <f t="shared" si="11"/>
        <v>9.5389411764705905</v>
      </c>
      <c r="P51">
        <f t="shared" si="12"/>
        <v>4.4222462203023758</v>
      </c>
      <c r="Q51">
        <f t="shared" si="13"/>
        <v>54.6</v>
      </c>
      <c r="R51">
        <f t="shared" si="14"/>
        <v>715</v>
      </c>
      <c r="S51">
        <f t="shared" si="15"/>
        <v>332.47500000000002</v>
      </c>
      <c r="T51">
        <f t="shared" si="16"/>
        <v>96.524999999999991</v>
      </c>
      <c r="U51">
        <f>I51*E51/'[1]Inverter Analysis'!$L$2</f>
        <v>323.8244934489598</v>
      </c>
      <c r="V51">
        <f t="shared" si="17"/>
        <v>186.48018648018649</v>
      </c>
      <c r="W51">
        <f t="shared" si="18"/>
        <v>240.61959545830513</v>
      </c>
      <c r="X51">
        <f t="shared" si="19"/>
        <v>133.20013320013319</v>
      </c>
      <c r="Y51">
        <f t="shared" si="20"/>
        <v>0.86846684577777611</v>
      </c>
      <c r="Z51">
        <f t="shared" si="21"/>
        <v>2.8815147200683597</v>
      </c>
    </row>
    <row r="52" spans="1:26">
      <c r="A52">
        <v>12</v>
      </c>
      <c r="B52" s="9">
        <v>5</v>
      </c>
      <c r="C52" s="1">
        <v>11</v>
      </c>
      <c r="D52">
        <f t="shared" si="0"/>
        <v>450</v>
      </c>
      <c r="E52">
        <f t="shared" si="1"/>
        <v>225</v>
      </c>
      <c r="F52">
        <f t="shared" si="2"/>
        <v>46.2</v>
      </c>
      <c r="G52">
        <f t="shared" si="3"/>
        <v>0.39599999999999996</v>
      </c>
      <c r="H52">
        <f t="shared" si="4"/>
        <v>124.74</v>
      </c>
      <c r="I52">
        <f t="shared" si="5"/>
        <v>554.4</v>
      </c>
      <c r="J52">
        <f t="shared" si="6"/>
        <v>396</v>
      </c>
      <c r="K52">
        <f t="shared" si="7"/>
        <v>89.1</v>
      </c>
      <c r="L52">
        <f t="shared" si="8"/>
        <v>12.473999999999998</v>
      </c>
      <c r="M52">
        <f t="shared" si="9"/>
        <v>12.25224</v>
      </c>
      <c r="N52">
        <f t="shared" si="10"/>
        <v>6.3755999999999995</v>
      </c>
      <c r="O52">
        <f t="shared" si="11"/>
        <v>8.8051764705882345</v>
      </c>
      <c r="P52">
        <f t="shared" si="12"/>
        <v>4.0820734341252694</v>
      </c>
      <c r="Q52">
        <f t="shared" si="13"/>
        <v>50.4</v>
      </c>
      <c r="R52">
        <f t="shared" si="14"/>
        <v>660</v>
      </c>
      <c r="S52">
        <f t="shared" si="15"/>
        <v>306.89999999999998</v>
      </c>
      <c r="T52">
        <f t="shared" si="16"/>
        <v>89.1</v>
      </c>
      <c r="U52">
        <f>I52*E52/'[1]Inverter Analysis'!$L$2</f>
        <v>298.91491702980903</v>
      </c>
      <c r="V52">
        <f t="shared" si="17"/>
        <v>202.02020202020202</v>
      </c>
      <c r="W52">
        <f t="shared" si="18"/>
        <v>260.67122841316393</v>
      </c>
      <c r="X52">
        <f t="shared" si="19"/>
        <v>144.3001443001443</v>
      </c>
      <c r="Y52">
        <f t="shared" si="20"/>
        <v>1.0192423398364181</v>
      </c>
      <c r="Z52">
        <f t="shared" si="21"/>
        <v>2.2663893656249998</v>
      </c>
    </row>
    <row r="53" spans="1:26">
      <c r="A53">
        <v>11</v>
      </c>
      <c r="B53" s="9">
        <v>5</v>
      </c>
      <c r="C53" s="1">
        <v>11</v>
      </c>
      <c r="D53">
        <f t="shared" si="0"/>
        <v>450</v>
      </c>
      <c r="E53">
        <f t="shared" si="1"/>
        <v>225</v>
      </c>
      <c r="F53">
        <f t="shared" si="2"/>
        <v>42.35</v>
      </c>
      <c r="G53">
        <f t="shared" si="3"/>
        <v>0.36299999999999993</v>
      </c>
      <c r="H53">
        <f t="shared" si="4"/>
        <v>114.34500000000001</v>
      </c>
      <c r="I53">
        <f t="shared" si="5"/>
        <v>508.20000000000005</v>
      </c>
      <c r="J53">
        <f t="shared" si="6"/>
        <v>363</v>
      </c>
      <c r="K53">
        <f t="shared" si="7"/>
        <v>81.674999999999997</v>
      </c>
      <c r="L53">
        <f t="shared" si="8"/>
        <v>11.4345</v>
      </c>
      <c r="M53">
        <f t="shared" si="9"/>
        <v>11.23122</v>
      </c>
      <c r="N53">
        <f t="shared" si="10"/>
        <v>5.8443000000000014</v>
      </c>
      <c r="O53">
        <f t="shared" si="11"/>
        <v>8.0714117647058821</v>
      </c>
      <c r="P53">
        <f t="shared" si="12"/>
        <v>3.7419006479481642</v>
      </c>
      <c r="Q53">
        <f t="shared" si="13"/>
        <v>46.2</v>
      </c>
      <c r="R53">
        <f t="shared" si="14"/>
        <v>605</v>
      </c>
      <c r="S53">
        <f t="shared" si="15"/>
        <v>281.32500000000005</v>
      </c>
      <c r="T53">
        <f t="shared" si="16"/>
        <v>81.674999999999983</v>
      </c>
      <c r="U53">
        <f>I53*E53/'[1]Inverter Analysis'!$L$2</f>
        <v>274.00534061065832</v>
      </c>
      <c r="V53">
        <f t="shared" si="17"/>
        <v>220.38567493112947</v>
      </c>
      <c r="W53">
        <f t="shared" si="18"/>
        <v>284.36861281436057</v>
      </c>
      <c r="X53">
        <f t="shared" si="19"/>
        <v>157.41833923652104</v>
      </c>
      <c r="Y53">
        <f t="shared" si="20"/>
        <v>1.2129826193094557</v>
      </c>
      <c r="Z53">
        <f t="shared" si="21"/>
        <v>1.7456969014160162</v>
      </c>
    </row>
    <row r="54" spans="1:26">
      <c r="A54">
        <v>10</v>
      </c>
      <c r="B54" s="9">
        <v>5</v>
      </c>
      <c r="C54" s="1">
        <v>11</v>
      </c>
      <c r="D54">
        <f t="shared" si="0"/>
        <v>450</v>
      </c>
      <c r="E54">
        <f t="shared" si="1"/>
        <v>225</v>
      </c>
      <c r="F54">
        <f t="shared" si="2"/>
        <v>38.5</v>
      </c>
      <c r="G54">
        <f t="shared" si="3"/>
        <v>0.32999999999999996</v>
      </c>
      <c r="H54">
        <f t="shared" si="4"/>
        <v>103.95</v>
      </c>
      <c r="I54">
        <f t="shared" si="5"/>
        <v>462</v>
      </c>
      <c r="J54">
        <f t="shared" si="6"/>
        <v>330</v>
      </c>
      <c r="K54">
        <f t="shared" si="7"/>
        <v>74.25</v>
      </c>
      <c r="L54">
        <f t="shared" si="8"/>
        <v>10.395</v>
      </c>
      <c r="M54">
        <f t="shared" si="9"/>
        <v>10.2102</v>
      </c>
      <c r="N54">
        <f t="shared" si="10"/>
        <v>5.3129999999999997</v>
      </c>
      <c r="O54">
        <f t="shared" si="11"/>
        <v>7.3376470588235296</v>
      </c>
      <c r="P54">
        <f t="shared" si="12"/>
        <v>3.4017278617710578</v>
      </c>
      <c r="Q54">
        <f t="shared" si="13"/>
        <v>42</v>
      </c>
      <c r="R54">
        <f t="shared" si="14"/>
        <v>550</v>
      </c>
      <c r="S54">
        <f t="shared" si="15"/>
        <v>255.75</v>
      </c>
      <c r="T54">
        <f t="shared" si="16"/>
        <v>74.249999999999986</v>
      </c>
      <c r="U54">
        <f>I54*E54/'[1]Inverter Analysis'!$L$2</f>
        <v>249.09576419150753</v>
      </c>
      <c r="V54">
        <f t="shared" si="17"/>
        <v>242.42424242424244</v>
      </c>
      <c r="W54">
        <f t="shared" si="18"/>
        <v>312.80547409579668</v>
      </c>
      <c r="X54">
        <f t="shared" si="19"/>
        <v>173.16017316017317</v>
      </c>
      <c r="Y54">
        <f t="shared" si="20"/>
        <v>1.4677089693644421</v>
      </c>
      <c r="Z54">
        <f t="shared" si="21"/>
        <v>1.3115679199218748</v>
      </c>
    </row>
    <row r="55" spans="1:26">
      <c r="A55">
        <v>16</v>
      </c>
      <c r="B55">
        <v>4</v>
      </c>
      <c r="C55" s="1">
        <v>11</v>
      </c>
      <c r="D55">
        <f t="shared" si="0"/>
        <v>360</v>
      </c>
      <c r="E55">
        <f t="shared" si="1"/>
        <v>180</v>
      </c>
      <c r="F55">
        <f t="shared" si="2"/>
        <v>49.28</v>
      </c>
      <c r="G55">
        <f t="shared" si="3"/>
        <v>0.65999999999999992</v>
      </c>
      <c r="H55">
        <f t="shared" si="4"/>
        <v>133.05600000000001</v>
      </c>
      <c r="I55">
        <f t="shared" si="5"/>
        <v>739.2</v>
      </c>
      <c r="J55">
        <f t="shared" si="6"/>
        <v>528</v>
      </c>
      <c r="K55">
        <f t="shared" si="7"/>
        <v>95.04</v>
      </c>
      <c r="L55">
        <f t="shared" si="8"/>
        <v>13.3056</v>
      </c>
      <c r="M55">
        <f t="shared" si="9"/>
        <v>13.069056</v>
      </c>
      <c r="N55">
        <f t="shared" si="10"/>
        <v>6.8006400000000005</v>
      </c>
      <c r="O55">
        <f t="shared" si="11"/>
        <v>9.3921882352941175</v>
      </c>
      <c r="P55">
        <f t="shared" si="12"/>
        <v>4.3542116630669545</v>
      </c>
      <c r="Q55">
        <f t="shared" si="13"/>
        <v>67.2</v>
      </c>
      <c r="R55">
        <f t="shared" si="14"/>
        <v>704</v>
      </c>
      <c r="S55">
        <f t="shared" si="15"/>
        <v>409.20000000000005</v>
      </c>
      <c r="T55">
        <f t="shared" si="16"/>
        <v>118.79999999999998</v>
      </c>
      <c r="U55">
        <f>I55*E55/'[1]Inverter Analysis'!$L$2</f>
        <v>318.84257816512962</v>
      </c>
      <c r="V55">
        <f t="shared" si="17"/>
        <v>151.5151515151515</v>
      </c>
      <c r="W55">
        <f t="shared" si="18"/>
        <v>195.50342130987289</v>
      </c>
      <c r="X55">
        <f t="shared" si="19"/>
        <v>108.22510822510822</v>
      </c>
      <c r="Y55">
        <f t="shared" si="20"/>
        <v>0.57332381615798489</v>
      </c>
      <c r="Z55">
        <f t="shared" si="21"/>
        <v>4.2977457600000015</v>
      </c>
    </row>
    <row r="56" spans="1:26">
      <c r="A56">
        <v>15</v>
      </c>
      <c r="B56">
        <v>4</v>
      </c>
      <c r="C56" s="1">
        <v>11</v>
      </c>
      <c r="D56">
        <f t="shared" si="0"/>
        <v>360</v>
      </c>
      <c r="E56">
        <f t="shared" si="1"/>
        <v>180</v>
      </c>
      <c r="F56">
        <f t="shared" si="2"/>
        <v>46.2</v>
      </c>
      <c r="G56">
        <f t="shared" si="3"/>
        <v>0.61874999999999991</v>
      </c>
      <c r="H56">
        <f t="shared" si="4"/>
        <v>124.74</v>
      </c>
      <c r="I56">
        <f t="shared" si="5"/>
        <v>693</v>
      </c>
      <c r="J56">
        <f t="shared" si="6"/>
        <v>495</v>
      </c>
      <c r="K56">
        <f t="shared" si="7"/>
        <v>89.1</v>
      </c>
      <c r="L56">
        <f t="shared" si="8"/>
        <v>12.474</v>
      </c>
      <c r="M56">
        <f t="shared" si="9"/>
        <v>12.25224</v>
      </c>
      <c r="N56">
        <f t="shared" si="10"/>
        <v>6.3755999999999995</v>
      </c>
      <c r="O56">
        <f t="shared" si="11"/>
        <v>8.8051764705882363</v>
      </c>
      <c r="P56">
        <f t="shared" si="12"/>
        <v>4.0820734341252694</v>
      </c>
      <c r="Q56">
        <f t="shared" si="13"/>
        <v>63</v>
      </c>
      <c r="R56">
        <f t="shared" si="14"/>
        <v>660</v>
      </c>
      <c r="S56">
        <f t="shared" si="15"/>
        <v>383.625</v>
      </c>
      <c r="T56">
        <f t="shared" si="16"/>
        <v>111.37499999999999</v>
      </c>
      <c r="U56">
        <f>I56*E56/'[1]Inverter Analysis'!$L$2</f>
        <v>298.91491702980903</v>
      </c>
      <c r="V56">
        <f t="shared" si="17"/>
        <v>161.61616161616161</v>
      </c>
      <c r="W56">
        <f t="shared" si="18"/>
        <v>208.53698273053112</v>
      </c>
      <c r="X56">
        <f t="shared" si="19"/>
        <v>115.44011544011543</v>
      </c>
      <c r="Y56">
        <f t="shared" si="20"/>
        <v>0.65231509749530758</v>
      </c>
      <c r="Z56">
        <f t="shared" si="21"/>
        <v>3.5412333837890624</v>
      </c>
    </row>
    <row r="57" spans="1:26">
      <c r="A57">
        <v>14</v>
      </c>
      <c r="B57">
        <v>4</v>
      </c>
      <c r="C57" s="1">
        <v>11</v>
      </c>
      <c r="D57">
        <f t="shared" si="0"/>
        <v>360</v>
      </c>
      <c r="E57">
        <f t="shared" si="1"/>
        <v>180</v>
      </c>
      <c r="F57">
        <f t="shared" si="2"/>
        <v>43.12</v>
      </c>
      <c r="G57">
        <f t="shared" si="3"/>
        <v>0.57750000000000001</v>
      </c>
      <c r="H57">
        <f t="shared" si="4"/>
        <v>116.42400000000002</v>
      </c>
      <c r="I57">
        <f t="shared" si="5"/>
        <v>646.80000000000007</v>
      </c>
      <c r="J57">
        <f t="shared" si="6"/>
        <v>462</v>
      </c>
      <c r="K57">
        <f t="shared" si="7"/>
        <v>83.16</v>
      </c>
      <c r="L57">
        <f t="shared" si="8"/>
        <v>11.642400000000002</v>
      </c>
      <c r="M57">
        <f t="shared" si="9"/>
        <v>11.435424000000001</v>
      </c>
      <c r="N57">
        <f t="shared" si="10"/>
        <v>5.9505600000000003</v>
      </c>
      <c r="O57">
        <f t="shared" si="11"/>
        <v>8.218164705882355</v>
      </c>
      <c r="P57">
        <f t="shared" si="12"/>
        <v>3.8099352051835855</v>
      </c>
      <c r="Q57">
        <f t="shared" si="13"/>
        <v>58.800000000000004</v>
      </c>
      <c r="R57">
        <f t="shared" si="14"/>
        <v>616</v>
      </c>
      <c r="S57">
        <f t="shared" si="15"/>
        <v>358.05</v>
      </c>
      <c r="T57">
        <f t="shared" si="16"/>
        <v>103.95</v>
      </c>
      <c r="U57">
        <f>I57*E57/'[1]Inverter Analysis'!$L$2</f>
        <v>278.98725589448844</v>
      </c>
      <c r="V57">
        <f t="shared" si="17"/>
        <v>173.16017316017317</v>
      </c>
      <c r="W57">
        <f t="shared" si="18"/>
        <v>223.43248149699761</v>
      </c>
      <c r="X57">
        <f t="shared" si="19"/>
        <v>123.68583797155225</v>
      </c>
      <c r="Y57">
        <f t="shared" si="20"/>
        <v>0.74883110681859266</v>
      </c>
      <c r="Z57">
        <f t="shared" si="21"/>
        <v>2.8791538978125009</v>
      </c>
    </row>
    <row r="58" spans="1:26">
      <c r="A58">
        <v>13</v>
      </c>
      <c r="B58">
        <v>4</v>
      </c>
      <c r="C58" s="1">
        <v>11</v>
      </c>
      <c r="D58">
        <f t="shared" si="0"/>
        <v>360</v>
      </c>
      <c r="E58">
        <f t="shared" si="1"/>
        <v>180</v>
      </c>
      <c r="F58">
        <f t="shared" si="2"/>
        <v>40.04</v>
      </c>
      <c r="G58">
        <f t="shared" si="3"/>
        <v>0.53625</v>
      </c>
      <c r="H58">
        <f t="shared" si="4"/>
        <v>108.108</v>
      </c>
      <c r="I58">
        <f t="shared" si="5"/>
        <v>600.6</v>
      </c>
      <c r="J58">
        <f t="shared" si="6"/>
        <v>429</v>
      </c>
      <c r="K58">
        <f t="shared" si="7"/>
        <v>77.22</v>
      </c>
      <c r="L58">
        <f t="shared" si="8"/>
        <v>10.8108</v>
      </c>
      <c r="M58">
        <f t="shared" si="9"/>
        <v>10.618608</v>
      </c>
      <c r="N58">
        <f t="shared" si="10"/>
        <v>5.5255199999999993</v>
      </c>
      <c r="O58">
        <f t="shared" si="11"/>
        <v>7.6311529411764711</v>
      </c>
      <c r="P58">
        <f t="shared" si="12"/>
        <v>3.5377969762419004</v>
      </c>
      <c r="Q58">
        <f t="shared" si="13"/>
        <v>54.6</v>
      </c>
      <c r="R58">
        <f t="shared" si="14"/>
        <v>572</v>
      </c>
      <c r="S58">
        <f t="shared" si="15"/>
        <v>332.47500000000002</v>
      </c>
      <c r="T58">
        <f t="shared" si="16"/>
        <v>96.525000000000006</v>
      </c>
      <c r="U58">
        <f>I58*E58/'[1]Inverter Analysis'!$L$2</f>
        <v>259.05959475916785</v>
      </c>
      <c r="V58">
        <f t="shared" si="17"/>
        <v>186.48018648018649</v>
      </c>
      <c r="W58">
        <f t="shared" si="18"/>
        <v>240.61959545830513</v>
      </c>
      <c r="X58">
        <f t="shared" si="19"/>
        <v>133.20013320013319</v>
      </c>
      <c r="Y58">
        <f t="shared" si="20"/>
        <v>0.86846684577777611</v>
      </c>
      <c r="Z58">
        <f t="shared" si="21"/>
        <v>2.305211776054688</v>
      </c>
    </row>
    <row r="59" spans="1:26">
      <c r="A59">
        <v>12</v>
      </c>
      <c r="B59">
        <v>4</v>
      </c>
      <c r="C59" s="1">
        <v>11</v>
      </c>
      <c r="D59">
        <f t="shared" si="0"/>
        <v>360</v>
      </c>
      <c r="E59">
        <f t="shared" si="1"/>
        <v>180</v>
      </c>
      <c r="F59">
        <f t="shared" si="2"/>
        <v>36.96</v>
      </c>
      <c r="G59">
        <f t="shared" si="3"/>
        <v>0.495</v>
      </c>
      <c r="H59">
        <f t="shared" si="4"/>
        <v>99.792000000000002</v>
      </c>
      <c r="I59">
        <f t="shared" si="5"/>
        <v>554.4</v>
      </c>
      <c r="J59">
        <f t="shared" si="6"/>
        <v>396</v>
      </c>
      <c r="K59">
        <f t="shared" si="7"/>
        <v>71.28</v>
      </c>
      <c r="L59">
        <f t="shared" si="8"/>
        <v>9.9791999999999987</v>
      </c>
      <c r="M59">
        <f t="shared" si="9"/>
        <v>9.8017919999999989</v>
      </c>
      <c r="N59">
        <f t="shared" si="10"/>
        <v>5.1004799999999992</v>
      </c>
      <c r="O59">
        <f t="shared" si="11"/>
        <v>7.0441411764705881</v>
      </c>
      <c r="P59">
        <f t="shared" si="12"/>
        <v>3.2656587473002152</v>
      </c>
      <c r="Q59">
        <f t="shared" si="13"/>
        <v>50.4</v>
      </c>
      <c r="R59">
        <f t="shared" si="14"/>
        <v>528</v>
      </c>
      <c r="S59">
        <f t="shared" si="15"/>
        <v>306.89999999999998</v>
      </c>
      <c r="T59">
        <f t="shared" si="16"/>
        <v>89.1</v>
      </c>
      <c r="U59">
        <f>I59*E59/'[1]Inverter Analysis'!$L$2</f>
        <v>239.13193362384723</v>
      </c>
      <c r="V59">
        <f t="shared" si="17"/>
        <v>202.02020202020202</v>
      </c>
      <c r="W59">
        <f t="shared" si="18"/>
        <v>260.67122841316393</v>
      </c>
      <c r="X59">
        <f t="shared" si="19"/>
        <v>144.3001443001443</v>
      </c>
      <c r="Y59">
        <f t="shared" si="20"/>
        <v>1.0192423398364181</v>
      </c>
      <c r="Z59">
        <f t="shared" si="21"/>
        <v>1.8131114925</v>
      </c>
    </row>
    <row r="60" spans="1:26">
      <c r="A60">
        <v>11</v>
      </c>
      <c r="B60">
        <v>4</v>
      </c>
      <c r="C60" s="1">
        <v>11</v>
      </c>
      <c r="D60">
        <f t="shared" si="0"/>
        <v>360</v>
      </c>
      <c r="E60">
        <f t="shared" si="1"/>
        <v>180</v>
      </c>
      <c r="F60">
        <f t="shared" si="2"/>
        <v>33.880000000000003</v>
      </c>
      <c r="G60">
        <f t="shared" si="3"/>
        <v>0.45374999999999993</v>
      </c>
      <c r="H60">
        <f t="shared" si="4"/>
        <v>91.476000000000013</v>
      </c>
      <c r="I60">
        <f t="shared" si="5"/>
        <v>508.20000000000005</v>
      </c>
      <c r="J60">
        <f t="shared" si="6"/>
        <v>363</v>
      </c>
      <c r="K60">
        <f t="shared" si="7"/>
        <v>65.34</v>
      </c>
      <c r="L60">
        <f t="shared" si="8"/>
        <v>9.1476000000000006</v>
      </c>
      <c r="M60">
        <f t="shared" si="9"/>
        <v>8.9849760000000014</v>
      </c>
      <c r="N60">
        <f t="shared" si="10"/>
        <v>4.6754400000000009</v>
      </c>
      <c r="O60">
        <f t="shared" si="11"/>
        <v>6.4571294117647069</v>
      </c>
      <c r="P60">
        <f t="shared" si="12"/>
        <v>2.9935205183585314</v>
      </c>
      <c r="Q60">
        <f t="shared" si="13"/>
        <v>46.2</v>
      </c>
      <c r="R60">
        <f t="shared" si="14"/>
        <v>484</v>
      </c>
      <c r="S60">
        <f t="shared" si="15"/>
        <v>281.32500000000005</v>
      </c>
      <c r="T60">
        <f t="shared" si="16"/>
        <v>81.674999999999983</v>
      </c>
      <c r="U60">
        <f>I60*E60/'[1]Inverter Analysis'!$L$2</f>
        <v>219.20427248852667</v>
      </c>
      <c r="V60">
        <f t="shared" si="17"/>
        <v>220.38567493112947</v>
      </c>
      <c r="W60">
        <f t="shared" si="18"/>
        <v>284.36861281436057</v>
      </c>
      <c r="X60">
        <f t="shared" si="19"/>
        <v>157.41833923652104</v>
      </c>
      <c r="Y60">
        <f t="shared" si="20"/>
        <v>1.2129826193094557</v>
      </c>
      <c r="Z60">
        <f t="shared" si="21"/>
        <v>1.396557521132813</v>
      </c>
    </row>
    <row r="61" spans="1:26">
      <c r="A61">
        <v>10</v>
      </c>
      <c r="B61">
        <v>4</v>
      </c>
      <c r="C61" s="1">
        <v>11</v>
      </c>
      <c r="D61">
        <f t="shared" si="0"/>
        <v>360</v>
      </c>
      <c r="E61">
        <f t="shared" si="1"/>
        <v>180</v>
      </c>
      <c r="F61">
        <f t="shared" si="2"/>
        <v>30.8</v>
      </c>
      <c r="G61">
        <f t="shared" si="3"/>
        <v>0.41249999999999998</v>
      </c>
      <c r="H61">
        <f t="shared" si="4"/>
        <v>83.16</v>
      </c>
      <c r="I61">
        <f t="shared" si="5"/>
        <v>462</v>
      </c>
      <c r="J61">
        <f t="shared" si="6"/>
        <v>330</v>
      </c>
      <c r="K61">
        <f t="shared" si="7"/>
        <v>59.4</v>
      </c>
      <c r="L61">
        <f t="shared" si="8"/>
        <v>8.3160000000000007</v>
      </c>
      <c r="M61">
        <f t="shared" si="9"/>
        <v>8.1681600000000003</v>
      </c>
      <c r="N61">
        <f t="shared" si="10"/>
        <v>4.2504</v>
      </c>
      <c r="O61">
        <f t="shared" si="11"/>
        <v>5.8701176470588248</v>
      </c>
      <c r="P61">
        <f t="shared" si="12"/>
        <v>2.7213822894168462</v>
      </c>
      <c r="Q61">
        <f t="shared" si="13"/>
        <v>42</v>
      </c>
      <c r="R61">
        <f t="shared" si="14"/>
        <v>440</v>
      </c>
      <c r="S61">
        <f t="shared" si="15"/>
        <v>255.75</v>
      </c>
      <c r="T61">
        <f t="shared" si="16"/>
        <v>74.25</v>
      </c>
      <c r="U61">
        <f>I61*E61/'[1]Inverter Analysis'!$L$2</f>
        <v>199.27661135320602</v>
      </c>
      <c r="V61">
        <f t="shared" si="17"/>
        <v>242.42424242424244</v>
      </c>
      <c r="W61">
        <f t="shared" si="18"/>
        <v>312.80547409579668</v>
      </c>
      <c r="X61">
        <f t="shared" si="19"/>
        <v>173.16017316017317</v>
      </c>
      <c r="Y61">
        <f t="shared" si="20"/>
        <v>1.4677089693644421</v>
      </c>
      <c r="Z61">
        <f t="shared" si="21"/>
        <v>1.0492543359374999</v>
      </c>
    </row>
    <row r="62" spans="1:26">
      <c r="A62">
        <v>16</v>
      </c>
      <c r="B62">
        <v>3</v>
      </c>
      <c r="C62" s="1">
        <v>11</v>
      </c>
      <c r="D62">
        <f t="shared" si="0"/>
        <v>270</v>
      </c>
      <c r="E62">
        <f t="shared" si="1"/>
        <v>135</v>
      </c>
      <c r="F62">
        <f t="shared" si="2"/>
        <v>36.96</v>
      </c>
      <c r="G62">
        <f t="shared" si="3"/>
        <v>0.88</v>
      </c>
      <c r="H62">
        <f t="shared" si="4"/>
        <v>99.792000000000002</v>
      </c>
      <c r="I62">
        <f t="shared" si="5"/>
        <v>739.2</v>
      </c>
      <c r="J62">
        <f t="shared" si="6"/>
        <v>528</v>
      </c>
      <c r="K62">
        <f t="shared" si="7"/>
        <v>71.28</v>
      </c>
      <c r="L62">
        <f t="shared" si="8"/>
        <v>9.9792000000000005</v>
      </c>
      <c r="M62">
        <f t="shared" si="9"/>
        <v>9.8017920000000007</v>
      </c>
      <c r="N62">
        <f t="shared" si="10"/>
        <v>5.1004800000000001</v>
      </c>
      <c r="O62">
        <f t="shared" si="11"/>
        <v>7.044141176470589</v>
      </c>
      <c r="P62">
        <f t="shared" si="12"/>
        <v>3.2656587473002161</v>
      </c>
      <c r="Q62">
        <f t="shared" si="13"/>
        <v>67.2</v>
      </c>
      <c r="R62">
        <f t="shared" si="14"/>
        <v>528</v>
      </c>
      <c r="S62">
        <f t="shared" si="15"/>
        <v>409.2</v>
      </c>
      <c r="T62">
        <f t="shared" si="16"/>
        <v>118.8</v>
      </c>
      <c r="U62">
        <f>I62*E62/'[1]Inverter Analysis'!$L$2</f>
        <v>239.13193362384723</v>
      </c>
      <c r="V62">
        <f t="shared" si="17"/>
        <v>151.5151515151515</v>
      </c>
      <c r="W62">
        <f t="shared" si="18"/>
        <v>195.50342130987292</v>
      </c>
      <c r="X62">
        <f t="shared" si="19"/>
        <v>108.22510822510822</v>
      </c>
      <c r="Y62">
        <f t="shared" si="20"/>
        <v>0.57332381615798511</v>
      </c>
      <c r="Z62">
        <f t="shared" si="21"/>
        <v>3.2233093200000003</v>
      </c>
    </row>
    <row r="63" spans="1:26">
      <c r="A63">
        <v>15</v>
      </c>
      <c r="B63">
        <v>3</v>
      </c>
      <c r="C63" s="1">
        <v>11</v>
      </c>
      <c r="D63">
        <f t="shared" si="0"/>
        <v>270</v>
      </c>
      <c r="E63">
        <f t="shared" si="1"/>
        <v>135</v>
      </c>
      <c r="F63">
        <f t="shared" si="2"/>
        <v>34.65</v>
      </c>
      <c r="G63">
        <f t="shared" si="3"/>
        <v>0.82499999999999996</v>
      </c>
      <c r="H63">
        <f t="shared" si="4"/>
        <v>93.555000000000007</v>
      </c>
      <c r="I63">
        <f t="shared" si="5"/>
        <v>693</v>
      </c>
      <c r="J63">
        <f t="shared" si="6"/>
        <v>495</v>
      </c>
      <c r="K63">
        <f t="shared" si="7"/>
        <v>66.825000000000003</v>
      </c>
      <c r="L63">
        <f t="shared" si="8"/>
        <v>9.3554999999999993</v>
      </c>
      <c r="M63">
        <f t="shared" si="9"/>
        <v>9.1891800000000003</v>
      </c>
      <c r="N63">
        <f t="shared" si="10"/>
        <v>4.7816999999999998</v>
      </c>
      <c r="O63">
        <f t="shared" si="11"/>
        <v>6.6038823529411763</v>
      </c>
      <c r="P63">
        <f t="shared" si="12"/>
        <v>3.0615550755939522</v>
      </c>
      <c r="Q63">
        <f t="shared" si="13"/>
        <v>63</v>
      </c>
      <c r="R63">
        <f t="shared" si="14"/>
        <v>495</v>
      </c>
      <c r="S63">
        <f t="shared" si="15"/>
        <v>383.625</v>
      </c>
      <c r="T63">
        <f t="shared" si="16"/>
        <v>111.375</v>
      </c>
      <c r="U63">
        <f>I63*E63/'[1]Inverter Analysis'!$L$2</f>
        <v>224.18618777235676</v>
      </c>
      <c r="V63">
        <f t="shared" si="17"/>
        <v>161.61616161616161</v>
      </c>
      <c r="W63">
        <f t="shared" si="18"/>
        <v>208.53698273053112</v>
      </c>
      <c r="X63">
        <f t="shared" si="19"/>
        <v>115.44011544011543</v>
      </c>
      <c r="Y63">
        <f t="shared" si="20"/>
        <v>0.65231509749530758</v>
      </c>
      <c r="Z63">
        <f t="shared" si="21"/>
        <v>2.6559250378417962</v>
      </c>
    </row>
    <row r="64" spans="1:26">
      <c r="A64">
        <v>14</v>
      </c>
      <c r="B64">
        <v>3</v>
      </c>
      <c r="C64" s="1">
        <v>11</v>
      </c>
      <c r="D64">
        <f t="shared" si="0"/>
        <v>270</v>
      </c>
      <c r="E64">
        <f t="shared" si="1"/>
        <v>135</v>
      </c>
      <c r="F64">
        <f t="shared" si="2"/>
        <v>32.340000000000003</v>
      </c>
      <c r="G64">
        <f t="shared" si="3"/>
        <v>0.77</v>
      </c>
      <c r="H64">
        <f t="shared" si="4"/>
        <v>87.318000000000012</v>
      </c>
      <c r="I64">
        <f t="shared" si="5"/>
        <v>646.80000000000007</v>
      </c>
      <c r="J64">
        <f t="shared" si="6"/>
        <v>462</v>
      </c>
      <c r="K64">
        <f t="shared" si="7"/>
        <v>62.37</v>
      </c>
      <c r="L64">
        <f t="shared" si="8"/>
        <v>8.7318000000000016</v>
      </c>
      <c r="M64">
        <f t="shared" si="9"/>
        <v>8.5765680000000017</v>
      </c>
      <c r="N64">
        <f t="shared" si="10"/>
        <v>4.4629200000000004</v>
      </c>
      <c r="O64">
        <f t="shared" si="11"/>
        <v>6.1636235294117663</v>
      </c>
      <c r="P64">
        <f t="shared" si="12"/>
        <v>2.8574514038876893</v>
      </c>
      <c r="Q64">
        <f t="shared" si="13"/>
        <v>58.800000000000004</v>
      </c>
      <c r="R64">
        <f t="shared" si="14"/>
        <v>462</v>
      </c>
      <c r="S64">
        <f t="shared" si="15"/>
        <v>358.05</v>
      </c>
      <c r="T64">
        <f t="shared" si="16"/>
        <v>103.95</v>
      </c>
      <c r="U64">
        <f>I64*E64/'[1]Inverter Analysis'!$L$2</f>
        <v>209.24044192086635</v>
      </c>
      <c r="V64">
        <f t="shared" si="17"/>
        <v>173.16017316017317</v>
      </c>
      <c r="W64">
        <f t="shared" si="18"/>
        <v>223.43248149699761</v>
      </c>
      <c r="X64">
        <f t="shared" si="19"/>
        <v>123.68583797155225</v>
      </c>
      <c r="Y64">
        <f t="shared" si="20"/>
        <v>0.74883110681859266</v>
      </c>
      <c r="Z64">
        <f t="shared" si="21"/>
        <v>2.1593654233593758</v>
      </c>
    </row>
    <row r="65" spans="1:26">
      <c r="A65">
        <v>13</v>
      </c>
      <c r="B65">
        <v>3</v>
      </c>
      <c r="C65" s="1">
        <v>11</v>
      </c>
      <c r="D65">
        <f t="shared" si="0"/>
        <v>270</v>
      </c>
      <c r="E65">
        <f t="shared" si="1"/>
        <v>135</v>
      </c>
      <c r="F65">
        <f t="shared" si="2"/>
        <v>30.03</v>
      </c>
      <c r="G65">
        <f t="shared" si="3"/>
        <v>0.71500000000000008</v>
      </c>
      <c r="H65">
        <f t="shared" si="4"/>
        <v>81.081000000000003</v>
      </c>
      <c r="I65">
        <f t="shared" si="5"/>
        <v>600.6</v>
      </c>
      <c r="J65">
        <f t="shared" si="6"/>
        <v>429</v>
      </c>
      <c r="K65">
        <f t="shared" si="7"/>
        <v>57.914999999999999</v>
      </c>
      <c r="L65">
        <f t="shared" si="8"/>
        <v>8.1081000000000003</v>
      </c>
      <c r="M65">
        <f t="shared" si="9"/>
        <v>7.9639560000000005</v>
      </c>
      <c r="N65">
        <f t="shared" si="10"/>
        <v>4.1441399999999993</v>
      </c>
      <c r="O65">
        <f t="shared" si="11"/>
        <v>5.7233647058823536</v>
      </c>
      <c r="P65">
        <f t="shared" si="12"/>
        <v>2.6533477321814254</v>
      </c>
      <c r="Q65">
        <f t="shared" si="13"/>
        <v>54.6</v>
      </c>
      <c r="R65">
        <f t="shared" si="14"/>
        <v>429</v>
      </c>
      <c r="S65">
        <f t="shared" si="15"/>
        <v>332.47500000000002</v>
      </c>
      <c r="T65">
        <f t="shared" si="16"/>
        <v>96.525000000000006</v>
      </c>
      <c r="U65">
        <f>I65*E65/'[1]Inverter Analysis'!$L$2</f>
        <v>194.29469606937587</v>
      </c>
      <c r="V65">
        <f t="shared" si="17"/>
        <v>186.48018648018649</v>
      </c>
      <c r="W65">
        <f t="shared" si="18"/>
        <v>240.61959545830513</v>
      </c>
      <c r="X65">
        <f t="shared" si="19"/>
        <v>133.20013320013319</v>
      </c>
      <c r="Y65">
        <f t="shared" si="20"/>
        <v>0.86846684577777611</v>
      </c>
      <c r="Z65">
        <f t="shared" si="21"/>
        <v>1.728908832041016</v>
      </c>
    </row>
    <row r="66" spans="1:26">
      <c r="A66">
        <v>12</v>
      </c>
      <c r="B66">
        <v>3</v>
      </c>
      <c r="C66" s="1">
        <v>11</v>
      </c>
      <c r="D66">
        <f t="shared" si="0"/>
        <v>270</v>
      </c>
      <c r="E66">
        <f t="shared" si="1"/>
        <v>135</v>
      </c>
      <c r="F66">
        <f t="shared" si="2"/>
        <v>27.72</v>
      </c>
      <c r="G66">
        <f t="shared" si="3"/>
        <v>0.65999999999999992</v>
      </c>
      <c r="H66">
        <f t="shared" si="4"/>
        <v>74.843999999999994</v>
      </c>
      <c r="I66">
        <f t="shared" si="5"/>
        <v>554.4</v>
      </c>
      <c r="J66">
        <f t="shared" si="6"/>
        <v>396</v>
      </c>
      <c r="K66">
        <f t="shared" si="7"/>
        <v>53.46</v>
      </c>
      <c r="L66">
        <f t="shared" si="8"/>
        <v>7.4843999999999999</v>
      </c>
      <c r="M66">
        <f t="shared" si="9"/>
        <v>7.3513439999999992</v>
      </c>
      <c r="N66">
        <f t="shared" si="10"/>
        <v>3.8253599999999999</v>
      </c>
      <c r="O66">
        <f t="shared" si="11"/>
        <v>5.2831058823529418</v>
      </c>
      <c r="P66">
        <f t="shared" si="12"/>
        <v>2.449244060475162</v>
      </c>
      <c r="Q66">
        <f t="shared" si="13"/>
        <v>50.4</v>
      </c>
      <c r="R66">
        <f t="shared" si="14"/>
        <v>396</v>
      </c>
      <c r="S66">
        <f t="shared" si="15"/>
        <v>306.89999999999998</v>
      </c>
      <c r="T66">
        <f t="shared" si="16"/>
        <v>89.1</v>
      </c>
      <c r="U66">
        <f>I66*E66/'[1]Inverter Analysis'!$L$2</f>
        <v>179.34895021788543</v>
      </c>
      <c r="V66">
        <f t="shared" si="17"/>
        <v>202.02020202020202</v>
      </c>
      <c r="W66">
        <f t="shared" si="18"/>
        <v>260.67122841316393</v>
      </c>
      <c r="X66">
        <f t="shared" si="19"/>
        <v>144.3001443001443</v>
      </c>
      <c r="Y66">
        <f t="shared" si="20"/>
        <v>1.0192423398364181</v>
      </c>
      <c r="Z66">
        <f t="shared" si="21"/>
        <v>1.3598336193749998</v>
      </c>
    </row>
    <row r="67" spans="1:26">
      <c r="A67">
        <v>11</v>
      </c>
      <c r="B67">
        <v>3</v>
      </c>
      <c r="C67" s="1">
        <v>11</v>
      </c>
      <c r="D67">
        <f t="shared" si="0"/>
        <v>270</v>
      </c>
      <c r="E67">
        <f t="shared" si="1"/>
        <v>135</v>
      </c>
      <c r="F67">
        <f t="shared" si="2"/>
        <v>25.41</v>
      </c>
      <c r="G67">
        <f t="shared" si="3"/>
        <v>0.60499999999999998</v>
      </c>
      <c r="H67">
        <f t="shared" si="4"/>
        <v>68.606999999999999</v>
      </c>
      <c r="I67">
        <f t="shared" si="5"/>
        <v>508.20000000000005</v>
      </c>
      <c r="J67">
        <f t="shared" si="6"/>
        <v>363</v>
      </c>
      <c r="K67">
        <f t="shared" si="7"/>
        <v>49.005000000000003</v>
      </c>
      <c r="L67">
        <f t="shared" si="8"/>
        <v>6.8607000000000005</v>
      </c>
      <c r="M67">
        <f t="shared" si="9"/>
        <v>6.7387319999999997</v>
      </c>
      <c r="N67">
        <f t="shared" si="10"/>
        <v>3.5065800000000005</v>
      </c>
      <c r="O67">
        <f t="shared" si="11"/>
        <v>4.8428470588235299</v>
      </c>
      <c r="P67">
        <f t="shared" si="12"/>
        <v>2.2451403887688985</v>
      </c>
      <c r="Q67">
        <f t="shared" si="13"/>
        <v>46.2</v>
      </c>
      <c r="R67">
        <f t="shared" si="14"/>
        <v>363</v>
      </c>
      <c r="S67">
        <f t="shared" si="15"/>
        <v>281.32499999999999</v>
      </c>
      <c r="T67">
        <f t="shared" si="16"/>
        <v>81.674999999999997</v>
      </c>
      <c r="U67">
        <f>I67*E67/'[1]Inverter Analysis'!$L$2</f>
        <v>164.40320436639496</v>
      </c>
      <c r="V67">
        <f t="shared" si="17"/>
        <v>220.38567493112947</v>
      </c>
      <c r="W67">
        <f t="shared" si="18"/>
        <v>284.36861281436063</v>
      </c>
      <c r="X67">
        <f t="shared" si="19"/>
        <v>157.41833923652104</v>
      </c>
      <c r="Y67">
        <f t="shared" si="20"/>
        <v>1.2129826193094562</v>
      </c>
      <c r="Z67">
        <f t="shared" si="21"/>
        <v>1.0474181408496093</v>
      </c>
    </row>
    <row r="68" spans="1:26">
      <c r="A68">
        <v>10</v>
      </c>
      <c r="B68">
        <v>3</v>
      </c>
      <c r="C68" s="1">
        <v>11</v>
      </c>
      <c r="D68">
        <f t="shared" si="0"/>
        <v>270</v>
      </c>
      <c r="E68">
        <f t="shared" si="1"/>
        <v>135</v>
      </c>
      <c r="F68">
        <f t="shared" si="2"/>
        <v>23.1</v>
      </c>
      <c r="G68">
        <f t="shared" si="3"/>
        <v>0.55000000000000004</v>
      </c>
      <c r="H68">
        <f t="shared" si="4"/>
        <v>62.37</v>
      </c>
      <c r="I68">
        <f t="shared" si="5"/>
        <v>462</v>
      </c>
      <c r="J68">
        <f t="shared" si="6"/>
        <v>330</v>
      </c>
      <c r="K68">
        <f t="shared" si="7"/>
        <v>44.55</v>
      </c>
      <c r="L68">
        <f t="shared" si="8"/>
        <v>6.2370000000000001</v>
      </c>
      <c r="M68">
        <f t="shared" si="9"/>
        <v>6.1261200000000002</v>
      </c>
      <c r="N68">
        <f t="shared" si="10"/>
        <v>3.1877999999999997</v>
      </c>
      <c r="O68">
        <f t="shared" si="11"/>
        <v>4.4025882352941181</v>
      </c>
      <c r="P68">
        <f t="shared" si="12"/>
        <v>2.0410367170626347</v>
      </c>
      <c r="Q68">
        <f t="shared" si="13"/>
        <v>42</v>
      </c>
      <c r="R68">
        <f t="shared" si="14"/>
        <v>330</v>
      </c>
      <c r="S68">
        <f t="shared" si="15"/>
        <v>255.75</v>
      </c>
      <c r="T68">
        <f t="shared" si="16"/>
        <v>74.25</v>
      </c>
      <c r="U68">
        <f>I68*E68/'[1]Inverter Analysis'!$L$2</f>
        <v>149.45745851490452</v>
      </c>
      <c r="V68">
        <f t="shared" si="17"/>
        <v>242.42424242424244</v>
      </c>
      <c r="W68">
        <f t="shared" si="18"/>
        <v>312.80547409579668</v>
      </c>
      <c r="X68">
        <f t="shared" si="19"/>
        <v>173.16017316017317</v>
      </c>
      <c r="Y68">
        <f t="shared" si="20"/>
        <v>1.4677089693644421</v>
      </c>
      <c r="Z68">
        <f t="shared" si="21"/>
        <v>0.78694075195312485</v>
      </c>
    </row>
    <row r="69" spans="1:26">
      <c r="A69">
        <v>16</v>
      </c>
      <c r="B69">
        <v>2</v>
      </c>
      <c r="C69" s="1">
        <v>11</v>
      </c>
      <c r="D69">
        <f t="shared" si="0"/>
        <v>180</v>
      </c>
      <c r="E69">
        <f t="shared" si="1"/>
        <v>90</v>
      </c>
      <c r="F69">
        <f t="shared" si="2"/>
        <v>24.64</v>
      </c>
      <c r="G69">
        <f t="shared" si="3"/>
        <v>1.3199999999999998</v>
      </c>
      <c r="H69">
        <f t="shared" si="4"/>
        <v>66.528000000000006</v>
      </c>
      <c r="I69">
        <f t="shared" si="5"/>
        <v>739.2</v>
      </c>
      <c r="J69">
        <f t="shared" si="6"/>
        <v>528</v>
      </c>
      <c r="K69">
        <f t="shared" si="7"/>
        <v>47.52</v>
      </c>
      <c r="L69">
        <f t="shared" si="8"/>
        <v>6.6528</v>
      </c>
      <c r="M69">
        <f t="shared" si="9"/>
        <v>6.5345279999999999</v>
      </c>
      <c r="N69">
        <f t="shared" si="10"/>
        <v>3.4003200000000002</v>
      </c>
      <c r="O69">
        <f t="shared" si="11"/>
        <v>4.6960941176470588</v>
      </c>
      <c r="P69">
        <f t="shared" si="12"/>
        <v>2.1771058315334773</v>
      </c>
      <c r="Q69">
        <f t="shared" si="13"/>
        <v>67.2</v>
      </c>
      <c r="R69">
        <f t="shared" si="14"/>
        <v>352</v>
      </c>
      <c r="S69">
        <f t="shared" si="15"/>
        <v>409.20000000000005</v>
      </c>
      <c r="T69">
        <f t="shared" si="16"/>
        <v>118.79999999999998</v>
      </c>
      <c r="U69">
        <f>I69*E69/'[1]Inverter Analysis'!$L$2</f>
        <v>159.42128908256481</v>
      </c>
      <c r="V69">
        <f t="shared" si="17"/>
        <v>151.5151515151515</v>
      </c>
      <c r="W69">
        <f t="shared" si="18"/>
        <v>195.50342130987289</v>
      </c>
      <c r="X69">
        <f t="shared" si="19"/>
        <v>108.22510822510822</v>
      </c>
      <c r="Y69">
        <f t="shared" si="20"/>
        <v>0.57332381615798489</v>
      </c>
      <c r="Z69">
        <f t="shared" si="21"/>
        <v>2.1488728800000008</v>
      </c>
    </row>
    <row r="70" spans="1:26">
      <c r="A70">
        <v>15</v>
      </c>
      <c r="B70">
        <v>2</v>
      </c>
      <c r="C70" s="1">
        <v>11</v>
      </c>
      <c r="D70">
        <f t="shared" si="0"/>
        <v>180</v>
      </c>
      <c r="E70">
        <f t="shared" si="1"/>
        <v>90</v>
      </c>
      <c r="F70">
        <f t="shared" si="2"/>
        <v>23.1</v>
      </c>
      <c r="G70">
        <f t="shared" si="3"/>
        <v>1.2374999999999998</v>
      </c>
      <c r="H70">
        <f t="shared" si="4"/>
        <v>62.37</v>
      </c>
      <c r="I70">
        <f t="shared" si="5"/>
        <v>693</v>
      </c>
      <c r="J70">
        <f t="shared" si="6"/>
        <v>495</v>
      </c>
      <c r="K70">
        <f t="shared" si="7"/>
        <v>44.55</v>
      </c>
      <c r="L70">
        <f t="shared" si="8"/>
        <v>6.2370000000000001</v>
      </c>
      <c r="M70">
        <f t="shared" si="9"/>
        <v>6.1261200000000002</v>
      </c>
      <c r="N70">
        <f t="shared" si="10"/>
        <v>3.1877999999999997</v>
      </c>
      <c r="O70">
        <f t="shared" si="11"/>
        <v>4.4025882352941181</v>
      </c>
      <c r="P70">
        <f t="shared" si="12"/>
        <v>2.0410367170626347</v>
      </c>
      <c r="Q70">
        <f t="shared" si="13"/>
        <v>63</v>
      </c>
      <c r="R70">
        <f t="shared" si="14"/>
        <v>330</v>
      </c>
      <c r="S70">
        <f t="shared" si="15"/>
        <v>383.625</v>
      </c>
      <c r="T70">
        <f t="shared" si="16"/>
        <v>111.37499999999999</v>
      </c>
      <c r="U70">
        <f>I70*E70/'[1]Inverter Analysis'!$L$2</f>
        <v>149.45745851490452</v>
      </c>
      <c r="V70">
        <f t="shared" si="17"/>
        <v>161.61616161616161</v>
      </c>
      <c r="W70">
        <f t="shared" si="18"/>
        <v>208.53698273053112</v>
      </c>
      <c r="X70">
        <f t="shared" si="19"/>
        <v>115.44011544011543</v>
      </c>
      <c r="Y70">
        <f t="shared" si="20"/>
        <v>0.65231509749530758</v>
      </c>
      <c r="Z70">
        <f t="shared" si="21"/>
        <v>1.7706166918945312</v>
      </c>
    </row>
    <row r="71" spans="1:26">
      <c r="A71">
        <v>14</v>
      </c>
      <c r="B71">
        <v>2</v>
      </c>
      <c r="C71" s="1">
        <v>11</v>
      </c>
      <c r="D71">
        <f t="shared" ref="D71:D134" si="22">B71*$J$3</f>
        <v>180</v>
      </c>
      <c r="E71">
        <f t="shared" ref="E71:E134" si="23">B71*$I$3</f>
        <v>90</v>
      </c>
      <c r="F71">
        <f t="shared" ref="F71:F134" si="24">A71*B71*C71*$Q$3/1000</f>
        <v>21.56</v>
      </c>
      <c r="G71">
        <f t="shared" ref="G71:G134" si="25">((B71*$R$3^(-1))^(-1))*A71*C71</f>
        <v>1.155</v>
      </c>
      <c r="H71">
        <f t="shared" ref="H71:H134" si="26">E71*I71/1000</f>
        <v>58.21200000000001</v>
      </c>
      <c r="I71">
        <f t="shared" ref="I71:I134" si="27">A71*C71*4.2</f>
        <v>646.80000000000007</v>
      </c>
      <c r="J71">
        <f t="shared" ref="J71:J134" si="28">C71*A71*$K$3</f>
        <v>462</v>
      </c>
      <c r="K71">
        <f t="shared" ref="K71:K134" si="29">E71*J71/1000</f>
        <v>41.58</v>
      </c>
      <c r="L71">
        <f t="shared" ref="L71:L134" si="30">$N$3/1000*I71*B71/1000</f>
        <v>5.821200000000001</v>
      </c>
      <c r="M71">
        <f t="shared" ref="M71:M134" si="31">$O$3/1000*I71*B71/1000</f>
        <v>5.7177120000000006</v>
      </c>
      <c r="N71">
        <f t="shared" ref="N71:N134" si="32">$P$3/1000*I71*B71/1000</f>
        <v>2.9752800000000001</v>
      </c>
      <c r="O71">
        <f t="shared" ref="O71:O134" si="33">L71*(($L$3-$K$3)/($L$3-$M$3))</f>
        <v>4.1090823529411775</v>
      </c>
      <c r="P71">
        <f t="shared" ref="P71:P134" si="34">$H$3/1000*B71*I71/277.8/C71</f>
        <v>1.9049676025917928</v>
      </c>
      <c r="Q71">
        <f t="shared" ref="Q71:Q134" si="35">I71/C71</f>
        <v>58.800000000000004</v>
      </c>
      <c r="R71">
        <f t="shared" ref="R71:R134" si="36">(A71*B71*C71)</f>
        <v>308</v>
      </c>
      <c r="S71">
        <f t="shared" ref="S71:S134" si="37">J71-(G71*E71)</f>
        <v>358.05</v>
      </c>
      <c r="T71">
        <f t="shared" ref="T71:T134" si="38">G71*E71</f>
        <v>103.95</v>
      </c>
      <c r="U71">
        <f>I71*E71/'[1]Inverter Analysis'!$L$2</f>
        <v>139.49362794724422</v>
      </c>
      <c r="V71">
        <f t="shared" ref="V71:V134" si="39">80000/J71</f>
        <v>173.16017316017317</v>
      </c>
      <c r="W71">
        <f t="shared" ref="W71:W134" si="40">80000/S71</f>
        <v>223.43248149699761</v>
      </c>
      <c r="X71">
        <f t="shared" ref="X71:X134" si="41">80000/I71</f>
        <v>123.68583797155225</v>
      </c>
      <c r="Y71">
        <f t="shared" ref="Y71:Y134" si="42">(MAX(V71:X71)^2)*$R$3/1000</f>
        <v>0.74883110681859266</v>
      </c>
      <c r="Z71">
        <f t="shared" ref="Z71:Z134" si="43">($S$3*F71/(Y71*1000))*10</f>
        <v>1.4395769489062504</v>
      </c>
    </row>
    <row r="72" spans="1:26">
      <c r="A72">
        <v>13</v>
      </c>
      <c r="B72">
        <v>2</v>
      </c>
      <c r="C72" s="1">
        <v>11</v>
      </c>
      <c r="D72">
        <f t="shared" si="22"/>
        <v>180</v>
      </c>
      <c r="E72">
        <f t="shared" si="23"/>
        <v>90</v>
      </c>
      <c r="F72">
        <f t="shared" si="24"/>
        <v>20.02</v>
      </c>
      <c r="G72">
        <f t="shared" si="25"/>
        <v>1.0725</v>
      </c>
      <c r="H72">
        <f t="shared" si="26"/>
        <v>54.054000000000002</v>
      </c>
      <c r="I72">
        <f t="shared" si="27"/>
        <v>600.6</v>
      </c>
      <c r="J72">
        <f t="shared" si="28"/>
        <v>429</v>
      </c>
      <c r="K72">
        <f t="shared" si="29"/>
        <v>38.61</v>
      </c>
      <c r="L72">
        <f t="shared" si="30"/>
        <v>5.4054000000000002</v>
      </c>
      <c r="M72">
        <f t="shared" si="31"/>
        <v>5.309304</v>
      </c>
      <c r="N72">
        <f t="shared" si="32"/>
        <v>2.7627599999999997</v>
      </c>
      <c r="O72">
        <f t="shared" si="33"/>
        <v>3.8155764705882356</v>
      </c>
      <c r="P72">
        <f t="shared" si="34"/>
        <v>1.7688984881209502</v>
      </c>
      <c r="Q72">
        <f t="shared" si="35"/>
        <v>54.6</v>
      </c>
      <c r="R72">
        <f t="shared" si="36"/>
        <v>286</v>
      </c>
      <c r="S72">
        <f t="shared" si="37"/>
        <v>332.47500000000002</v>
      </c>
      <c r="T72">
        <f t="shared" si="38"/>
        <v>96.525000000000006</v>
      </c>
      <c r="U72">
        <f>I72*E72/'[1]Inverter Analysis'!$L$2</f>
        <v>129.52979737958393</v>
      </c>
      <c r="V72">
        <f t="shared" si="39"/>
        <v>186.48018648018649</v>
      </c>
      <c r="W72">
        <f t="shared" si="40"/>
        <v>240.61959545830513</v>
      </c>
      <c r="X72">
        <f t="shared" si="41"/>
        <v>133.20013320013319</v>
      </c>
      <c r="Y72">
        <f t="shared" si="42"/>
        <v>0.86846684577777611</v>
      </c>
      <c r="Z72">
        <f t="shared" si="43"/>
        <v>1.152605888027344</v>
      </c>
    </row>
    <row r="73" spans="1:26">
      <c r="A73">
        <v>12</v>
      </c>
      <c r="B73">
        <v>2</v>
      </c>
      <c r="C73" s="1">
        <v>11</v>
      </c>
      <c r="D73">
        <f t="shared" si="22"/>
        <v>180</v>
      </c>
      <c r="E73">
        <f t="shared" si="23"/>
        <v>90</v>
      </c>
      <c r="F73">
        <f t="shared" si="24"/>
        <v>18.48</v>
      </c>
      <c r="G73">
        <f t="shared" si="25"/>
        <v>0.99</v>
      </c>
      <c r="H73">
        <f t="shared" si="26"/>
        <v>49.896000000000001</v>
      </c>
      <c r="I73">
        <f t="shared" si="27"/>
        <v>554.4</v>
      </c>
      <c r="J73">
        <f t="shared" si="28"/>
        <v>396</v>
      </c>
      <c r="K73">
        <f t="shared" si="29"/>
        <v>35.64</v>
      </c>
      <c r="L73">
        <f t="shared" si="30"/>
        <v>4.9895999999999994</v>
      </c>
      <c r="M73">
        <f t="shared" si="31"/>
        <v>4.9008959999999995</v>
      </c>
      <c r="N73">
        <f t="shared" si="32"/>
        <v>2.5502399999999996</v>
      </c>
      <c r="O73">
        <f t="shared" si="33"/>
        <v>3.5220705882352941</v>
      </c>
      <c r="P73">
        <f t="shared" si="34"/>
        <v>1.6328293736501076</v>
      </c>
      <c r="Q73">
        <f t="shared" si="35"/>
        <v>50.4</v>
      </c>
      <c r="R73">
        <f t="shared" si="36"/>
        <v>264</v>
      </c>
      <c r="S73">
        <f t="shared" si="37"/>
        <v>306.89999999999998</v>
      </c>
      <c r="T73">
        <f t="shared" si="38"/>
        <v>89.1</v>
      </c>
      <c r="U73">
        <f>I73*E73/'[1]Inverter Analysis'!$L$2</f>
        <v>119.56596681192362</v>
      </c>
      <c r="V73">
        <f t="shared" si="39"/>
        <v>202.02020202020202</v>
      </c>
      <c r="W73">
        <f t="shared" si="40"/>
        <v>260.67122841316393</v>
      </c>
      <c r="X73">
        <f t="shared" si="41"/>
        <v>144.3001443001443</v>
      </c>
      <c r="Y73">
        <f t="shared" si="42"/>
        <v>1.0192423398364181</v>
      </c>
      <c r="Z73">
        <f t="shared" si="43"/>
        <v>0.90655574625000002</v>
      </c>
    </row>
    <row r="74" spans="1:26">
      <c r="A74">
        <v>11</v>
      </c>
      <c r="B74">
        <v>2</v>
      </c>
      <c r="C74" s="1">
        <v>11</v>
      </c>
      <c r="D74">
        <f t="shared" si="22"/>
        <v>180</v>
      </c>
      <c r="E74">
        <f t="shared" si="23"/>
        <v>90</v>
      </c>
      <c r="F74">
        <f t="shared" si="24"/>
        <v>16.940000000000001</v>
      </c>
      <c r="G74">
        <f t="shared" si="25"/>
        <v>0.90749999999999986</v>
      </c>
      <c r="H74">
        <f t="shared" si="26"/>
        <v>45.738000000000007</v>
      </c>
      <c r="I74">
        <f t="shared" si="27"/>
        <v>508.20000000000005</v>
      </c>
      <c r="J74">
        <f t="shared" si="28"/>
        <v>363</v>
      </c>
      <c r="K74">
        <f t="shared" si="29"/>
        <v>32.67</v>
      </c>
      <c r="L74">
        <f t="shared" si="30"/>
        <v>4.5738000000000003</v>
      </c>
      <c r="M74">
        <f t="shared" si="31"/>
        <v>4.4924880000000007</v>
      </c>
      <c r="N74">
        <f t="shared" si="32"/>
        <v>2.3377200000000005</v>
      </c>
      <c r="O74">
        <f t="shared" si="33"/>
        <v>3.2285647058823534</v>
      </c>
      <c r="P74">
        <f t="shared" si="34"/>
        <v>1.4967602591792657</v>
      </c>
      <c r="Q74">
        <f t="shared" si="35"/>
        <v>46.2</v>
      </c>
      <c r="R74">
        <f t="shared" si="36"/>
        <v>242</v>
      </c>
      <c r="S74">
        <f t="shared" si="37"/>
        <v>281.32500000000005</v>
      </c>
      <c r="T74">
        <f t="shared" si="38"/>
        <v>81.674999999999983</v>
      </c>
      <c r="U74">
        <f>I74*E74/'[1]Inverter Analysis'!$L$2</f>
        <v>109.60213624426333</v>
      </c>
      <c r="V74">
        <f t="shared" si="39"/>
        <v>220.38567493112947</v>
      </c>
      <c r="W74">
        <f t="shared" si="40"/>
        <v>284.36861281436057</v>
      </c>
      <c r="X74">
        <f t="shared" si="41"/>
        <v>157.41833923652104</v>
      </c>
      <c r="Y74">
        <f t="shared" si="42"/>
        <v>1.2129826193094557</v>
      </c>
      <c r="Z74">
        <f t="shared" si="43"/>
        <v>0.69827876056640648</v>
      </c>
    </row>
    <row r="75" spans="1:26">
      <c r="A75">
        <v>10</v>
      </c>
      <c r="B75">
        <v>2</v>
      </c>
      <c r="C75" s="1">
        <v>11</v>
      </c>
      <c r="D75">
        <f t="shared" si="22"/>
        <v>180</v>
      </c>
      <c r="E75">
        <f t="shared" si="23"/>
        <v>90</v>
      </c>
      <c r="F75">
        <f t="shared" si="24"/>
        <v>15.4</v>
      </c>
      <c r="G75">
        <f t="shared" si="25"/>
        <v>0.82499999999999996</v>
      </c>
      <c r="H75">
        <f t="shared" si="26"/>
        <v>41.58</v>
      </c>
      <c r="I75">
        <f t="shared" si="27"/>
        <v>462</v>
      </c>
      <c r="J75">
        <f t="shared" si="28"/>
        <v>330</v>
      </c>
      <c r="K75">
        <f t="shared" si="29"/>
        <v>29.7</v>
      </c>
      <c r="L75">
        <f t="shared" si="30"/>
        <v>4.1580000000000004</v>
      </c>
      <c r="M75">
        <f t="shared" si="31"/>
        <v>4.0840800000000002</v>
      </c>
      <c r="N75">
        <f t="shared" si="32"/>
        <v>2.1252</v>
      </c>
      <c r="O75">
        <f t="shared" si="33"/>
        <v>2.9350588235294124</v>
      </c>
      <c r="P75">
        <f t="shared" si="34"/>
        <v>1.3606911447084231</v>
      </c>
      <c r="Q75">
        <f t="shared" si="35"/>
        <v>42</v>
      </c>
      <c r="R75">
        <f t="shared" si="36"/>
        <v>220</v>
      </c>
      <c r="S75">
        <f t="shared" si="37"/>
        <v>255.75</v>
      </c>
      <c r="T75">
        <f t="shared" si="38"/>
        <v>74.25</v>
      </c>
      <c r="U75">
        <f>I75*E75/'[1]Inverter Analysis'!$L$2</f>
        <v>99.638305676603011</v>
      </c>
      <c r="V75">
        <f t="shared" si="39"/>
        <v>242.42424242424244</v>
      </c>
      <c r="W75">
        <f t="shared" si="40"/>
        <v>312.80547409579668</v>
      </c>
      <c r="X75">
        <f t="shared" si="41"/>
        <v>173.16017316017317</v>
      </c>
      <c r="Y75">
        <f t="shared" si="42"/>
        <v>1.4677089693644421</v>
      </c>
      <c r="Z75">
        <f t="shared" si="43"/>
        <v>0.52462716796874997</v>
      </c>
    </row>
    <row r="76" spans="1:26">
      <c r="A76" s="8">
        <v>16</v>
      </c>
      <c r="B76" s="1">
        <v>6</v>
      </c>
      <c r="C76" s="1">
        <v>10</v>
      </c>
      <c r="D76">
        <f t="shared" si="22"/>
        <v>540</v>
      </c>
      <c r="E76">
        <f t="shared" si="23"/>
        <v>270</v>
      </c>
      <c r="F76">
        <f t="shared" si="24"/>
        <v>67.2</v>
      </c>
      <c r="G76">
        <f t="shared" si="25"/>
        <v>0.4</v>
      </c>
      <c r="H76">
        <f t="shared" si="26"/>
        <v>181.44</v>
      </c>
      <c r="I76">
        <f t="shared" si="27"/>
        <v>672</v>
      </c>
      <c r="J76">
        <f t="shared" si="28"/>
        <v>480</v>
      </c>
      <c r="K76">
        <f t="shared" si="29"/>
        <v>129.6</v>
      </c>
      <c r="L76">
        <f t="shared" si="30"/>
        <v>18.143999999999998</v>
      </c>
      <c r="M76">
        <f t="shared" si="31"/>
        <v>17.821439999999999</v>
      </c>
      <c r="N76">
        <f t="shared" si="32"/>
        <v>9.2735999999999983</v>
      </c>
      <c r="O76">
        <f t="shared" si="33"/>
        <v>12.807529411764705</v>
      </c>
      <c r="P76">
        <f t="shared" si="34"/>
        <v>6.5313174946004322</v>
      </c>
      <c r="Q76">
        <f t="shared" si="35"/>
        <v>67.2</v>
      </c>
      <c r="R76">
        <f t="shared" si="36"/>
        <v>960</v>
      </c>
      <c r="S76">
        <f t="shared" si="37"/>
        <v>372</v>
      </c>
      <c r="T76">
        <f t="shared" si="38"/>
        <v>108</v>
      </c>
      <c r="U76">
        <f>I76*E76/'[1]Inverter Analysis'!$L$2</f>
        <v>434.78533386154038</v>
      </c>
      <c r="V76">
        <f t="shared" si="39"/>
        <v>166.66666666666666</v>
      </c>
      <c r="W76">
        <f t="shared" si="40"/>
        <v>215.05376344086022</v>
      </c>
      <c r="X76">
        <f t="shared" si="41"/>
        <v>119.04761904761905</v>
      </c>
      <c r="Y76">
        <f t="shared" si="42"/>
        <v>0.69372181755116191</v>
      </c>
      <c r="Z76">
        <f t="shared" si="43"/>
        <v>4.8434400000000002</v>
      </c>
    </row>
    <row r="77" spans="1:26">
      <c r="A77" s="8">
        <v>15</v>
      </c>
      <c r="B77" s="1">
        <v>6</v>
      </c>
      <c r="C77" s="1">
        <v>10</v>
      </c>
      <c r="D77">
        <f t="shared" si="22"/>
        <v>540</v>
      </c>
      <c r="E77">
        <f t="shared" si="23"/>
        <v>270</v>
      </c>
      <c r="F77">
        <f t="shared" si="24"/>
        <v>63</v>
      </c>
      <c r="G77">
        <f t="shared" si="25"/>
        <v>0.375</v>
      </c>
      <c r="H77">
        <f t="shared" si="26"/>
        <v>170.1</v>
      </c>
      <c r="I77">
        <f t="shared" si="27"/>
        <v>630</v>
      </c>
      <c r="J77">
        <f t="shared" si="28"/>
        <v>450</v>
      </c>
      <c r="K77">
        <f t="shared" si="29"/>
        <v>121.5</v>
      </c>
      <c r="L77">
        <f t="shared" si="30"/>
        <v>17.010000000000002</v>
      </c>
      <c r="M77">
        <f t="shared" si="31"/>
        <v>16.707599999999999</v>
      </c>
      <c r="N77">
        <f t="shared" si="32"/>
        <v>8.6940000000000008</v>
      </c>
      <c r="O77">
        <f t="shared" si="33"/>
        <v>12.007058823529414</v>
      </c>
      <c r="P77">
        <f t="shared" si="34"/>
        <v>6.1231101511879045</v>
      </c>
      <c r="Q77">
        <f t="shared" si="35"/>
        <v>63</v>
      </c>
      <c r="R77">
        <f t="shared" si="36"/>
        <v>900</v>
      </c>
      <c r="S77">
        <f t="shared" si="37"/>
        <v>348.75</v>
      </c>
      <c r="T77">
        <f t="shared" si="38"/>
        <v>101.25</v>
      </c>
      <c r="U77">
        <f>I77*E77/'[1]Inverter Analysis'!$L$2</f>
        <v>407.61125049519416</v>
      </c>
      <c r="V77">
        <f t="shared" si="39"/>
        <v>177.77777777777777</v>
      </c>
      <c r="W77">
        <f t="shared" si="40"/>
        <v>229.39068100358423</v>
      </c>
      <c r="X77">
        <f t="shared" si="41"/>
        <v>126.98412698412699</v>
      </c>
      <c r="Y77">
        <f t="shared" si="42"/>
        <v>0.7893012679693221</v>
      </c>
      <c r="Z77">
        <f t="shared" si="43"/>
        <v>3.9908715820312497</v>
      </c>
    </row>
    <row r="78" spans="1:26">
      <c r="A78">
        <v>14</v>
      </c>
      <c r="B78" s="1">
        <v>6</v>
      </c>
      <c r="C78" s="1">
        <v>10</v>
      </c>
      <c r="D78">
        <f t="shared" si="22"/>
        <v>540</v>
      </c>
      <c r="E78">
        <f t="shared" si="23"/>
        <v>270</v>
      </c>
      <c r="F78">
        <f t="shared" si="24"/>
        <v>58.8</v>
      </c>
      <c r="G78">
        <f t="shared" si="25"/>
        <v>0.35000000000000003</v>
      </c>
      <c r="H78">
        <f t="shared" si="26"/>
        <v>158.76</v>
      </c>
      <c r="I78">
        <f t="shared" si="27"/>
        <v>588</v>
      </c>
      <c r="J78">
        <f t="shared" si="28"/>
        <v>420</v>
      </c>
      <c r="K78">
        <f t="shared" si="29"/>
        <v>113.4</v>
      </c>
      <c r="L78">
        <f t="shared" si="30"/>
        <v>15.875999999999999</v>
      </c>
      <c r="M78">
        <f t="shared" si="31"/>
        <v>15.59376</v>
      </c>
      <c r="N78">
        <f t="shared" si="32"/>
        <v>8.1143999999999998</v>
      </c>
      <c r="O78">
        <f t="shared" si="33"/>
        <v>11.206588235294118</v>
      </c>
      <c r="P78">
        <f t="shared" si="34"/>
        <v>5.7149028077753776</v>
      </c>
      <c r="Q78">
        <f t="shared" si="35"/>
        <v>58.8</v>
      </c>
      <c r="R78">
        <f t="shared" si="36"/>
        <v>840</v>
      </c>
      <c r="S78">
        <f t="shared" si="37"/>
        <v>325.5</v>
      </c>
      <c r="T78">
        <f t="shared" si="38"/>
        <v>94.500000000000014</v>
      </c>
      <c r="U78">
        <f>I78*E78/'[1]Inverter Analysis'!$L$2</f>
        <v>380.43716712884788</v>
      </c>
      <c r="V78">
        <f t="shared" si="39"/>
        <v>190.47619047619048</v>
      </c>
      <c r="W78">
        <f t="shared" si="40"/>
        <v>245.77572964669739</v>
      </c>
      <c r="X78">
        <f t="shared" si="41"/>
        <v>136.05442176870747</v>
      </c>
      <c r="Y78">
        <f t="shared" si="42"/>
        <v>0.90608563925049723</v>
      </c>
      <c r="Z78">
        <f t="shared" si="43"/>
        <v>3.2447264062500003</v>
      </c>
    </row>
    <row r="79" spans="1:26">
      <c r="A79">
        <v>13</v>
      </c>
      <c r="B79" s="1">
        <v>6</v>
      </c>
      <c r="C79" s="1">
        <v>10</v>
      </c>
      <c r="D79">
        <f t="shared" si="22"/>
        <v>540</v>
      </c>
      <c r="E79">
        <f t="shared" si="23"/>
        <v>270</v>
      </c>
      <c r="F79">
        <f t="shared" si="24"/>
        <v>54.6</v>
      </c>
      <c r="G79">
        <f t="shared" si="25"/>
        <v>0.32500000000000001</v>
      </c>
      <c r="H79">
        <f t="shared" si="26"/>
        <v>147.41999999999999</v>
      </c>
      <c r="I79">
        <f t="shared" si="27"/>
        <v>546</v>
      </c>
      <c r="J79">
        <f t="shared" si="28"/>
        <v>390</v>
      </c>
      <c r="K79">
        <f t="shared" si="29"/>
        <v>105.3</v>
      </c>
      <c r="L79">
        <f t="shared" si="30"/>
        <v>14.742000000000001</v>
      </c>
      <c r="M79">
        <f t="shared" si="31"/>
        <v>14.479920000000002</v>
      </c>
      <c r="N79">
        <f t="shared" si="32"/>
        <v>7.5347999999999988</v>
      </c>
      <c r="O79">
        <f t="shared" si="33"/>
        <v>10.406117647058824</v>
      </c>
      <c r="P79">
        <f t="shared" si="34"/>
        <v>5.3066954643628508</v>
      </c>
      <c r="Q79">
        <f t="shared" si="35"/>
        <v>54.6</v>
      </c>
      <c r="R79">
        <f t="shared" si="36"/>
        <v>780</v>
      </c>
      <c r="S79">
        <f t="shared" si="37"/>
        <v>302.25</v>
      </c>
      <c r="T79">
        <f t="shared" si="38"/>
        <v>87.75</v>
      </c>
      <c r="U79">
        <f>I79*E79/'[1]Inverter Analysis'!$L$2</f>
        <v>353.26308376250159</v>
      </c>
      <c r="V79">
        <f t="shared" si="39"/>
        <v>205.12820512820514</v>
      </c>
      <c r="W79">
        <f t="shared" si="40"/>
        <v>264.68155500413565</v>
      </c>
      <c r="X79">
        <f t="shared" si="41"/>
        <v>146.52014652014651</v>
      </c>
      <c r="Y79">
        <f t="shared" si="42"/>
        <v>1.0508448833911093</v>
      </c>
      <c r="Z79">
        <f t="shared" si="43"/>
        <v>2.5979095898437499</v>
      </c>
    </row>
    <row r="80" spans="1:26">
      <c r="A80">
        <v>12</v>
      </c>
      <c r="B80" s="1">
        <v>6</v>
      </c>
      <c r="C80" s="1">
        <v>10</v>
      </c>
      <c r="D80">
        <f t="shared" si="22"/>
        <v>540</v>
      </c>
      <c r="E80">
        <f t="shared" si="23"/>
        <v>270</v>
      </c>
      <c r="F80">
        <f t="shared" si="24"/>
        <v>50.4</v>
      </c>
      <c r="G80">
        <f t="shared" si="25"/>
        <v>0.3</v>
      </c>
      <c r="H80">
        <f t="shared" si="26"/>
        <v>136.08000000000001</v>
      </c>
      <c r="I80">
        <f t="shared" si="27"/>
        <v>504</v>
      </c>
      <c r="J80">
        <f t="shared" si="28"/>
        <v>360</v>
      </c>
      <c r="K80">
        <f t="shared" si="29"/>
        <v>97.2</v>
      </c>
      <c r="L80">
        <f t="shared" si="30"/>
        <v>13.608000000000001</v>
      </c>
      <c r="M80">
        <f t="shared" si="31"/>
        <v>13.366079999999998</v>
      </c>
      <c r="N80">
        <f t="shared" si="32"/>
        <v>6.9551999999999987</v>
      </c>
      <c r="O80">
        <f t="shared" si="33"/>
        <v>9.6056470588235303</v>
      </c>
      <c r="P80">
        <f t="shared" si="34"/>
        <v>4.8984881209503239</v>
      </c>
      <c r="Q80">
        <f t="shared" si="35"/>
        <v>50.4</v>
      </c>
      <c r="R80">
        <f t="shared" si="36"/>
        <v>720</v>
      </c>
      <c r="S80">
        <f t="shared" si="37"/>
        <v>279</v>
      </c>
      <c r="T80">
        <f t="shared" si="38"/>
        <v>81</v>
      </c>
      <c r="U80">
        <f>I80*E80/'[1]Inverter Analysis'!$L$2</f>
        <v>326.08900039615531</v>
      </c>
      <c r="V80">
        <f t="shared" si="39"/>
        <v>222.22222222222223</v>
      </c>
      <c r="W80">
        <f t="shared" si="40"/>
        <v>286.73835125448028</v>
      </c>
      <c r="X80">
        <f t="shared" si="41"/>
        <v>158.73015873015873</v>
      </c>
      <c r="Y80">
        <f t="shared" si="42"/>
        <v>1.2332832312020658</v>
      </c>
      <c r="Z80">
        <f t="shared" si="43"/>
        <v>2.0433262499999998</v>
      </c>
    </row>
    <row r="81" spans="1:26">
      <c r="A81">
        <v>11</v>
      </c>
      <c r="B81" s="1">
        <v>6</v>
      </c>
      <c r="C81" s="1">
        <v>10</v>
      </c>
      <c r="D81">
        <f t="shared" si="22"/>
        <v>540</v>
      </c>
      <c r="E81">
        <f t="shared" si="23"/>
        <v>270</v>
      </c>
      <c r="F81">
        <f t="shared" si="24"/>
        <v>46.2</v>
      </c>
      <c r="G81">
        <f t="shared" si="25"/>
        <v>0.27500000000000002</v>
      </c>
      <c r="H81">
        <f t="shared" si="26"/>
        <v>124.74</v>
      </c>
      <c r="I81">
        <f t="shared" si="27"/>
        <v>462</v>
      </c>
      <c r="J81">
        <f t="shared" si="28"/>
        <v>330</v>
      </c>
      <c r="K81">
        <f t="shared" si="29"/>
        <v>89.1</v>
      </c>
      <c r="L81">
        <f t="shared" si="30"/>
        <v>12.474</v>
      </c>
      <c r="M81">
        <f t="shared" si="31"/>
        <v>12.25224</v>
      </c>
      <c r="N81">
        <f t="shared" si="32"/>
        <v>6.3755999999999995</v>
      </c>
      <c r="O81">
        <f t="shared" si="33"/>
        <v>8.8051764705882363</v>
      </c>
      <c r="P81">
        <f t="shared" si="34"/>
        <v>4.4902807775377962</v>
      </c>
      <c r="Q81">
        <f t="shared" si="35"/>
        <v>46.2</v>
      </c>
      <c r="R81">
        <f t="shared" si="36"/>
        <v>660</v>
      </c>
      <c r="S81">
        <f t="shared" si="37"/>
        <v>255.75</v>
      </c>
      <c r="T81">
        <f t="shared" si="38"/>
        <v>74.25</v>
      </c>
      <c r="U81">
        <f>I81*E81/'[1]Inverter Analysis'!$L$2</f>
        <v>298.91491702980903</v>
      </c>
      <c r="V81">
        <f t="shared" si="39"/>
        <v>242.42424242424244</v>
      </c>
      <c r="W81">
        <f t="shared" si="40"/>
        <v>312.80547409579668</v>
      </c>
      <c r="X81">
        <f t="shared" si="41"/>
        <v>173.16017316017317</v>
      </c>
      <c r="Y81">
        <f t="shared" si="42"/>
        <v>1.4677089693644421</v>
      </c>
      <c r="Z81">
        <f t="shared" si="43"/>
        <v>1.5738815039062497</v>
      </c>
    </row>
    <row r="82" spans="1:26">
      <c r="A82">
        <v>10</v>
      </c>
      <c r="B82" s="1">
        <v>6</v>
      </c>
      <c r="C82" s="1">
        <v>10</v>
      </c>
      <c r="D82">
        <f t="shared" si="22"/>
        <v>540</v>
      </c>
      <c r="E82">
        <f t="shared" si="23"/>
        <v>270</v>
      </c>
      <c r="F82">
        <f t="shared" si="24"/>
        <v>42</v>
      </c>
      <c r="G82">
        <f t="shared" si="25"/>
        <v>0.25</v>
      </c>
      <c r="H82">
        <f t="shared" si="26"/>
        <v>113.4</v>
      </c>
      <c r="I82">
        <f t="shared" si="27"/>
        <v>420</v>
      </c>
      <c r="J82">
        <f t="shared" si="28"/>
        <v>300</v>
      </c>
      <c r="K82">
        <f t="shared" si="29"/>
        <v>81</v>
      </c>
      <c r="L82">
        <f t="shared" si="30"/>
        <v>11.34</v>
      </c>
      <c r="M82">
        <f t="shared" si="31"/>
        <v>11.138399999999999</v>
      </c>
      <c r="N82">
        <f t="shared" si="32"/>
        <v>5.7959999999999994</v>
      </c>
      <c r="O82">
        <f t="shared" si="33"/>
        <v>8.0047058823529422</v>
      </c>
      <c r="P82">
        <f t="shared" si="34"/>
        <v>4.0820734341252694</v>
      </c>
      <c r="Q82">
        <f t="shared" si="35"/>
        <v>42</v>
      </c>
      <c r="R82">
        <f t="shared" si="36"/>
        <v>600</v>
      </c>
      <c r="S82">
        <f t="shared" si="37"/>
        <v>232.5</v>
      </c>
      <c r="T82">
        <f t="shared" si="38"/>
        <v>67.5</v>
      </c>
      <c r="U82">
        <f>I82*E82/'[1]Inverter Analysis'!$L$2</f>
        <v>271.74083366346275</v>
      </c>
      <c r="V82">
        <f t="shared" si="39"/>
        <v>266.66666666666669</v>
      </c>
      <c r="W82">
        <f t="shared" si="40"/>
        <v>344.08602150537632</v>
      </c>
      <c r="X82">
        <f t="shared" si="41"/>
        <v>190.47619047619048</v>
      </c>
      <c r="Y82">
        <f t="shared" si="42"/>
        <v>1.7759278529309745</v>
      </c>
      <c r="Z82">
        <f t="shared" si="43"/>
        <v>1.1824804687500001</v>
      </c>
    </row>
    <row r="83" spans="1:26">
      <c r="A83" s="8">
        <v>16</v>
      </c>
      <c r="B83" s="9">
        <v>5</v>
      </c>
      <c r="C83" s="1">
        <v>10</v>
      </c>
      <c r="D83">
        <f t="shared" si="22"/>
        <v>450</v>
      </c>
      <c r="E83">
        <f t="shared" si="23"/>
        <v>225</v>
      </c>
      <c r="F83">
        <f t="shared" si="24"/>
        <v>56</v>
      </c>
      <c r="G83">
        <f t="shared" si="25"/>
        <v>0.47999999999999993</v>
      </c>
      <c r="H83">
        <f t="shared" si="26"/>
        <v>151.19999999999999</v>
      </c>
      <c r="I83">
        <f t="shared" si="27"/>
        <v>672</v>
      </c>
      <c r="J83">
        <f t="shared" si="28"/>
        <v>480</v>
      </c>
      <c r="K83">
        <f t="shared" si="29"/>
        <v>108</v>
      </c>
      <c r="L83">
        <f t="shared" si="30"/>
        <v>15.12</v>
      </c>
      <c r="M83">
        <f t="shared" si="31"/>
        <v>14.851199999999999</v>
      </c>
      <c r="N83">
        <f t="shared" si="32"/>
        <v>7.7279999999999998</v>
      </c>
      <c r="O83">
        <f t="shared" si="33"/>
        <v>10.672941176470589</v>
      </c>
      <c r="P83">
        <f t="shared" si="34"/>
        <v>5.4427645788336934</v>
      </c>
      <c r="Q83">
        <f t="shared" si="35"/>
        <v>67.2</v>
      </c>
      <c r="R83">
        <f t="shared" si="36"/>
        <v>800</v>
      </c>
      <c r="S83">
        <f t="shared" si="37"/>
        <v>372</v>
      </c>
      <c r="T83">
        <f t="shared" si="38"/>
        <v>107.99999999999999</v>
      </c>
      <c r="U83">
        <f>I83*E83/'[1]Inverter Analysis'!$L$2</f>
        <v>362.32111155128365</v>
      </c>
      <c r="V83">
        <f t="shared" si="39"/>
        <v>166.66666666666666</v>
      </c>
      <c r="W83">
        <f t="shared" si="40"/>
        <v>215.05376344086022</v>
      </c>
      <c r="X83">
        <f t="shared" si="41"/>
        <v>119.04761904761905</v>
      </c>
      <c r="Y83">
        <f t="shared" si="42"/>
        <v>0.69372181755116191</v>
      </c>
      <c r="Z83">
        <f t="shared" si="43"/>
        <v>4.0362</v>
      </c>
    </row>
    <row r="84" spans="1:26">
      <c r="A84" s="8">
        <v>15</v>
      </c>
      <c r="B84" s="9">
        <v>5</v>
      </c>
      <c r="C84" s="1">
        <v>10</v>
      </c>
      <c r="D84">
        <f t="shared" si="22"/>
        <v>450</v>
      </c>
      <c r="E84">
        <f t="shared" si="23"/>
        <v>225</v>
      </c>
      <c r="F84">
        <f t="shared" si="24"/>
        <v>52.5</v>
      </c>
      <c r="G84">
        <f t="shared" si="25"/>
        <v>0.4499999999999999</v>
      </c>
      <c r="H84">
        <f t="shared" si="26"/>
        <v>141.75</v>
      </c>
      <c r="I84">
        <f t="shared" si="27"/>
        <v>630</v>
      </c>
      <c r="J84">
        <f t="shared" si="28"/>
        <v>450</v>
      </c>
      <c r="K84">
        <f t="shared" si="29"/>
        <v>101.25</v>
      </c>
      <c r="L84">
        <f t="shared" si="30"/>
        <v>14.175000000000001</v>
      </c>
      <c r="M84">
        <f t="shared" si="31"/>
        <v>13.923</v>
      </c>
      <c r="N84">
        <f t="shared" si="32"/>
        <v>7.2450000000000001</v>
      </c>
      <c r="O84">
        <f t="shared" si="33"/>
        <v>10.005882352941178</v>
      </c>
      <c r="P84">
        <f t="shared" si="34"/>
        <v>5.1025917926565878</v>
      </c>
      <c r="Q84">
        <f t="shared" si="35"/>
        <v>63</v>
      </c>
      <c r="R84">
        <f t="shared" si="36"/>
        <v>750</v>
      </c>
      <c r="S84">
        <f t="shared" si="37"/>
        <v>348.75</v>
      </c>
      <c r="T84">
        <f t="shared" si="38"/>
        <v>101.24999999999997</v>
      </c>
      <c r="U84">
        <f>I84*E84/'[1]Inverter Analysis'!$L$2</f>
        <v>339.67604207932845</v>
      </c>
      <c r="V84">
        <f t="shared" si="39"/>
        <v>177.77777777777777</v>
      </c>
      <c r="W84">
        <f t="shared" si="40"/>
        <v>229.39068100358423</v>
      </c>
      <c r="X84">
        <f t="shared" si="41"/>
        <v>126.98412698412699</v>
      </c>
      <c r="Y84">
        <f t="shared" si="42"/>
        <v>0.7893012679693221</v>
      </c>
      <c r="Z84">
        <f t="shared" si="43"/>
        <v>3.3257263183593748</v>
      </c>
    </row>
    <row r="85" spans="1:26">
      <c r="A85">
        <v>14</v>
      </c>
      <c r="B85" s="9">
        <v>5</v>
      </c>
      <c r="C85" s="1">
        <v>10</v>
      </c>
      <c r="D85">
        <f t="shared" si="22"/>
        <v>450</v>
      </c>
      <c r="E85">
        <f t="shared" si="23"/>
        <v>225</v>
      </c>
      <c r="F85">
        <f t="shared" si="24"/>
        <v>49</v>
      </c>
      <c r="G85">
        <f t="shared" si="25"/>
        <v>0.41999999999999993</v>
      </c>
      <c r="H85">
        <f t="shared" si="26"/>
        <v>132.30000000000001</v>
      </c>
      <c r="I85">
        <f t="shared" si="27"/>
        <v>588</v>
      </c>
      <c r="J85">
        <f t="shared" si="28"/>
        <v>420</v>
      </c>
      <c r="K85">
        <f t="shared" si="29"/>
        <v>94.5</v>
      </c>
      <c r="L85">
        <f t="shared" si="30"/>
        <v>13.23</v>
      </c>
      <c r="M85">
        <f t="shared" si="31"/>
        <v>12.9948</v>
      </c>
      <c r="N85">
        <f t="shared" si="32"/>
        <v>6.7619999999999987</v>
      </c>
      <c r="O85">
        <f t="shared" si="33"/>
        <v>9.3388235294117656</v>
      </c>
      <c r="P85">
        <f t="shared" si="34"/>
        <v>4.7624190064794814</v>
      </c>
      <c r="Q85">
        <f t="shared" si="35"/>
        <v>58.8</v>
      </c>
      <c r="R85">
        <f t="shared" si="36"/>
        <v>700</v>
      </c>
      <c r="S85">
        <f t="shared" si="37"/>
        <v>325.5</v>
      </c>
      <c r="T85">
        <f t="shared" si="38"/>
        <v>94.499999999999986</v>
      </c>
      <c r="U85">
        <f>I85*E85/'[1]Inverter Analysis'!$L$2</f>
        <v>317.0309726073732</v>
      </c>
      <c r="V85">
        <f t="shared" si="39"/>
        <v>190.47619047619048</v>
      </c>
      <c r="W85">
        <f t="shared" si="40"/>
        <v>245.77572964669739</v>
      </c>
      <c r="X85">
        <f t="shared" si="41"/>
        <v>136.05442176870747</v>
      </c>
      <c r="Y85">
        <f t="shared" si="42"/>
        <v>0.90608563925049723</v>
      </c>
      <c r="Z85">
        <f t="shared" si="43"/>
        <v>2.703938671875</v>
      </c>
    </row>
    <row r="86" spans="1:26">
      <c r="A86">
        <v>13</v>
      </c>
      <c r="B86" s="9">
        <v>5</v>
      </c>
      <c r="C86" s="1">
        <v>10</v>
      </c>
      <c r="D86">
        <f t="shared" si="22"/>
        <v>450</v>
      </c>
      <c r="E86">
        <f t="shared" si="23"/>
        <v>225</v>
      </c>
      <c r="F86">
        <f t="shared" si="24"/>
        <v>45.5</v>
      </c>
      <c r="G86">
        <f t="shared" si="25"/>
        <v>0.3899999999999999</v>
      </c>
      <c r="H86">
        <f t="shared" si="26"/>
        <v>122.85</v>
      </c>
      <c r="I86">
        <f t="shared" si="27"/>
        <v>546</v>
      </c>
      <c r="J86">
        <f t="shared" si="28"/>
        <v>390</v>
      </c>
      <c r="K86">
        <f t="shared" si="29"/>
        <v>87.75</v>
      </c>
      <c r="L86">
        <f t="shared" si="30"/>
        <v>12.285</v>
      </c>
      <c r="M86">
        <f t="shared" si="31"/>
        <v>12.066600000000001</v>
      </c>
      <c r="N86">
        <f t="shared" si="32"/>
        <v>6.2789999999999999</v>
      </c>
      <c r="O86">
        <f t="shared" si="33"/>
        <v>8.671764705882353</v>
      </c>
      <c r="P86">
        <f t="shared" si="34"/>
        <v>4.4222462203023758</v>
      </c>
      <c r="Q86">
        <f t="shared" si="35"/>
        <v>54.6</v>
      </c>
      <c r="R86">
        <f t="shared" si="36"/>
        <v>650</v>
      </c>
      <c r="S86">
        <f t="shared" si="37"/>
        <v>302.25</v>
      </c>
      <c r="T86">
        <f t="shared" si="38"/>
        <v>87.749999999999972</v>
      </c>
      <c r="U86">
        <f>I86*E86/'[1]Inverter Analysis'!$L$2</f>
        <v>294.385903135418</v>
      </c>
      <c r="V86">
        <f t="shared" si="39"/>
        <v>205.12820512820514</v>
      </c>
      <c r="W86">
        <f t="shared" si="40"/>
        <v>264.68155500413565</v>
      </c>
      <c r="X86">
        <f t="shared" si="41"/>
        <v>146.52014652014651</v>
      </c>
      <c r="Y86">
        <f t="shared" si="42"/>
        <v>1.0508448833911093</v>
      </c>
      <c r="Z86">
        <f t="shared" si="43"/>
        <v>2.164924658203125</v>
      </c>
    </row>
    <row r="87" spans="1:26">
      <c r="A87">
        <v>12</v>
      </c>
      <c r="B87" s="9">
        <v>5</v>
      </c>
      <c r="C87" s="1">
        <v>10</v>
      </c>
      <c r="D87">
        <f t="shared" si="22"/>
        <v>450</v>
      </c>
      <c r="E87">
        <f t="shared" si="23"/>
        <v>225</v>
      </c>
      <c r="F87">
        <f t="shared" si="24"/>
        <v>42</v>
      </c>
      <c r="G87">
        <f t="shared" si="25"/>
        <v>0.36</v>
      </c>
      <c r="H87">
        <f t="shared" si="26"/>
        <v>113.4</v>
      </c>
      <c r="I87">
        <f t="shared" si="27"/>
        <v>504</v>
      </c>
      <c r="J87">
        <f t="shared" si="28"/>
        <v>360</v>
      </c>
      <c r="K87">
        <f t="shared" si="29"/>
        <v>81</v>
      </c>
      <c r="L87">
        <f t="shared" si="30"/>
        <v>11.34</v>
      </c>
      <c r="M87">
        <f t="shared" si="31"/>
        <v>11.138399999999999</v>
      </c>
      <c r="N87">
        <f t="shared" si="32"/>
        <v>5.7959999999999994</v>
      </c>
      <c r="O87">
        <f t="shared" si="33"/>
        <v>8.0047058823529422</v>
      </c>
      <c r="P87">
        <f t="shared" si="34"/>
        <v>4.0820734341252694</v>
      </c>
      <c r="Q87">
        <f t="shared" si="35"/>
        <v>50.4</v>
      </c>
      <c r="R87">
        <f t="shared" si="36"/>
        <v>600</v>
      </c>
      <c r="S87">
        <f t="shared" si="37"/>
        <v>279</v>
      </c>
      <c r="T87">
        <f t="shared" si="38"/>
        <v>81</v>
      </c>
      <c r="U87">
        <f>I87*E87/'[1]Inverter Analysis'!$L$2</f>
        <v>271.74083366346275</v>
      </c>
      <c r="V87">
        <f t="shared" si="39"/>
        <v>222.22222222222223</v>
      </c>
      <c r="W87">
        <f t="shared" si="40"/>
        <v>286.73835125448028</v>
      </c>
      <c r="X87">
        <f t="shared" si="41"/>
        <v>158.73015873015873</v>
      </c>
      <c r="Y87">
        <f t="shared" si="42"/>
        <v>1.2332832312020658</v>
      </c>
      <c r="Z87">
        <f t="shared" si="43"/>
        <v>1.702771875</v>
      </c>
    </row>
    <row r="88" spans="1:26">
      <c r="A88">
        <v>11</v>
      </c>
      <c r="B88" s="9">
        <v>5</v>
      </c>
      <c r="C88" s="1">
        <v>10</v>
      </c>
      <c r="D88">
        <f t="shared" si="22"/>
        <v>450</v>
      </c>
      <c r="E88">
        <f t="shared" si="23"/>
        <v>225</v>
      </c>
      <c r="F88">
        <f t="shared" si="24"/>
        <v>38.5</v>
      </c>
      <c r="G88">
        <f t="shared" si="25"/>
        <v>0.32999999999999996</v>
      </c>
      <c r="H88">
        <f t="shared" si="26"/>
        <v>103.95</v>
      </c>
      <c r="I88">
        <f t="shared" si="27"/>
        <v>462</v>
      </c>
      <c r="J88">
        <f t="shared" si="28"/>
        <v>330</v>
      </c>
      <c r="K88">
        <f t="shared" si="29"/>
        <v>74.25</v>
      </c>
      <c r="L88">
        <f t="shared" si="30"/>
        <v>10.395</v>
      </c>
      <c r="M88">
        <f t="shared" si="31"/>
        <v>10.2102</v>
      </c>
      <c r="N88">
        <f t="shared" si="32"/>
        <v>5.3129999999999997</v>
      </c>
      <c r="O88">
        <f t="shared" si="33"/>
        <v>7.3376470588235296</v>
      </c>
      <c r="P88">
        <f t="shared" si="34"/>
        <v>3.7419006479481638</v>
      </c>
      <c r="Q88">
        <f t="shared" si="35"/>
        <v>46.2</v>
      </c>
      <c r="R88">
        <f t="shared" si="36"/>
        <v>550</v>
      </c>
      <c r="S88">
        <f t="shared" si="37"/>
        <v>255.75</v>
      </c>
      <c r="T88">
        <f t="shared" si="38"/>
        <v>74.249999999999986</v>
      </c>
      <c r="U88">
        <f>I88*E88/'[1]Inverter Analysis'!$L$2</f>
        <v>249.09576419150753</v>
      </c>
      <c r="V88">
        <f t="shared" si="39"/>
        <v>242.42424242424244</v>
      </c>
      <c r="W88">
        <f t="shared" si="40"/>
        <v>312.80547409579668</v>
      </c>
      <c r="X88">
        <f t="shared" si="41"/>
        <v>173.16017316017317</v>
      </c>
      <c r="Y88">
        <f t="shared" si="42"/>
        <v>1.4677089693644421</v>
      </c>
      <c r="Z88">
        <f t="shared" si="43"/>
        <v>1.3115679199218748</v>
      </c>
    </row>
    <row r="89" spans="1:26">
      <c r="A89">
        <v>10</v>
      </c>
      <c r="B89" s="9">
        <v>5</v>
      </c>
      <c r="C89" s="1">
        <v>10</v>
      </c>
      <c r="D89">
        <f t="shared" si="22"/>
        <v>450</v>
      </c>
      <c r="E89">
        <f t="shared" si="23"/>
        <v>225</v>
      </c>
      <c r="F89">
        <f t="shared" si="24"/>
        <v>35</v>
      </c>
      <c r="G89">
        <f t="shared" si="25"/>
        <v>0.29999999999999993</v>
      </c>
      <c r="H89">
        <f t="shared" si="26"/>
        <v>94.5</v>
      </c>
      <c r="I89">
        <f t="shared" si="27"/>
        <v>420</v>
      </c>
      <c r="J89">
        <f t="shared" si="28"/>
        <v>300</v>
      </c>
      <c r="K89">
        <f t="shared" si="29"/>
        <v>67.5</v>
      </c>
      <c r="L89">
        <f t="shared" si="30"/>
        <v>9.4499999999999993</v>
      </c>
      <c r="M89">
        <f t="shared" si="31"/>
        <v>9.282</v>
      </c>
      <c r="N89">
        <f t="shared" si="32"/>
        <v>4.8299999999999992</v>
      </c>
      <c r="O89">
        <f t="shared" si="33"/>
        <v>6.6705882352941179</v>
      </c>
      <c r="P89">
        <f t="shared" si="34"/>
        <v>3.4017278617710582</v>
      </c>
      <c r="Q89">
        <f t="shared" si="35"/>
        <v>42</v>
      </c>
      <c r="R89">
        <f t="shared" si="36"/>
        <v>500</v>
      </c>
      <c r="S89">
        <f t="shared" si="37"/>
        <v>232.5</v>
      </c>
      <c r="T89">
        <f t="shared" si="38"/>
        <v>67.499999999999986</v>
      </c>
      <c r="U89">
        <f>I89*E89/'[1]Inverter Analysis'!$L$2</f>
        <v>226.4506947195523</v>
      </c>
      <c r="V89">
        <f t="shared" si="39"/>
        <v>266.66666666666669</v>
      </c>
      <c r="W89">
        <f t="shared" si="40"/>
        <v>344.08602150537632</v>
      </c>
      <c r="X89">
        <f t="shared" si="41"/>
        <v>190.47619047619048</v>
      </c>
      <c r="Y89">
        <f t="shared" si="42"/>
        <v>1.7759278529309745</v>
      </c>
      <c r="Z89">
        <f t="shared" si="43"/>
        <v>0.98540039062500018</v>
      </c>
    </row>
    <row r="90" spans="1:26">
      <c r="A90">
        <v>16</v>
      </c>
      <c r="B90">
        <v>4</v>
      </c>
      <c r="C90" s="1">
        <v>10</v>
      </c>
      <c r="D90">
        <f t="shared" si="22"/>
        <v>360</v>
      </c>
      <c r="E90">
        <f t="shared" si="23"/>
        <v>180</v>
      </c>
      <c r="F90">
        <f t="shared" si="24"/>
        <v>44.8</v>
      </c>
      <c r="G90">
        <f t="shared" si="25"/>
        <v>0.6</v>
      </c>
      <c r="H90">
        <f t="shared" si="26"/>
        <v>120.96</v>
      </c>
      <c r="I90">
        <f t="shared" si="27"/>
        <v>672</v>
      </c>
      <c r="J90">
        <f t="shared" si="28"/>
        <v>480</v>
      </c>
      <c r="K90">
        <f t="shared" si="29"/>
        <v>86.4</v>
      </c>
      <c r="L90">
        <f t="shared" si="30"/>
        <v>12.096</v>
      </c>
      <c r="M90">
        <f t="shared" si="31"/>
        <v>11.88096</v>
      </c>
      <c r="N90">
        <f t="shared" si="32"/>
        <v>6.1823999999999995</v>
      </c>
      <c r="O90">
        <f t="shared" si="33"/>
        <v>8.5383529411764716</v>
      </c>
      <c r="P90">
        <f t="shared" si="34"/>
        <v>4.3542116630669545</v>
      </c>
      <c r="Q90">
        <f t="shared" si="35"/>
        <v>67.2</v>
      </c>
      <c r="R90">
        <f t="shared" si="36"/>
        <v>640</v>
      </c>
      <c r="S90">
        <f t="shared" si="37"/>
        <v>372</v>
      </c>
      <c r="T90">
        <f t="shared" si="38"/>
        <v>108</v>
      </c>
      <c r="U90">
        <f>I90*E90/'[1]Inverter Analysis'!$L$2</f>
        <v>289.85688924102692</v>
      </c>
      <c r="V90">
        <f t="shared" si="39"/>
        <v>166.66666666666666</v>
      </c>
      <c r="W90">
        <f t="shared" si="40"/>
        <v>215.05376344086022</v>
      </c>
      <c r="X90">
        <f t="shared" si="41"/>
        <v>119.04761904761905</v>
      </c>
      <c r="Y90">
        <f t="shared" si="42"/>
        <v>0.69372181755116191</v>
      </c>
      <c r="Z90">
        <f t="shared" si="43"/>
        <v>3.2289600000000003</v>
      </c>
    </row>
    <row r="91" spans="1:26">
      <c r="A91">
        <v>15</v>
      </c>
      <c r="B91">
        <v>4</v>
      </c>
      <c r="C91" s="1">
        <v>10</v>
      </c>
      <c r="D91">
        <f t="shared" si="22"/>
        <v>360</v>
      </c>
      <c r="E91">
        <f t="shared" si="23"/>
        <v>180</v>
      </c>
      <c r="F91">
        <f t="shared" si="24"/>
        <v>42</v>
      </c>
      <c r="G91">
        <f t="shared" si="25"/>
        <v>0.5625</v>
      </c>
      <c r="H91">
        <f t="shared" si="26"/>
        <v>113.4</v>
      </c>
      <c r="I91">
        <f t="shared" si="27"/>
        <v>630</v>
      </c>
      <c r="J91">
        <f t="shared" si="28"/>
        <v>450</v>
      </c>
      <c r="K91">
        <f t="shared" si="29"/>
        <v>81</v>
      </c>
      <c r="L91">
        <f t="shared" si="30"/>
        <v>11.34</v>
      </c>
      <c r="M91">
        <f t="shared" si="31"/>
        <v>11.138399999999999</v>
      </c>
      <c r="N91">
        <f t="shared" si="32"/>
        <v>5.7960000000000003</v>
      </c>
      <c r="O91">
        <f t="shared" si="33"/>
        <v>8.0047058823529422</v>
      </c>
      <c r="P91">
        <f t="shared" si="34"/>
        <v>4.0820734341252694</v>
      </c>
      <c r="Q91">
        <f t="shared" si="35"/>
        <v>63</v>
      </c>
      <c r="R91">
        <f t="shared" si="36"/>
        <v>600</v>
      </c>
      <c r="S91">
        <f t="shared" si="37"/>
        <v>348.75</v>
      </c>
      <c r="T91">
        <f t="shared" si="38"/>
        <v>101.25</v>
      </c>
      <c r="U91">
        <f>I91*E91/'[1]Inverter Analysis'!$L$2</f>
        <v>271.74083366346275</v>
      </c>
      <c r="V91">
        <f t="shared" si="39"/>
        <v>177.77777777777777</v>
      </c>
      <c r="W91">
        <f t="shared" si="40"/>
        <v>229.39068100358423</v>
      </c>
      <c r="X91">
        <f t="shared" si="41"/>
        <v>126.98412698412699</v>
      </c>
      <c r="Y91">
        <f t="shared" si="42"/>
        <v>0.7893012679693221</v>
      </c>
      <c r="Z91">
        <f t="shared" si="43"/>
        <v>2.6605810546874995</v>
      </c>
    </row>
    <row r="92" spans="1:26">
      <c r="A92">
        <v>14</v>
      </c>
      <c r="B92">
        <v>4</v>
      </c>
      <c r="C92" s="1">
        <v>10</v>
      </c>
      <c r="D92">
        <f t="shared" si="22"/>
        <v>360</v>
      </c>
      <c r="E92">
        <f t="shared" si="23"/>
        <v>180</v>
      </c>
      <c r="F92">
        <f t="shared" si="24"/>
        <v>39.200000000000003</v>
      </c>
      <c r="G92">
        <f t="shared" si="25"/>
        <v>0.52500000000000002</v>
      </c>
      <c r="H92">
        <f t="shared" si="26"/>
        <v>105.84</v>
      </c>
      <c r="I92">
        <f t="shared" si="27"/>
        <v>588</v>
      </c>
      <c r="J92">
        <f t="shared" si="28"/>
        <v>420</v>
      </c>
      <c r="K92">
        <f t="shared" si="29"/>
        <v>75.599999999999994</v>
      </c>
      <c r="L92">
        <f t="shared" si="30"/>
        <v>10.584</v>
      </c>
      <c r="M92">
        <f t="shared" si="31"/>
        <v>10.39584</v>
      </c>
      <c r="N92">
        <f t="shared" si="32"/>
        <v>5.4095999999999993</v>
      </c>
      <c r="O92">
        <f t="shared" si="33"/>
        <v>7.471058823529412</v>
      </c>
      <c r="P92">
        <f t="shared" si="34"/>
        <v>3.8099352051835851</v>
      </c>
      <c r="Q92">
        <f t="shared" si="35"/>
        <v>58.8</v>
      </c>
      <c r="R92">
        <f t="shared" si="36"/>
        <v>560</v>
      </c>
      <c r="S92">
        <f t="shared" si="37"/>
        <v>325.5</v>
      </c>
      <c r="T92">
        <f t="shared" si="38"/>
        <v>94.5</v>
      </c>
      <c r="U92">
        <f>I92*E92/'[1]Inverter Analysis'!$L$2</f>
        <v>253.62477808589858</v>
      </c>
      <c r="V92">
        <f t="shared" si="39"/>
        <v>190.47619047619048</v>
      </c>
      <c r="W92">
        <f t="shared" si="40"/>
        <v>245.77572964669739</v>
      </c>
      <c r="X92">
        <f t="shared" si="41"/>
        <v>136.05442176870747</v>
      </c>
      <c r="Y92">
        <f t="shared" si="42"/>
        <v>0.90608563925049723</v>
      </c>
      <c r="Z92">
        <f t="shared" si="43"/>
        <v>2.1631509375000002</v>
      </c>
    </row>
    <row r="93" spans="1:26">
      <c r="A93">
        <v>13</v>
      </c>
      <c r="B93">
        <v>4</v>
      </c>
      <c r="C93" s="1">
        <v>10</v>
      </c>
      <c r="D93">
        <f t="shared" si="22"/>
        <v>360</v>
      </c>
      <c r="E93">
        <f t="shared" si="23"/>
        <v>180</v>
      </c>
      <c r="F93">
        <f t="shared" si="24"/>
        <v>36.4</v>
      </c>
      <c r="G93">
        <f t="shared" si="25"/>
        <v>0.48750000000000004</v>
      </c>
      <c r="H93">
        <f t="shared" si="26"/>
        <v>98.28</v>
      </c>
      <c r="I93">
        <f t="shared" si="27"/>
        <v>546</v>
      </c>
      <c r="J93">
        <f t="shared" si="28"/>
        <v>390</v>
      </c>
      <c r="K93">
        <f t="shared" si="29"/>
        <v>70.2</v>
      </c>
      <c r="L93">
        <f t="shared" si="30"/>
        <v>9.8279999999999994</v>
      </c>
      <c r="M93">
        <f t="shared" si="31"/>
        <v>9.6532800000000005</v>
      </c>
      <c r="N93">
        <f t="shared" si="32"/>
        <v>5.0232000000000001</v>
      </c>
      <c r="O93">
        <f t="shared" si="33"/>
        <v>6.9374117647058826</v>
      </c>
      <c r="P93">
        <f t="shared" si="34"/>
        <v>3.5377969762419008</v>
      </c>
      <c r="Q93">
        <f t="shared" si="35"/>
        <v>54.6</v>
      </c>
      <c r="R93">
        <f t="shared" si="36"/>
        <v>520</v>
      </c>
      <c r="S93">
        <f t="shared" si="37"/>
        <v>302.25</v>
      </c>
      <c r="T93">
        <f t="shared" si="38"/>
        <v>87.750000000000014</v>
      </c>
      <c r="U93">
        <f>I93*E93/'[1]Inverter Analysis'!$L$2</f>
        <v>235.50872250833439</v>
      </c>
      <c r="V93">
        <f t="shared" si="39"/>
        <v>205.12820512820514</v>
      </c>
      <c r="W93">
        <f t="shared" si="40"/>
        <v>264.68155500413565</v>
      </c>
      <c r="X93">
        <f t="shared" si="41"/>
        <v>146.52014652014651</v>
      </c>
      <c r="Y93">
        <f t="shared" si="42"/>
        <v>1.0508448833911093</v>
      </c>
      <c r="Z93">
        <f t="shared" si="43"/>
        <v>1.7319397265625001</v>
      </c>
    </row>
    <row r="94" spans="1:26">
      <c r="A94">
        <v>12</v>
      </c>
      <c r="B94">
        <v>4</v>
      </c>
      <c r="C94" s="1">
        <v>10</v>
      </c>
      <c r="D94">
        <f t="shared" si="22"/>
        <v>360</v>
      </c>
      <c r="E94">
        <f t="shared" si="23"/>
        <v>180</v>
      </c>
      <c r="F94">
        <f t="shared" si="24"/>
        <v>33.6</v>
      </c>
      <c r="G94">
        <f t="shared" si="25"/>
        <v>0.44999999999999996</v>
      </c>
      <c r="H94">
        <f t="shared" si="26"/>
        <v>90.72</v>
      </c>
      <c r="I94">
        <f t="shared" si="27"/>
        <v>504</v>
      </c>
      <c r="J94">
        <f t="shared" si="28"/>
        <v>360</v>
      </c>
      <c r="K94">
        <f t="shared" si="29"/>
        <v>64.8</v>
      </c>
      <c r="L94">
        <f t="shared" si="30"/>
        <v>9.0719999999999992</v>
      </c>
      <c r="M94">
        <f t="shared" si="31"/>
        <v>8.9107199999999995</v>
      </c>
      <c r="N94">
        <f t="shared" si="32"/>
        <v>4.6367999999999991</v>
      </c>
      <c r="O94">
        <f t="shared" si="33"/>
        <v>6.4037647058823524</v>
      </c>
      <c r="P94">
        <f t="shared" si="34"/>
        <v>3.2656587473002161</v>
      </c>
      <c r="Q94">
        <f t="shared" si="35"/>
        <v>50.4</v>
      </c>
      <c r="R94">
        <f t="shared" si="36"/>
        <v>480</v>
      </c>
      <c r="S94">
        <f t="shared" si="37"/>
        <v>279</v>
      </c>
      <c r="T94">
        <f t="shared" si="38"/>
        <v>80.999999999999986</v>
      </c>
      <c r="U94">
        <f>I94*E94/'[1]Inverter Analysis'!$L$2</f>
        <v>217.39266693077019</v>
      </c>
      <c r="V94">
        <f t="shared" si="39"/>
        <v>222.22222222222223</v>
      </c>
      <c r="W94">
        <f t="shared" si="40"/>
        <v>286.73835125448028</v>
      </c>
      <c r="X94">
        <f t="shared" si="41"/>
        <v>158.73015873015873</v>
      </c>
      <c r="Y94">
        <f t="shared" si="42"/>
        <v>1.2332832312020658</v>
      </c>
      <c r="Z94">
        <f t="shared" si="43"/>
        <v>1.3622175000000001</v>
      </c>
    </row>
    <row r="95" spans="1:26">
      <c r="A95">
        <v>11</v>
      </c>
      <c r="B95">
        <v>4</v>
      </c>
      <c r="C95" s="1">
        <v>10</v>
      </c>
      <c r="D95">
        <f t="shared" si="22"/>
        <v>360</v>
      </c>
      <c r="E95">
        <f t="shared" si="23"/>
        <v>180</v>
      </c>
      <c r="F95">
        <f t="shared" si="24"/>
        <v>30.8</v>
      </c>
      <c r="G95">
        <f t="shared" si="25"/>
        <v>0.41249999999999998</v>
      </c>
      <c r="H95">
        <f t="shared" si="26"/>
        <v>83.16</v>
      </c>
      <c r="I95">
        <f t="shared" si="27"/>
        <v>462</v>
      </c>
      <c r="J95">
        <f t="shared" si="28"/>
        <v>330</v>
      </c>
      <c r="K95">
        <f t="shared" si="29"/>
        <v>59.4</v>
      </c>
      <c r="L95">
        <f t="shared" si="30"/>
        <v>8.3160000000000007</v>
      </c>
      <c r="M95">
        <f t="shared" si="31"/>
        <v>8.1681600000000003</v>
      </c>
      <c r="N95">
        <f t="shared" si="32"/>
        <v>4.2504</v>
      </c>
      <c r="O95">
        <f t="shared" si="33"/>
        <v>5.8701176470588248</v>
      </c>
      <c r="P95">
        <f t="shared" si="34"/>
        <v>2.9935205183585309</v>
      </c>
      <c r="Q95">
        <f t="shared" si="35"/>
        <v>46.2</v>
      </c>
      <c r="R95">
        <f t="shared" si="36"/>
        <v>440</v>
      </c>
      <c r="S95">
        <f t="shared" si="37"/>
        <v>255.75</v>
      </c>
      <c r="T95">
        <f t="shared" si="38"/>
        <v>74.25</v>
      </c>
      <c r="U95">
        <f>I95*E95/'[1]Inverter Analysis'!$L$2</f>
        <v>199.27661135320602</v>
      </c>
      <c r="V95">
        <f t="shared" si="39"/>
        <v>242.42424242424244</v>
      </c>
      <c r="W95">
        <f t="shared" si="40"/>
        <v>312.80547409579668</v>
      </c>
      <c r="X95">
        <f t="shared" si="41"/>
        <v>173.16017316017317</v>
      </c>
      <c r="Y95">
        <f t="shared" si="42"/>
        <v>1.4677089693644421</v>
      </c>
      <c r="Z95">
        <f t="shared" si="43"/>
        <v>1.0492543359374999</v>
      </c>
    </row>
    <row r="96" spans="1:26">
      <c r="A96">
        <v>10</v>
      </c>
      <c r="B96">
        <v>4</v>
      </c>
      <c r="C96" s="1">
        <v>10</v>
      </c>
      <c r="D96">
        <f t="shared" si="22"/>
        <v>360</v>
      </c>
      <c r="E96">
        <f t="shared" si="23"/>
        <v>180</v>
      </c>
      <c r="F96">
        <f t="shared" si="24"/>
        <v>28</v>
      </c>
      <c r="G96">
        <f t="shared" si="25"/>
        <v>0.375</v>
      </c>
      <c r="H96">
        <f t="shared" si="26"/>
        <v>75.599999999999994</v>
      </c>
      <c r="I96">
        <f t="shared" si="27"/>
        <v>420</v>
      </c>
      <c r="J96">
        <f t="shared" si="28"/>
        <v>300</v>
      </c>
      <c r="K96">
        <f t="shared" si="29"/>
        <v>54</v>
      </c>
      <c r="L96">
        <f t="shared" si="30"/>
        <v>7.56</v>
      </c>
      <c r="M96">
        <f t="shared" si="31"/>
        <v>7.4255999999999993</v>
      </c>
      <c r="N96">
        <f t="shared" si="32"/>
        <v>3.8639999999999994</v>
      </c>
      <c r="O96">
        <f t="shared" si="33"/>
        <v>5.3364705882352945</v>
      </c>
      <c r="P96">
        <f t="shared" si="34"/>
        <v>2.7213822894168467</v>
      </c>
      <c r="Q96">
        <f t="shared" si="35"/>
        <v>42</v>
      </c>
      <c r="R96">
        <f t="shared" si="36"/>
        <v>400</v>
      </c>
      <c r="S96">
        <f t="shared" si="37"/>
        <v>232.5</v>
      </c>
      <c r="T96">
        <f t="shared" si="38"/>
        <v>67.5</v>
      </c>
      <c r="U96">
        <f>I96*E96/'[1]Inverter Analysis'!$L$2</f>
        <v>181.16055577564182</v>
      </c>
      <c r="V96">
        <f t="shared" si="39"/>
        <v>266.66666666666669</v>
      </c>
      <c r="W96">
        <f t="shared" si="40"/>
        <v>344.08602150537632</v>
      </c>
      <c r="X96">
        <f t="shared" si="41"/>
        <v>190.47619047619048</v>
      </c>
      <c r="Y96">
        <f t="shared" si="42"/>
        <v>1.7759278529309745</v>
      </c>
      <c r="Z96">
        <f t="shared" si="43"/>
        <v>0.78832031250000001</v>
      </c>
    </row>
    <row r="97" spans="1:26">
      <c r="A97">
        <v>16</v>
      </c>
      <c r="B97">
        <v>3</v>
      </c>
      <c r="C97" s="1">
        <v>10</v>
      </c>
      <c r="D97">
        <f t="shared" si="22"/>
        <v>270</v>
      </c>
      <c r="E97">
        <f t="shared" si="23"/>
        <v>135</v>
      </c>
      <c r="F97">
        <f t="shared" si="24"/>
        <v>33.6</v>
      </c>
      <c r="G97">
        <f t="shared" si="25"/>
        <v>0.8</v>
      </c>
      <c r="H97">
        <f t="shared" si="26"/>
        <v>90.72</v>
      </c>
      <c r="I97">
        <f t="shared" si="27"/>
        <v>672</v>
      </c>
      <c r="J97">
        <f t="shared" si="28"/>
        <v>480</v>
      </c>
      <c r="K97">
        <f t="shared" si="29"/>
        <v>64.8</v>
      </c>
      <c r="L97">
        <f t="shared" si="30"/>
        <v>9.0719999999999992</v>
      </c>
      <c r="M97">
        <f t="shared" si="31"/>
        <v>8.9107199999999995</v>
      </c>
      <c r="N97">
        <f t="shared" si="32"/>
        <v>4.6367999999999991</v>
      </c>
      <c r="O97">
        <f t="shared" si="33"/>
        <v>6.4037647058823524</v>
      </c>
      <c r="P97">
        <f t="shared" si="34"/>
        <v>3.2656587473002161</v>
      </c>
      <c r="Q97">
        <f t="shared" si="35"/>
        <v>67.2</v>
      </c>
      <c r="R97">
        <f t="shared" si="36"/>
        <v>480</v>
      </c>
      <c r="S97">
        <f t="shared" si="37"/>
        <v>372</v>
      </c>
      <c r="T97">
        <f t="shared" si="38"/>
        <v>108</v>
      </c>
      <c r="U97">
        <f>I97*E97/'[1]Inverter Analysis'!$L$2</f>
        <v>217.39266693077019</v>
      </c>
      <c r="V97">
        <f t="shared" si="39"/>
        <v>166.66666666666666</v>
      </c>
      <c r="W97">
        <f t="shared" si="40"/>
        <v>215.05376344086022</v>
      </c>
      <c r="X97">
        <f t="shared" si="41"/>
        <v>119.04761904761905</v>
      </c>
      <c r="Y97">
        <f t="shared" si="42"/>
        <v>0.69372181755116191</v>
      </c>
      <c r="Z97">
        <f t="shared" si="43"/>
        <v>2.4217200000000001</v>
      </c>
    </row>
    <row r="98" spans="1:26">
      <c r="A98">
        <v>15</v>
      </c>
      <c r="B98">
        <v>3</v>
      </c>
      <c r="C98" s="1">
        <v>10</v>
      </c>
      <c r="D98">
        <f t="shared" si="22"/>
        <v>270</v>
      </c>
      <c r="E98">
        <f t="shared" si="23"/>
        <v>135</v>
      </c>
      <c r="F98">
        <f t="shared" si="24"/>
        <v>31.5</v>
      </c>
      <c r="G98">
        <f t="shared" si="25"/>
        <v>0.75</v>
      </c>
      <c r="H98">
        <f t="shared" si="26"/>
        <v>85.05</v>
      </c>
      <c r="I98">
        <f t="shared" si="27"/>
        <v>630</v>
      </c>
      <c r="J98">
        <f t="shared" si="28"/>
        <v>450</v>
      </c>
      <c r="K98">
        <f t="shared" si="29"/>
        <v>60.75</v>
      </c>
      <c r="L98">
        <f t="shared" si="30"/>
        <v>8.5050000000000008</v>
      </c>
      <c r="M98">
        <f t="shared" si="31"/>
        <v>8.3537999999999997</v>
      </c>
      <c r="N98">
        <f t="shared" si="32"/>
        <v>4.3470000000000004</v>
      </c>
      <c r="O98">
        <f t="shared" si="33"/>
        <v>6.0035294117647071</v>
      </c>
      <c r="P98">
        <f t="shared" si="34"/>
        <v>3.0615550755939522</v>
      </c>
      <c r="Q98">
        <f t="shared" si="35"/>
        <v>63</v>
      </c>
      <c r="R98">
        <f t="shared" si="36"/>
        <v>450</v>
      </c>
      <c r="S98">
        <f t="shared" si="37"/>
        <v>348.75</v>
      </c>
      <c r="T98">
        <f t="shared" si="38"/>
        <v>101.25</v>
      </c>
      <c r="U98">
        <f>I98*E98/'[1]Inverter Analysis'!$L$2</f>
        <v>203.80562524759708</v>
      </c>
      <c r="V98">
        <f t="shared" si="39"/>
        <v>177.77777777777777</v>
      </c>
      <c r="W98">
        <f t="shared" si="40"/>
        <v>229.39068100358423</v>
      </c>
      <c r="X98">
        <f t="shared" si="41"/>
        <v>126.98412698412699</v>
      </c>
      <c r="Y98">
        <f t="shared" si="42"/>
        <v>0.7893012679693221</v>
      </c>
      <c r="Z98">
        <f t="shared" si="43"/>
        <v>1.9954357910156248</v>
      </c>
    </row>
    <row r="99" spans="1:26">
      <c r="A99">
        <v>14</v>
      </c>
      <c r="B99">
        <v>3</v>
      </c>
      <c r="C99" s="1">
        <v>10</v>
      </c>
      <c r="D99">
        <f t="shared" si="22"/>
        <v>270</v>
      </c>
      <c r="E99">
        <f t="shared" si="23"/>
        <v>135</v>
      </c>
      <c r="F99">
        <f t="shared" si="24"/>
        <v>29.4</v>
      </c>
      <c r="G99">
        <f t="shared" si="25"/>
        <v>0.70000000000000007</v>
      </c>
      <c r="H99">
        <f t="shared" si="26"/>
        <v>79.38</v>
      </c>
      <c r="I99">
        <f t="shared" si="27"/>
        <v>588</v>
      </c>
      <c r="J99">
        <f t="shared" si="28"/>
        <v>420</v>
      </c>
      <c r="K99">
        <f t="shared" si="29"/>
        <v>56.7</v>
      </c>
      <c r="L99">
        <f t="shared" si="30"/>
        <v>7.9379999999999997</v>
      </c>
      <c r="M99">
        <f t="shared" si="31"/>
        <v>7.7968799999999998</v>
      </c>
      <c r="N99">
        <f t="shared" si="32"/>
        <v>4.0571999999999999</v>
      </c>
      <c r="O99">
        <f t="shared" si="33"/>
        <v>5.6032941176470592</v>
      </c>
      <c r="P99">
        <f t="shared" si="34"/>
        <v>2.8574514038876888</v>
      </c>
      <c r="Q99">
        <f t="shared" si="35"/>
        <v>58.8</v>
      </c>
      <c r="R99">
        <f t="shared" si="36"/>
        <v>420</v>
      </c>
      <c r="S99">
        <f t="shared" si="37"/>
        <v>325.5</v>
      </c>
      <c r="T99">
        <f t="shared" si="38"/>
        <v>94.500000000000014</v>
      </c>
      <c r="U99">
        <f>I99*E99/'[1]Inverter Analysis'!$L$2</f>
        <v>190.21858356442394</v>
      </c>
      <c r="V99">
        <f t="shared" si="39"/>
        <v>190.47619047619048</v>
      </c>
      <c r="W99">
        <f t="shared" si="40"/>
        <v>245.77572964669739</v>
      </c>
      <c r="X99">
        <f t="shared" si="41"/>
        <v>136.05442176870747</v>
      </c>
      <c r="Y99">
        <f t="shared" si="42"/>
        <v>0.90608563925049723</v>
      </c>
      <c r="Z99">
        <f t="shared" si="43"/>
        <v>1.6223632031250002</v>
      </c>
    </row>
    <row r="100" spans="1:26">
      <c r="A100">
        <v>13</v>
      </c>
      <c r="B100">
        <v>3</v>
      </c>
      <c r="C100" s="1">
        <v>10</v>
      </c>
      <c r="D100">
        <f t="shared" si="22"/>
        <v>270</v>
      </c>
      <c r="E100">
        <f t="shared" si="23"/>
        <v>135</v>
      </c>
      <c r="F100">
        <f t="shared" si="24"/>
        <v>27.3</v>
      </c>
      <c r="G100">
        <f t="shared" si="25"/>
        <v>0.65</v>
      </c>
      <c r="H100">
        <f t="shared" si="26"/>
        <v>73.709999999999994</v>
      </c>
      <c r="I100">
        <f t="shared" si="27"/>
        <v>546</v>
      </c>
      <c r="J100">
        <f t="shared" si="28"/>
        <v>390</v>
      </c>
      <c r="K100">
        <f t="shared" si="29"/>
        <v>52.65</v>
      </c>
      <c r="L100">
        <f t="shared" si="30"/>
        <v>7.3710000000000004</v>
      </c>
      <c r="M100">
        <f t="shared" si="31"/>
        <v>7.2399600000000008</v>
      </c>
      <c r="N100">
        <f t="shared" si="32"/>
        <v>3.7673999999999994</v>
      </c>
      <c r="O100">
        <f t="shared" si="33"/>
        <v>5.2030588235294122</v>
      </c>
      <c r="P100">
        <f t="shared" si="34"/>
        <v>2.6533477321814254</v>
      </c>
      <c r="Q100">
        <f t="shared" si="35"/>
        <v>54.6</v>
      </c>
      <c r="R100">
        <f t="shared" si="36"/>
        <v>390</v>
      </c>
      <c r="S100">
        <f t="shared" si="37"/>
        <v>302.25</v>
      </c>
      <c r="T100">
        <f t="shared" si="38"/>
        <v>87.75</v>
      </c>
      <c r="U100">
        <f>I100*E100/'[1]Inverter Analysis'!$L$2</f>
        <v>176.6315418812508</v>
      </c>
      <c r="V100">
        <f t="shared" si="39"/>
        <v>205.12820512820514</v>
      </c>
      <c r="W100">
        <f t="shared" si="40"/>
        <v>264.68155500413565</v>
      </c>
      <c r="X100">
        <f t="shared" si="41"/>
        <v>146.52014652014651</v>
      </c>
      <c r="Y100">
        <f t="shared" si="42"/>
        <v>1.0508448833911093</v>
      </c>
      <c r="Z100">
        <f t="shared" si="43"/>
        <v>1.2989547949218749</v>
      </c>
    </row>
    <row r="101" spans="1:26">
      <c r="A101">
        <v>12</v>
      </c>
      <c r="B101">
        <v>3</v>
      </c>
      <c r="C101" s="1">
        <v>10</v>
      </c>
      <c r="D101">
        <f t="shared" si="22"/>
        <v>270</v>
      </c>
      <c r="E101">
        <f t="shared" si="23"/>
        <v>135</v>
      </c>
      <c r="F101">
        <f t="shared" si="24"/>
        <v>25.2</v>
      </c>
      <c r="G101">
        <f t="shared" si="25"/>
        <v>0.6</v>
      </c>
      <c r="H101">
        <f t="shared" si="26"/>
        <v>68.040000000000006</v>
      </c>
      <c r="I101">
        <f t="shared" si="27"/>
        <v>504</v>
      </c>
      <c r="J101">
        <f t="shared" si="28"/>
        <v>360</v>
      </c>
      <c r="K101">
        <f t="shared" si="29"/>
        <v>48.6</v>
      </c>
      <c r="L101">
        <f t="shared" si="30"/>
        <v>6.8040000000000003</v>
      </c>
      <c r="M101">
        <f t="shared" si="31"/>
        <v>6.6830399999999992</v>
      </c>
      <c r="N101">
        <f t="shared" si="32"/>
        <v>3.4775999999999994</v>
      </c>
      <c r="O101">
        <f t="shared" si="33"/>
        <v>4.8028235294117652</v>
      </c>
      <c r="P101">
        <f t="shared" si="34"/>
        <v>2.449244060475162</v>
      </c>
      <c r="Q101">
        <f t="shared" si="35"/>
        <v>50.4</v>
      </c>
      <c r="R101">
        <f t="shared" si="36"/>
        <v>360</v>
      </c>
      <c r="S101">
        <f t="shared" si="37"/>
        <v>279</v>
      </c>
      <c r="T101">
        <f t="shared" si="38"/>
        <v>81</v>
      </c>
      <c r="U101">
        <f>I101*E101/'[1]Inverter Analysis'!$L$2</f>
        <v>163.04450019807766</v>
      </c>
      <c r="V101">
        <f t="shared" si="39"/>
        <v>222.22222222222223</v>
      </c>
      <c r="W101">
        <f t="shared" si="40"/>
        <v>286.73835125448028</v>
      </c>
      <c r="X101">
        <f t="shared" si="41"/>
        <v>158.73015873015873</v>
      </c>
      <c r="Y101">
        <f t="shared" si="42"/>
        <v>1.2332832312020658</v>
      </c>
      <c r="Z101">
        <f t="shared" si="43"/>
        <v>1.0216631249999999</v>
      </c>
    </row>
    <row r="102" spans="1:26">
      <c r="A102">
        <v>11</v>
      </c>
      <c r="B102">
        <v>3</v>
      </c>
      <c r="C102" s="1">
        <v>10</v>
      </c>
      <c r="D102">
        <f t="shared" si="22"/>
        <v>270</v>
      </c>
      <c r="E102">
        <f t="shared" si="23"/>
        <v>135</v>
      </c>
      <c r="F102">
        <f t="shared" si="24"/>
        <v>23.1</v>
      </c>
      <c r="G102">
        <f t="shared" si="25"/>
        <v>0.55000000000000004</v>
      </c>
      <c r="H102">
        <f t="shared" si="26"/>
        <v>62.37</v>
      </c>
      <c r="I102">
        <f t="shared" si="27"/>
        <v>462</v>
      </c>
      <c r="J102">
        <f t="shared" si="28"/>
        <v>330</v>
      </c>
      <c r="K102">
        <f t="shared" si="29"/>
        <v>44.55</v>
      </c>
      <c r="L102">
        <f t="shared" si="30"/>
        <v>6.2370000000000001</v>
      </c>
      <c r="M102">
        <f t="shared" si="31"/>
        <v>6.1261200000000002</v>
      </c>
      <c r="N102">
        <f t="shared" si="32"/>
        <v>3.1877999999999997</v>
      </c>
      <c r="O102">
        <f t="shared" si="33"/>
        <v>4.4025882352941181</v>
      </c>
      <c r="P102">
        <f t="shared" si="34"/>
        <v>2.2451403887688981</v>
      </c>
      <c r="Q102">
        <f t="shared" si="35"/>
        <v>46.2</v>
      </c>
      <c r="R102">
        <f t="shared" si="36"/>
        <v>330</v>
      </c>
      <c r="S102">
        <f t="shared" si="37"/>
        <v>255.75</v>
      </c>
      <c r="T102">
        <f t="shared" si="38"/>
        <v>74.25</v>
      </c>
      <c r="U102">
        <f>I102*E102/'[1]Inverter Analysis'!$L$2</f>
        <v>149.45745851490452</v>
      </c>
      <c r="V102">
        <f t="shared" si="39"/>
        <v>242.42424242424244</v>
      </c>
      <c r="W102">
        <f t="shared" si="40"/>
        <v>312.80547409579668</v>
      </c>
      <c r="X102">
        <f t="shared" si="41"/>
        <v>173.16017316017317</v>
      </c>
      <c r="Y102">
        <f t="shared" si="42"/>
        <v>1.4677089693644421</v>
      </c>
      <c r="Z102">
        <f t="shared" si="43"/>
        <v>0.78694075195312485</v>
      </c>
    </row>
    <row r="103" spans="1:26">
      <c r="A103">
        <v>10</v>
      </c>
      <c r="B103">
        <v>3</v>
      </c>
      <c r="C103" s="1">
        <v>10</v>
      </c>
      <c r="D103">
        <f t="shared" si="22"/>
        <v>270</v>
      </c>
      <c r="E103">
        <f t="shared" si="23"/>
        <v>135</v>
      </c>
      <c r="F103">
        <f t="shared" si="24"/>
        <v>21</v>
      </c>
      <c r="G103">
        <f t="shared" si="25"/>
        <v>0.5</v>
      </c>
      <c r="H103">
        <f t="shared" si="26"/>
        <v>56.7</v>
      </c>
      <c r="I103">
        <f t="shared" si="27"/>
        <v>420</v>
      </c>
      <c r="J103">
        <f t="shared" si="28"/>
        <v>300</v>
      </c>
      <c r="K103">
        <f t="shared" si="29"/>
        <v>40.5</v>
      </c>
      <c r="L103">
        <f t="shared" si="30"/>
        <v>5.67</v>
      </c>
      <c r="M103">
        <f t="shared" si="31"/>
        <v>5.5691999999999995</v>
      </c>
      <c r="N103">
        <f t="shared" si="32"/>
        <v>2.8979999999999997</v>
      </c>
      <c r="O103">
        <f t="shared" si="33"/>
        <v>4.0023529411764711</v>
      </c>
      <c r="P103">
        <f t="shared" si="34"/>
        <v>2.0410367170626347</v>
      </c>
      <c r="Q103">
        <f t="shared" si="35"/>
        <v>42</v>
      </c>
      <c r="R103">
        <f t="shared" si="36"/>
        <v>300</v>
      </c>
      <c r="S103">
        <f t="shared" si="37"/>
        <v>232.5</v>
      </c>
      <c r="T103">
        <f t="shared" si="38"/>
        <v>67.5</v>
      </c>
      <c r="U103">
        <f>I103*E103/'[1]Inverter Analysis'!$L$2</f>
        <v>135.87041683173138</v>
      </c>
      <c r="V103">
        <f t="shared" si="39"/>
        <v>266.66666666666669</v>
      </c>
      <c r="W103">
        <f t="shared" si="40"/>
        <v>344.08602150537632</v>
      </c>
      <c r="X103">
        <f t="shared" si="41"/>
        <v>190.47619047619048</v>
      </c>
      <c r="Y103">
        <f t="shared" si="42"/>
        <v>1.7759278529309745</v>
      </c>
      <c r="Z103">
        <f t="shared" si="43"/>
        <v>0.59124023437500006</v>
      </c>
    </row>
    <row r="104" spans="1:26">
      <c r="A104">
        <v>16</v>
      </c>
      <c r="B104">
        <v>2</v>
      </c>
      <c r="C104" s="1">
        <v>10</v>
      </c>
      <c r="D104">
        <f t="shared" si="22"/>
        <v>180</v>
      </c>
      <c r="E104">
        <f t="shared" si="23"/>
        <v>90</v>
      </c>
      <c r="F104">
        <f t="shared" si="24"/>
        <v>22.4</v>
      </c>
      <c r="G104">
        <f t="shared" si="25"/>
        <v>1.2</v>
      </c>
      <c r="H104">
        <f t="shared" si="26"/>
        <v>60.48</v>
      </c>
      <c r="I104">
        <f t="shared" si="27"/>
        <v>672</v>
      </c>
      <c r="J104">
        <f t="shared" si="28"/>
        <v>480</v>
      </c>
      <c r="K104">
        <f t="shared" si="29"/>
        <v>43.2</v>
      </c>
      <c r="L104">
        <f t="shared" si="30"/>
        <v>6.048</v>
      </c>
      <c r="M104">
        <f t="shared" si="31"/>
        <v>5.94048</v>
      </c>
      <c r="N104">
        <f t="shared" si="32"/>
        <v>3.0911999999999997</v>
      </c>
      <c r="O104">
        <f t="shared" si="33"/>
        <v>4.2691764705882358</v>
      </c>
      <c r="P104">
        <f t="shared" si="34"/>
        <v>2.1771058315334773</v>
      </c>
      <c r="Q104">
        <f t="shared" si="35"/>
        <v>67.2</v>
      </c>
      <c r="R104">
        <f t="shared" si="36"/>
        <v>320</v>
      </c>
      <c r="S104">
        <f t="shared" si="37"/>
        <v>372</v>
      </c>
      <c r="T104">
        <f t="shared" si="38"/>
        <v>108</v>
      </c>
      <c r="U104">
        <f>I104*E104/'[1]Inverter Analysis'!$L$2</f>
        <v>144.92844462051346</v>
      </c>
      <c r="V104">
        <f t="shared" si="39"/>
        <v>166.66666666666666</v>
      </c>
      <c r="W104">
        <f t="shared" si="40"/>
        <v>215.05376344086022</v>
      </c>
      <c r="X104">
        <f t="shared" si="41"/>
        <v>119.04761904761905</v>
      </c>
      <c r="Y104">
        <f t="shared" si="42"/>
        <v>0.69372181755116191</v>
      </c>
      <c r="Z104">
        <f t="shared" si="43"/>
        <v>1.6144800000000001</v>
      </c>
    </row>
    <row r="105" spans="1:26">
      <c r="A105">
        <v>15</v>
      </c>
      <c r="B105">
        <v>2</v>
      </c>
      <c r="C105" s="1">
        <v>10</v>
      </c>
      <c r="D105">
        <f t="shared" si="22"/>
        <v>180</v>
      </c>
      <c r="E105">
        <f t="shared" si="23"/>
        <v>90</v>
      </c>
      <c r="F105">
        <f t="shared" si="24"/>
        <v>21</v>
      </c>
      <c r="G105">
        <f t="shared" si="25"/>
        <v>1.125</v>
      </c>
      <c r="H105">
        <f t="shared" si="26"/>
        <v>56.7</v>
      </c>
      <c r="I105">
        <f t="shared" si="27"/>
        <v>630</v>
      </c>
      <c r="J105">
        <f t="shared" si="28"/>
        <v>450</v>
      </c>
      <c r="K105">
        <f t="shared" si="29"/>
        <v>40.5</v>
      </c>
      <c r="L105">
        <f t="shared" si="30"/>
        <v>5.67</v>
      </c>
      <c r="M105">
        <f t="shared" si="31"/>
        <v>5.5691999999999995</v>
      </c>
      <c r="N105">
        <f t="shared" si="32"/>
        <v>2.8980000000000001</v>
      </c>
      <c r="O105">
        <f t="shared" si="33"/>
        <v>4.0023529411764711</v>
      </c>
      <c r="P105">
        <f t="shared" si="34"/>
        <v>2.0410367170626347</v>
      </c>
      <c r="Q105">
        <f t="shared" si="35"/>
        <v>63</v>
      </c>
      <c r="R105">
        <f t="shared" si="36"/>
        <v>300</v>
      </c>
      <c r="S105">
        <f t="shared" si="37"/>
        <v>348.75</v>
      </c>
      <c r="T105">
        <f t="shared" si="38"/>
        <v>101.25</v>
      </c>
      <c r="U105">
        <f>I105*E105/'[1]Inverter Analysis'!$L$2</f>
        <v>135.87041683173138</v>
      </c>
      <c r="V105">
        <f t="shared" si="39"/>
        <v>177.77777777777777</v>
      </c>
      <c r="W105">
        <f t="shared" si="40"/>
        <v>229.39068100358423</v>
      </c>
      <c r="X105">
        <f t="shared" si="41"/>
        <v>126.98412698412699</v>
      </c>
      <c r="Y105">
        <f t="shared" si="42"/>
        <v>0.7893012679693221</v>
      </c>
      <c r="Z105">
        <f t="shared" si="43"/>
        <v>1.3302905273437498</v>
      </c>
    </row>
    <row r="106" spans="1:26">
      <c r="A106">
        <v>14</v>
      </c>
      <c r="B106">
        <v>2</v>
      </c>
      <c r="C106" s="1">
        <v>10</v>
      </c>
      <c r="D106">
        <f t="shared" si="22"/>
        <v>180</v>
      </c>
      <c r="E106">
        <f t="shared" si="23"/>
        <v>90</v>
      </c>
      <c r="F106">
        <f t="shared" si="24"/>
        <v>19.600000000000001</v>
      </c>
      <c r="G106">
        <f t="shared" si="25"/>
        <v>1.05</v>
      </c>
      <c r="H106">
        <f t="shared" si="26"/>
        <v>52.92</v>
      </c>
      <c r="I106">
        <f t="shared" si="27"/>
        <v>588</v>
      </c>
      <c r="J106">
        <f t="shared" si="28"/>
        <v>420</v>
      </c>
      <c r="K106">
        <f t="shared" si="29"/>
        <v>37.799999999999997</v>
      </c>
      <c r="L106">
        <f t="shared" si="30"/>
        <v>5.2919999999999998</v>
      </c>
      <c r="M106">
        <f t="shared" si="31"/>
        <v>5.1979199999999999</v>
      </c>
      <c r="N106">
        <f t="shared" si="32"/>
        <v>2.7047999999999996</v>
      </c>
      <c r="O106">
        <f t="shared" si="33"/>
        <v>3.735529411764706</v>
      </c>
      <c r="P106">
        <f t="shared" si="34"/>
        <v>1.9049676025917925</v>
      </c>
      <c r="Q106">
        <f t="shared" si="35"/>
        <v>58.8</v>
      </c>
      <c r="R106">
        <f t="shared" si="36"/>
        <v>280</v>
      </c>
      <c r="S106">
        <f t="shared" si="37"/>
        <v>325.5</v>
      </c>
      <c r="T106">
        <f t="shared" si="38"/>
        <v>94.5</v>
      </c>
      <c r="U106">
        <f>I106*E106/'[1]Inverter Analysis'!$L$2</f>
        <v>126.81238904294929</v>
      </c>
      <c r="V106">
        <f t="shared" si="39"/>
        <v>190.47619047619048</v>
      </c>
      <c r="W106">
        <f t="shared" si="40"/>
        <v>245.77572964669739</v>
      </c>
      <c r="X106">
        <f t="shared" si="41"/>
        <v>136.05442176870747</v>
      </c>
      <c r="Y106">
        <f t="shared" si="42"/>
        <v>0.90608563925049723</v>
      </c>
      <c r="Z106">
        <f t="shared" si="43"/>
        <v>1.0815754687500001</v>
      </c>
    </row>
    <row r="107" spans="1:26">
      <c r="A107">
        <v>13</v>
      </c>
      <c r="B107">
        <v>2</v>
      </c>
      <c r="C107" s="1">
        <v>10</v>
      </c>
      <c r="D107">
        <f t="shared" si="22"/>
        <v>180</v>
      </c>
      <c r="E107">
        <f t="shared" si="23"/>
        <v>90</v>
      </c>
      <c r="F107">
        <f t="shared" si="24"/>
        <v>18.2</v>
      </c>
      <c r="G107">
        <f t="shared" si="25"/>
        <v>0.97500000000000009</v>
      </c>
      <c r="H107">
        <f t="shared" si="26"/>
        <v>49.14</v>
      </c>
      <c r="I107">
        <f t="shared" si="27"/>
        <v>546</v>
      </c>
      <c r="J107">
        <f t="shared" si="28"/>
        <v>390</v>
      </c>
      <c r="K107">
        <f t="shared" si="29"/>
        <v>35.1</v>
      </c>
      <c r="L107">
        <f t="shared" si="30"/>
        <v>4.9139999999999997</v>
      </c>
      <c r="M107">
        <f t="shared" si="31"/>
        <v>4.8266400000000003</v>
      </c>
      <c r="N107">
        <f t="shared" si="32"/>
        <v>2.5116000000000001</v>
      </c>
      <c r="O107">
        <f t="shared" si="33"/>
        <v>3.4687058823529413</v>
      </c>
      <c r="P107">
        <f t="shared" si="34"/>
        <v>1.7688984881209504</v>
      </c>
      <c r="Q107">
        <f t="shared" si="35"/>
        <v>54.6</v>
      </c>
      <c r="R107">
        <f t="shared" si="36"/>
        <v>260</v>
      </c>
      <c r="S107">
        <f t="shared" si="37"/>
        <v>302.25</v>
      </c>
      <c r="T107">
        <f t="shared" si="38"/>
        <v>87.750000000000014</v>
      </c>
      <c r="U107">
        <f>I107*E107/'[1]Inverter Analysis'!$L$2</f>
        <v>117.75436125416719</v>
      </c>
      <c r="V107">
        <f t="shared" si="39"/>
        <v>205.12820512820514</v>
      </c>
      <c r="W107">
        <f t="shared" si="40"/>
        <v>264.68155500413565</v>
      </c>
      <c r="X107">
        <f t="shared" si="41"/>
        <v>146.52014652014651</v>
      </c>
      <c r="Y107">
        <f t="shared" si="42"/>
        <v>1.0508448833911093</v>
      </c>
      <c r="Z107">
        <f t="shared" si="43"/>
        <v>0.86596986328125003</v>
      </c>
    </row>
    <row r="108" spans="1:26">
      <c r="A108">
        <v>12</v>
      </c>
      <c r="B108">
        <v>2</v>
      </c>
      <c r="C108" s="1">
        <v>10</v>
      </c>
      <c r="D108">
        <f t="shared" si="22"/>
        <v>180</v>
      </c>
      <c r="E108">
        <f t="shared" si="23"/>
        <v>90</v>
      </c>
      <c r="F108">
        <f t="shared" si="24"/>
        <v>16.8</v>
      </c>
      <c r="G108">
        <f t="shared" si="25"/>
        <v>0.89999999999999991</v>
      </c>
      <c r="H108">
        <f t="shared" si="26"/>
        <v>45.36</v>
      </c>
      <c r="I108">
        <f t="shared" si="27"/>
        <v>504</v>
      </c>
      <c r="J108">
        <f t="shared" si="28"/>
        <v>360</v>
      </c>
      <c r="K108">
        <f t="shared" si="29"/>
        <v>32.4</v>
      </c>
      <c r="L108">
        <f t="shared" si="30"/>
        <v>4.5359999999999996</v>
      </c>
      <c r="M108">
        <f t="shared" si="31"/>
        <v>4.4553599999999998</v>
      </c>
      <c r="N108">
        <f t="shared" si="32"/>
        <v>2.3183999999999996</v>
      </c>
      <c r="O108">
        <f t="shared" si="33"/>
        <v>3.2018823529411762</v>
      </c>
      <c r="P108">
        <f t="shared" si="34"/>
        <v>1.6328293736501081</v>
      </c>
      <c r="Q108">
        <f t="shared" si="35"/>
        <v>50.4</v>
      </c>
      <c r="R108">
        <f t="shared" si="36"/>
        <v>240</v>
      </c>
      <c r="S108">
        <f t="shared" si="37"/>
        <v>279</v>
      </c>
      <c r="T108">
        <f t="shared" si="38"/>
        <v>80.999999999999986</v>
      </c>
      <c r="U108">
        <f>I108*E108/'[1]Inverter Analysis'!$L$2</f>
        <v>108.69633346538509</v>
      </c>
      <c r="V108">
        <f t="shared" si="39"/>
        <v>222.22222222222223</v>
      </c>
      <c r="W108">
        <f t="shared" si="40"/>
        <v>286.73835125448028</v>
      </c>
      <c r="X108">
        <f t="shared" si="41"/>
        <v>158.73015873015873</v>
      </c>
      <c r="Y108">
        <f t="shared" si="42"/>
        <v>1.2332832312020658</v>
      </c>
      <c r="Z108">
        <f t="shared" si="43"/>
        <v>0.68110875000000004</v>
      </c>
    </row>
    <row r="109" spans="1:26">
      <c r="A109">
        <v>11</v>
      </c>
      <c r="B109">
        <v>2</v>
      </c>
      <c r="C109" s="1">
        <v>10</v>
      </c>
      <c r="D109">
        <f t="shared" si="22"/>
        <v>180</v>
      </c>
      <c r="E109">
        <f t="shared" si="23"/>
        <v>90</v>
      </c>
      <c r="F109">
        <f t="shared" si="24"/>
        <v>15.4</v>
      </c>
      <c r="G109">
        <f t="shared" si="25"/>
        <v>0.82499999999999996</v>
      </c>
      <c r="H109">
        <f t="shared" si="26"/>
        <v>41.58</v>
      </c>
      <c r="I109">
        <f t="shared" si="27"/>
        <v>462</v>
      </c>
      <c r="J109">
        <f t="shared" si="28"/>
        <v>330</v>
      </c>
      <c r="K109">
        <f t="shared" si="29"/>
        <v>29.7</v>
      </c>
      <c r="L109">
        <f t="shared" si="30"/>
        <v>4.1580000000000004</v>
      </c>
      <c r="M109">
        <f t="shared" si="31"/>
        <v>4.0840800000000002</v>
      </c>
      <c r="N109">
        <f t="shared" si="32"/>
        <v>2.1252</v>
      </c>
      <c r="O109">
        <f t="shared" si="33"/>
        <v>2.9350588235294124</v>
      </c>
      <c r="P109">
        <f t="shared" si="34"/>
        <v>1.4967602591792655</v>
      </c>
      <c r="Q109">
        <f t="shared" si="35"/>
        <v>46.2</v>
      </c>
      <c r="R109">
        <f t="shared" si="36"/>
        <v>220</v>
      </c>
      <c r="S109">
        <f t="shared" si="37"/>
        <v>255.75</v>
      </c>
      <c r="T109">
        <f t="shared" si="38"/>
        <v>74.25</v>
      </c>
      <c r="U109">
        <f>I109*E109/'[1]Inverter Analysis'!$L$2</f>
        <v>99.638305676603011</v>
      </c>
      <c r="V109">
        <f t="shared" si="39"/>
        <v>242.42424242424244</v>
      </c>
      <c r="W109">
        <f t="shared" si="40"/>
        <v>312.80547409579668</v>
      </c>
      <c r="X109">
        <f t="shared" si="41"/>
        <v>173.16017316017317</v>
      </c>
      <c r="Y109">
        <f t="shared" si="42"/>
        <v>1.4677089693644421</v>
      </c>
      <c r="Z109">
        <f t="shared" si="43"/>
        <v>0.52462716796874997</v>
      </c>
    </row>
    <row r="110" spans="1:26">
      <c r="A110">
        <v>10</v>
      </c>
      <c r="B110">
        <v>2</v>
      </c>
      <c r="C110" s="1">
        <v>10</v>
      </c>
      <c r="D110">
        <f t="shared" si="22"/>
        <v>180</v>
      </c>
      <c r="E110">
        <f t="shared" si="23"/>
        <v>90</v>
      </c>
      <c r="F110">
        <f t="shared" si="24"/>
        <v>14</v>
      </c>
      <c r="G110">
        <f t="shared" si="25"/>
        <v>0.75</v>
      </c>
      <c r="H110">
        <f t="shared" si="26"/>
        <v>37.799999999999997</v>
      </c>
      <c r="I110">
        <f t="shared" si="27"/>
        <v>420</v>
      </c>
      <c r="J110">
        <f t="shared" si="28"/>
        <v>300</v>
      </c>
      <c r="K110">
        <f t="shared" si="29"/>
        <v>27</v>
      </c>
      <c r="L110">
        <f t="shared" si="30"/>
        <v>3.78</v>
      </c>
      <c r="M110">
        <f t="shared" si="31"/>
        <v>3.7127999999999997</v>
      </c>
      <c r="N110">
        <f t="shared" si="32"/>
        <v>1.9319999999999997</v>
      </c>
      <c r="O110">
        <f t="shared" si="33"/>
        <v>2.6682352941176473</v>
      </c>
      <c r="P110">
        <f t="shared" si="34"/>
        <v>1.3606911447084233</v>
      </c>
      <c r="Q110">
        <f t="shared" si="35"/>
        <v>42</v>
      </c>
      <c r="R110">
        <f t="shared" si="36"/>
        <v>200</v>
      </c>
      <c r="S110">
        <f t="shared" si="37"/>
        <v>232.5</v>
      </c>
      <c r="T110">
        <f t="shared" si="38"/>
        <v>67.5</v>
      </c>
      <c r="U110">
        <f>I110*E110/'[1]Inverter Analysis'!$L$2</f>
        <v>90.580277887820912</v>
      </c>
      <c r="V110">
        <f t="shared" si="39"/>
        <v>266.66666666666669</v>
      </c>
      <c r="W110">
        <f t="shared" si="40"/>
        <v>344.08602150537632</v>
      </c>
      <c r="X110">
        <f t="shared" si="41"/>
        <v>190.47619047619048</v>
      </c>
      <c r="Y110">
        <f t="shared" si="42"/>
        <v>1.7759278529309745</v>
      </c>
      <c r="Z110">
        <f t="shared" si="43"/>
        <v>0.39416015625</v>
      </c>
    </row>
    <row r="111" spans="1:26">
      <c r="A111" s="8">
        <v>16</v>
      </c>
      <c r="B111" s="1">
        <v>6</v>
      </c>
      <c r="C111" s="1">
        <v>9</v>
      </c>
      <c r="D111">
        <f t="shared" si="22"/>
        <v>540</v>
      </c>
      <c r="E111">
        <f t="shared" si="23"/>
        <v>270</v>
      </c>
      <c r="F111">
        <f t="shared" si="24"/>
        <v>60.48</v>
      </c>
      <c r="G111">
        <f t="shared" si="25"/>
        <v>0.36</v>
      </c>
      <c r="H111">
        <f t="shared" si="26"/>
        <v>163.29600000000002</v>
      </c>
      <c r="I111">
        <f t="shared" si="27"/>
        <v>604.80000000000007</v>
      </c>
      <c r="J111">
        <f t="shared" si="28"/>
        <v>432</v>
      </c>
      <c r="K111">
        <f t="shared" si="29"/>
        <v>116.64</v>
      </c>
      <c r="L111">
        <f t="shared" si="30"/>
        <v>16.329600000000003</v>
      </c>
      <c r="M111">
        <f t="shared" si="31"/>
        <v>16.039296000000004</v>
      </c>
      <c r="N111">
        <f t="shared" si="32"/>
        <v>8.3462399999999999</v>
      </c>
      <c r="O111">
        <f t="shared" si="33"/>
        <v>11.526776470588239</v>
      </c>
      <c r="P111">
        <f t="shared" si="34"/>
        <v>6.5313174946004331</v>
      </c>
      <c r="Q111">
        <f t="shared" si="35"/>
        <v>67.2</v>
      </c>
      <c r="R111">
        <f t="shared" si="36"/>
        <v>864</v>
      </c>
      <c r="S111">
        <f t="shared" si="37"/>
        <v>334.8</v>
      </c>
      <c r="T111">
        <f t="shared" si="38"/>
        <v>97.2</v>
      </c>
      <c r="U111">
        <f>I111*E111/'[1]Inverter Analysis'!$L$2</f>
        <v>391.30680047538641</v>
      </c>
      <c r="V111">
        <f t="shared" si="39"/>
        <v>185.18518518518519</v>
      </c>
      <c r="W111">
        <f t="shared" si="40"/>
        <v>238.94862604540023</v>
      </c>
      <c r="X111">
        <f t="shared" si="41"/>
        <v>132.27513227513225</v>
      </c>
      <c r="Y111">
        <f t="shared" si="42"/>
        <v>0.85644668833476767</v>
      </c>
      <c r="Z111">
        <f t="shared" si="43"/>
        <v>3.5308677600000005</v>
      </c>
    </row>
    <row r="112" spans="1:26">
      <c r="A112" s="8">
        <v>15</v>
      </c>
      <c r="B112" s="1">
        <v>6</v>
      </c>
      <c r="C112" s="1">
        <v>9</v>
      </c>
      <c r="D112">
        <f t="shared" si="22"/>
        <v>540</v>
      </c>
      <c r="E112">
        <f t="shared" si="23"/>
        <v>270</v>
      </c>
      <c r="F112">
        <f t="shared" si="24"/>
        <v>56.7</v>
      </c>
      <c r="G112">
        <f t="shared" si="25"/>
        <v>0.33749999999999997</v>
      </c>
      <c r="H112">
        <f t="shared" si="26"/>
        <v>153.09</v>
      </c>
      <c r="I112">
        <f t="shared" si="27"/>
        <v>567</v>
      </c>
      <c r="J112">
        <f t="shared" si="28"/>
        <v>405</v>
      </c>
      <c r="K112">
        <f t="shared" si="29"/>
        <v>109.35</v>
      </c>
      <c r="L112">
        <f t="shared" si="30"/>
        <v>15.308999999999999</v>
      </c>
      <c r="M112">
        <f t="shared" si="31"/>
        <v>15.03684</v>
      </c>
      <c r="N112">
        <f t="shared" si="32"/>
        <v>7.8245999999999993</v>
      </c>
      <c r="O112">
        <f t="shared" si="33"/>
        <v>10.80635294117647</v>
      </c>
      <c r="P112">
        <f t="shared" si="34"/>
        <v>6.1231101511879054</v>
      </c>
      <c r="Q112">
        <f t="shared" si="35"/>
        <v>63</v>
      </c>
      <c r="R112">
        <f t="shared" si="36"/>
        <v>810</v>
      </c>
      <c r="S112">
        <f t="shared" si="37"/>
        <v>313.875</v>
      </c>
      <c r="T112">
        <f t="shared" si="38"/>
        <v>91.124999999999986</v>
      </c>
      <c r="U112">
        <f>I112*E112/'[1]Inverter Analysis'!$L$2</f>
        <v>366.85012544567473</v>
      </c>
      <c r="V112">
        <f t="shared" si="39"/>
        <v>197.53086419753086</v>
      </c>
      <c r="W112">
        <f t="shared" si="40"/>
        <v>254.87853444842693</v>
      </c>
      <c r="X112">
        <f t="shared" si="41"/>
        <v>141.09347442680777</v>
      </c>
      <c r="Y112">
        <f t="shared" si="42"/>
        <v>0.97444600983866925</v>
      </c>
      <c r="Z112">
        <f t="shared" si="43"/>
        <v>2.909345383300781</v>
      </c>
    </row>
    <row r="113" spans="1:26">
      <c r="A113">
        <v>14</v>
      </c>
      <c r="B113" s="1">
        <v>6</v>
      </c>
      <c r="C113" s="1">
        <v>9</v>
      </c>
      <c r="D113">
        <f t="shared" si="22"/>
        <v>540</v>
      </c>
      <c r="E113">
        <f t="shared" si="23"/>
        <v>270</v>
      </c>
      <c r="F113">
        <f t="shared" si="24"/>
        <v>52.92</v>
      </c>
      <c r="G113">
        <f t="shared" si="25"/>
        <v>0.31500000000000006</v>
      </c>
      <c r="H113">
        <f t="shared" si="26"/>
        <v>142.88399999999999</v>
      </c>
      <c r="I113">
        <f t="shared" si="27"/>
        <v>529.20000000000005</v>
      </c>
      <c r="J113">
        <f t="shared" si="28"/>
        <v>378</v>
      </c>
      <c r="K113">
        <f t="shared" si="29"/>
        <v>102.06</v>
      </c>
      <c r="L113">
        <f t="shared" si="30"/>
        <v>14.288400000000001</v>
      </c>
      <c r="M113">
        <f t="shared" si="31"/>
        <v>14.034384000000001</v>
      </c>
      <c r="N113">
        <f t="shared" si="32"/>
        <v>7.3029600000000006</v>
      </c>
      <c r="O113">
        <f t="shared" si="33"/>
        <v>10.085929411764708</v>
      </c>
      <c r="P113">
        <f t="shared" si="34"/>
        <v>5.7149028077753776</v>
      </c>
      <c r="Q113">
        <f t="shared" si="35"/>
        <v>58.800000000000004</v>
      </c>
      <c r="R113">
        <f t="shared" si="36"/>
        <v>756</v>
      </c>
      <c r="S113">
        <f t="shared" si="37"/>
        <v>292.95</v>
      </c>
      <c r="T113">
        <f t="shared" si="38"/>
        <v>85.050000000000011</v>
      </c>
      <c r="U113">
        <f>I113*E113/'[1]Inverter Analysis'!$L$2</f>
        <v>342.39345041596306</v>
      </c>
      <c r="V113">
        <f t="shared" si="39"/>
        <v>211.64021164021165</v>
      </c>
      <c r="W113">
        <f t="shared" si="40"/>
        <v>273.08414405188597</v>
      </c>
      <c r="X113">
        <f t="shared" si="41"/>
        <v>151.17157974300829</v>
      </c>
      <c r="Y113">
        <f t="shared" si="42"/>
        <v>1.118624245988268</v>
      </c>
      <c r="Z113">
        <f t="shared" si="43"/>
        <v>2.3654055501562508</v>
      </c>
    </row>
    <row r="114" spans="1:26">
      <c r="A114">
        <v>13</v>
      </c>
      <c r="B114" s="1">
        <v>6</v>
      </c>
      <c r="C114" s="1">
        <v>9</v>
      </c>
      <c r="D114">
        <f t="shared" si="22"/>
        <v>540</v>
      </c>
      <c r="E114">
        <f t="shared" si="23"/>
        <v>270</v>
      </c>
      <c r="F114">
        <f t="shared" si="24"/>
        <v>49.14</v>
      </c>
      <c r="G114">
        <f t="shared" si="25"/>
        <v>0.29249999999999998</v>
      </c>
      <c r="H114">
        <f t="shared" si="26"/>
        <v>132.678</v>
      </c>
      <c r="I114">
        <f t="shared" si="27"/>
        <v>491.40000000000003</v>
      </c>
      <c r="J114">
        <f t="shared" si="28"/>
        <v>351</v>
      </c>
      <c r="K114">
        <f t="shared" si="29"/>
        <v>94.77</v>
      </c>
      <c r="L114">
        <f t="shared" si="30"/>
        <v>13.267800000000001</v>
      </c>
      <c r="M114">
        <f t="shared" si="31"/>
        <v>13.031928000000002</v>
      </c>
      <c r="N114">
        <f t="shared" si="32"/>
        <v>6.78132</v>
      </c>
      <c r="O114">
        <f t="shared" si="33"/>
        <v>9.3655058823529433</v>
      </c>
      <c r="P114">
        <f t="shared" si="34"/>
        <v>5.3066954643628508</v>
      </c>
      <c r="Q114">
        <f t="shared" si="35"/>
        <v>54.6</v>
      </c>
      <c r="R114">
        <f t="shared" si="36"/>
        <v>702</v>
      </c>
      <c r="S114">
        <f t="shared" si="37"/>
        <v>272.02499999999998</v>
      </c>
      <c r="T114">
        <f t="shared" si="38"/>
        <v>78.974999999999994</v>
      </c>
      <c r="U114">
        <f>I114*E114/'[1]Inverter Analysis'!$L$2</f>
        <v>317.93677538625144</v>
      </c>
      <c r="V114">
        <f t="shared" si="39"/>
        <v>227.92022792022792</v>
      </c>
      <c r="W114">
        <f t="shared" si="40"/>
        <v>294.09061667126184</v>
      </c>
      <c r="X114">
        <f t="shared" si="41"/>
        <v>162.80016280016278</v>
      </c>
      <c r="Y114">
        <f t="shared" si="42"/>
        <v>1.2973393622112459</v>
      </c>
      <c r="Z114">
        <f t="shared" si="43"/>
        <v>1.8938760909960937</v>
      </c>
    </row>
    <row r="115" spans="1:26">
      <c r="A115">
        <v>12</v>
      </c>
      <c r="B115" s="1">
        <v>6</v>
      </c>
      <c r="C115" s="1">
        <v>9</v>
      </c>
      <c r="D115">
        <f t="shared" si="22"/>
        <v>540</v>
      </c>
      <c r="E115">
        <f t="shared" si="23"/>
        <v>270</v>
      </c>
      <c r="F115">
        <f t="shared" si="24"/>
        <v>45.36</v>
      </c>
      <c r="G115">
        <f t="shared" si="25"/>
        <v>0.27</v>
      </c>
      <c r="H115">
        <f t="shared" si="26"/>
        <v>122.47199999999999</v>
      </c>
      <c r="I115">
        <f t="shared" si="27"/>
        <v>453.6</v>
      </c>
      <c r="J115">
        <f t="shared" si="28"/>
        <v>324</v>
      </c>
      <c r="K115">
        <f t="shared" si="29"/>
        <v>87.48</v>
      </c>
      <c r="L115">
        <f t="shared" si="30"/>
        <v>12.247200000000001</v>
      </c>
      <c r="M115">
        <f t="shared" si="31"/>
        <v>12.029472</v>
      </c>
      <c r="N115">
        <f t="shared" si="32"/>
        <v>6.2596800000000004</v>
      </c>
      <c r="O115">
        <f t="shared" si="33"/>
        <v>8.6450823529411771</v>
      </c>
      <c r="P115">
        <f t="shared" si="34"/>
        <v>4.8984881209503239</v>
      </c>
      <c r="Q115">
        <f t="shared" si="35"/>
        <v>50.400000000000006</v>
      </c>
      <c r="R115">
        <f t="shared" si="36"/>
        <v>648</v>
      </c>
      <c r="S115">
        <f t="shared" si="37"/>
        <v>251.1</v>
      </c>
      <c r="T115">
        <f t="shared" si="38"/>
        <v>72.900000000000006</v>
      </c>
      <c r="U115">
        <f>I115*E115/'[1]Inverter Analysis'!$L$2</f>
        <v>293.48010035653977</v>
      </c>
      <c r="V115">
        <f t="shared" si="39"/>
        <v>246.91358024691357</v>
      </c>
      <c r="W115">
        <f t="shared" si="40"/>
        <v>318.59816806053368</v>
      </c>
      <c r="X115">
        <f t="shared" si="41"/>
        <v>176.3668430335097</v>
      </c>
      <c r="Y115">
        <f t="shared" si="42"/>
        <v>1.5225718903729211</v>
      </c>
      <c r="Z115">
        <f t="shared" si="43"/>
        <v>1.4895848362499997</v>
      </c>
    </row>
    <row r="116" spans="1:26">
      <c r="A116">
        <v>11</v>
      </c>
      <c r="B116" s="1">
        <v>6</v>
      </c>
      <c r="C116" s="1">
        <v>9</v>
      </c>
      <c r="D116">
        <f t="shared" si="22"/>
        <v>540</v>
      </c>
      <c r="E116">
        <f t="shared" si="23"/>
        <v>270</v>
      </c>
      <c r="F116">
        <f t="shared" si="24"/>
        <v>41.58</v>
      </c>
      <c r="G116">
        <f t="shared" si="25"/>
        <v>0.2475</v>
      </c>
      <c r="H116">
        <f t="shared" si="26"/>
        <v>112.26600000000001</v>
      </c>
      <c r="I116">
        <f t="shared" si="27"/>
        <v>415.8</v>
      </c>
      <c r="J116">
        <f t="shared" si="28"/>
        <v>297</v>
      </c>
      <c r="K116">
        <f t="shared" si="29"/>
        <v>80.19</v>
      </c>
      <c r="L116">
        <f t="shared" si="30"/>
        <v>11.226600000000001</v>
      </c>
      <c r="M116">
        <f t="shared" si="31"/>
        <v>11.027016</v>
      </c>
      <c r="N116">
        <f t="shared" si="32"/>
        <v>5.7380399999999989</v>
      </c>
      <c r="O116">
        <f t="shared" si="33"/>
        <v>7.9246588235294135</v>
      </c>
      <c r="P116">
        <f t="shared" si="34"/>
        <v>4.4902807775377971</v>
      </c>
      <c r="Q116">
        <f t="shared" si="35"/>
        <v>46.2</v>
      </c>
      <c r="R116">
        <f t="shared" si="36"/>
        <v>594</v>
      </c>
      <c r="S116">
        <f t="shared" si="37"/>
        <v>230.17500000000001</v>
      </c>
      <c r="T116">
        <f t="shared" si="38"/>
        <v>66.825000000000003</v>
      </c>
      <c r="U116">
        <f>I116*E116/'[1]Inverter Analysis'!$L$2</f>
        <v>269.02342532682815</v>
      </c>
      <c r="V116">
        <f t="shared" si="39"/>
        <v>269.36026936026934</v>
      </c>
      <c r="W116">
        <f t="shared" si="40"/>
        <v>347.5616378842185</v>
      </c>
      <c r="X116">
        <f t="shared" si="41"/>
        <v>192.4001924001924</v>
      </c>
      <c r="Y116">
        <f t="shared" si="42"/>
        <v>1.8119863819314093</v>
      </c>
      <c r="Z116">
        <f t="shared" si="43"/>
        <v>1.1473596163476565</v>
      </c>
    </row>
    <row r="117" spans="1:26">
      <c r="A117">
        <v>10</v>
      </c>
      <c r="B117" s="1">
        <v>6</v>
      </c>
      <c r="C117" s="1">
        <v>9</v>
      </c>
      <c r="D117">
        <f t="shared" si="22"/>
        <v>540</v>
      </c>
      <c r="E117">
        <f t="shared" si="23"/>
        <v>270</v>
      </c>
      <c r="F117">
        <f t="shared" si="24"/>
        <v>37.799999999999997</v>
      </c>
      <c r="G117">
        <f t="shared" si="25"/>
        <v>0.22500000000000001</v>
      </c>
      <c r="H117">
        <f t="shared" si="26"/>
        <v>102.06</v>
      </c>
      <c r="I117">
        <f t="shared" si="27"/>
        <v>378</v>
      </c>
      <c r="J117">
        <f t="shared" si="28"/>
        <v>270</v>
      </c>
      <c r="K117">
        <f t="shared" si="29"/>
        <v>72.900000000000006</v>
      </c>
      <c r="L117">
        <f t="shared" si="30"/>
        <v>10.206</v>
      </c>
      <c r="M117">
        <f t="shared" si="31"/>
        <v>10.024559999999999</v>
      </c>
      <c r="N117">
        <f t="shared" si="32"/>
        <v>5.2163999999999993</v>
      </c>
      <c r="O117">
        <f t="shared" si="33"/>
        <v>7.2042352941176473</v>
      </c>
      <c r="P117">
        <f t="shared" si="34"/>
        <v>4.0820734341252694</v>
      </c>
      <c r="Q117">
        <f t="shared" si="35"/>
        <v>42</v>
      </c>
      <c r="R117">
        <f t="shared" si="36"/>
        <v>540</v>
      </c>
      <c r="S117">
        <f t="shared" si="37"/>
        <v>209.25</v>
      </c>
      <c r="T117">
        <f t="shared" si="38"/>
        <v>60.75</v>
      </c>
      <c r="U117">
        <f>I117*E117/'[1]Inverter Analysis'!$L$2</f>
        <v>244.56675029711647</v>
      </c>
      <c r="V117">
        <f t="shared" si="39"/>
        <v>296.2962962962963</v>
      </c>
      <c r="W117">
        <f t="shared" si="40"/>
        <v>382.31780167264037</v>
      </c>
      <c r="X117">
        <f t="shared" si="41"/>
        <v>211.64021164021165</v>
      </c>
      <c r="Y117">
        <f t="shared" si="42"/>
        <v>2.1925035221370055</v>
      </c>
      <c r="Z117">
        <f t="shared" si="43"/>
        <v>0.86202826171875013</v>
      </c>
    </row>
    <row r="118" spans="1:26">
      <c r="A118" s="8">
        <v>16</v>
      </c>
      <c r="B118" s="9">
        <v>5</v>
      </c>
      <c r="C118" s="1">
        <v>9</v>
      </c>
      <c r="D118">
        <f t="shared" si="22"/>
        <v>450</v>
      </c>
      <c r="E118">
        <f t="shared" si="23"/>
        <v>225</v>
      </c>
      <c r="F118">
        <f t="shared" si="24"/>
        <v>50.4</v>
      </c>
      <c r="G118">
        <f t="shared" si="25"/>
        <v>0.43199999999999994</v>
      </c>
      <c r="H118">
        <f t="shared" si="26"/>
        <v>136.08000000000004</v>
      </c>
      <c r="I118">
        <f t="shared" si="27"/>
        <v>604.80000000000007</v>
      </c>
      <c r="J118">
        <f t="shared" si="28"/>
        <v>432</v>
      </c>
      <c r="K118">
        <f t="shared" si="29"/>
        <v>97.2</v>
      </c>
      <c r="L118">
        <f t="shared" si="30"/>
        <v>13.608000000000002</v>
      </c>
      <c r="M118">
        <f t="shared" si="31"/>
        <v>13.366080000000002</v>
      </c>
      <c r="N118">
        <f t="shared" si="32"/>
        <v>6.9551999999999996</v>
      </c>
      <c r="O118">
        <f t="shared" si="33"/>
        <v>9.6056470588235321</v>
      </c>
      <c r="P118">
        <f t="shared" si="34"/>
        <v>5.4427645788336934</v>
      </c>
      <c r="Q118">
        <f t="shared" si="35"/>
        <v>67.2</v>
      </c>
      <c r="R118">
        <f t="shared" si="36"/>
        <v>720</v>
      </c>
      <c r="S118">
        <f t="shared" si="37"/>
        <v>334.8</v>
      </c>
      <c r="T118">
        <f t="shared" si="38"/>
        <v>97.199999999999989</v>
      </c>
      <c r="U118">
        <f>I118*E118/'[1]Inverter Analysis'!$L$2</f>
        <v>326.08900039615537</v>
      </c>
      <c r="V118">
        <f t="shared" si="39"/>
        <v>185.18518518518519</v>
      </c>
      <c r="W118">
        <f t="shared" si="40"/>
        <v>238.94862604540023</v>
      </c>
      <c r="X118">
        <f t="shared" si="41"/>
        <v>132.27513227513225</v>
      </c>
      <c r="Y118">
        <f t="shared" si="42"/>
        <v>0.85644668833476767</v>
      </c>
      <c r="Z118">
        <f t="shared" si="43"/>
        <v>2.9423898000000004</v>
      </c>
    </row>
    <row r="119" spans="1:26">
      <c r="A119" s="8">
        <v>15</v>
      </c>
      <c r="B119" s="9">
        <v>5</v>
      </c>
      <c r="C119" s="1">
        <v>9</v>
      </c>
      <c r="D119">
        <f t="shared" si="22"/>
        <v>450</v>
      </c>
      <c r="E119">
        <f t="shared" si="23"/>
        <v>225</v>
      </c>
      <c r="F119">
        <f t="shared" si="24"/>
        <v>47.25</v>
      </c>
      <c r="G119">
        <f t="shared" si="25"/>
        <v>0.40499999999999992</v>
      </c>
      <c r="H119">
        <f t="shared" si="26"/>
        <v>127.575</v>
      </c>
      <c r="I119">
        <f t="shared" si="27"/>
        <v>567</v>
      </c>
      <c r="J119">
        <f t="shared" si="28"/>
        <v>405</v>
      </c>
      <c r="K119">
        <f t="shared" si="29"/>
        <v>91.125</v>
      </c>
      <c r="L119">
        <f t="shared" si="30"/>
        <v>12.7575</v>
      </c>
      <c r="M119">
        <f t="shared" si="31"/>
        <v>12.5307</v>
      </c>
      <c r="N119">
        <f t="shared" si="32"/>
        <v>6.5205000000000002</v>
      </c>
      <c r="O119">
        <f t="shared" si="33"/>
        <v>9.0052941176470593</v>
      </c>
      <c r="P119">
        <f t="shared" si="34"/>
        <v>5.1025917926565869</v>
      </c>
      <c r="Q119">
        <f t="shared" si="35"/>
        <v>63</v>
      </c>
      <c r="R119">
        <f t="shared" si="36"/>
        <v>675</v>
      </c>
      <c r="S119">
        <f t="shared" si="37"/>
        <v>313.875</v>
      </c>
      <c r="T119">
        <f t="shared" si="38"/>
        <v>91.124999999999986</v>
      </c>
      <c r="U119">
        <f>I119*E119/'[1]Inverter Analysis'!$L$2</f>
        <v>305.70843787139557</v>
      </c>
      <c r="V119">
        <f t="shared" si="39"/>
        <v>197.53086419753086</v>
      </c>
      <c r="W119">
        <f t="shared" si="40"/>
        <v>254.87853444842693</v>
      </c>
      <c r="X119">
        <f t="shared" si="41"/>
        <v>141.09347442680777</v>
      </c>
      <c r="Y119">
        <f t="shared" si="42"/>
        <v>0.97444600983866925</v>
      </c>
      <c r="Z119">
        <f t="shared" si="43"/>
        <v>2.4244544860839841</v>
      </c>
    </row>
    <row r="120" spans="1:26">
      <c r="A120">
        <v>14</v>
      </c>
      <c r="B120" s="9">
        <v>5</v>
      </c>
      <c r="C120" s="1">
        <v>9</v>
      </c>
      <c r="D120">
        <f t="shared" si="22"/>
        <v>450</v>
      </c>
      <c r="E120">
        <f t="shared" si="23"/>
        <v>225</v>
      </c>
      <c r="F120">
        <f t="shared" si="24"/>
        <v>44.1</v>
      </c>
      <c r="G120">
        <f t="shared" si="25"/>
        <v>0.37799999999999995</v>
      </c>
      <c r="H120">
        <f t="shared" si="26"/>
        <v>119.07000000000002</v>
      </c>
      <c r="I120">
        <f t="shared" si="27"/>
        <v>529.20000000000005</v>
      </c>
      <c r="J120">
        <f t="shared" si="28"/>
        <v>378</v>
      </c>
      <c r="K120">
        <f t="shared" si="29"/>
        <v>85.05</v>
      </c>
      <c r="L120">
        <f t="shared" si="30"/>
        <v>11.907</v>
      </c>
      <c r="M120">
        <f t="shared" si="31"/>
        <v>11.695320000000002</v>
      </c>
      <c r="N120">
        <f t="shared" si="32"/>
        <v>6.0857999999999999</v>
      </c>
      <c r="O120">
        <f t="shared" si="33"/>
        <v>8.4049411764705884</v>
      </c>
      <c r="P120">
        <f t="shared" si="34"/>
        <v>4.7624190064794822</v>
      </c>
      <c r="Q120">
        <f t="shared" si="35"/>
        <v>58.800000000000004</v>
      </c>
      <c r="R120">
        <f t="shared" si="36"/>
        <v>630</v>
      </c>
      <c r="S120">
        <f t="shared" si="37"/>
        <v>292.95000000000005</v>
      </c>
      <c r="T120">
        <f t="shared" si="38"/>
        <v>85.049999999999983</v>
      </c>
      <c r="U120">
        <f>I120*E120/'[1]Inverter Analysis'!$L$2</f>
        <v>285.32787534663595</v>
      </c>
      <c r="V120">
        <f t="shared" si="39"/>
        <v>211.64021164021165</v>
      </c>
      <c r="W120">
        <f t="shared" si="40"/>
        <v>273.08414405188597</v>
      </c>
      <c r="X120">
        <f t="shared" si="41"/>
        <v>151.17157974300829</v>
      </c>
      <c r="Y120">
        <f t="shared" si="42"/>
        <v>1.118624245988268</v>
      </c>
      <c r="Z120">
        <f t="shared" si="43"/>
        <v>1.9711712917968756</v>
      </c>
    </row>
    <row r="121" spans="1:26">
      <c r="A121">
        <v>13</v>
      </c>
      <c r="B121" s="9">
        <v>5</v>
      </c>
      <c r="C121" s="1">
        <v>9</v>
      </c>
      <c r="D121">
        <f t="shared" si="22"/>
        <v>450</v>
      </c>
      <c r="E121">
        <f t="shared" si="23"/>
        <v>225</v>
      </c>
      <c r="F121">
        <f t="shared" si="24"/>
        <v>40.950000000000003</v>
      </c>
      <c r="G121">
        <f t="shared" si="25"/>
        <v>0.35099999999999992</v>
      </c>
      <c r="H121">
        <f t="shared" si="26"/>
        <v>110.56500000000001</v>
      </c>
      <c r="I121">
        <f t="shared" si="27"/>
        <v>491.40000000000003</v>
      </c>
      <c r="J121">
        <f t="shared" si="28"/>
        <v>351</v>
      </c>
      <c r="K121">
        <f t="shared" si="29"/>
        <v>78.974999999999994</v>
      </c>
      <c r="L121">
        <f t="shared" si="30"/>
        <v>11.0565</v>
      </c>
      <c r="M121">
        <f t="shared" si="31"/>
        <v>10.859940000000002</v>
      </c>
      <c r="N121">
        <f t="shared" si="32"/>
        <v>5.6511000000000005</v>
      </c>
      <c r="O121">
        <f t="shared" si="33"/>
        <v>7.8045882352941183</v>
      </c>
      <c r="P121">
        <f t="shared" si="34"/>
        <v>4.4222462203023758</v>
      </c>
      <c r="Q121">
        <f t="shared" si="35"/>
        <v>54.6</v>
      </c>
      <c r="R121">
        <f t="shared" si="36"/>
        <v>585</v>
      </c>
      <c r="S121">
        <f t="shared" si="37"/>
        <v>272.02500000000003</v>
      </c>
      <c r="T121">
        <f t="shared" si="38"/>
        <v>78.97499999999998</v>
      </c>
      <c r="U121">
        <f>I121*E121/'[1]Inverter Analysis'!$L$2</f>
        <v>264.94731282187621</v>
      </c>
      <c r="V121">
        <f t="shared" si="39"/>
        <v>227.92022792022792</v>
      </c>
      <c r="W121">
        <f t="shared" si="40"/>
        <v>294.09061667126178</v>
      </c>
      <c r="X121">
        <f t="shared" si="41"/>
        <v>162.80016280016278</v>
      </c>
      <c r="Y121">
        <f t="shared" si="42"/>
        <v>1.2973393622112455</v>
      </c>
      <c r="Z121">
        <f t="shared" si="43"/>
        <v>1.5782300758300787</v>
      </c>
    </row>
    <row r="122" spans="1:26">
      <c r="A122">
        <v>12</v>
      </c>
      <c r="B122" s="9">
        <v>5</v>
      </c>
      <c r="C122" s="1">
        <v>9</v>
      </c>
      <c r="D122">
        <f t="shared" si="22"/>
        <v>450</v>
      </c>
      <c r="E122">
        <f t="shared" si="23"/>
        <v>225</v>
      </c>
      <c r="F122">
        <f t="shared" si="24"/>
        <v>37.799999999999997</v>
      </c>
      <c r="G122">
        <f t="shared" si="25"/>
        <v>0.32399999999999995</v>
      </c>
      <c r="H122">
        <f t="shared" si="26"/>
        <v>102.06</v>
      </c>
      <c r="I122">
        <f t="shared" si="27"/>
        <v>453.6</v>
      </c>
      <c r="J122">
        <f t="shared" si="28"/>
        <v>324</v>
      </c>
      <c r="K122">
        <f t="shared" si="29"/>
        <v>72.900000000000006</v>
      </c>
      <c r="L122">
        <f t="shared" si="30"/>
        <v>10.206</v>
      </c>
      <c r="M122">
        <f t="shared" si="31"/>
        <v>10.024559999999999</v>
      </c>
      <c r="N122">
        <f t="shared" si="32"/>
        <v>5.2163999999999993</v>
      </c>
      <c r="O122">
        <f t="shared" si="33"/>
        <v>7.2042352941176473</v>
      </c>
      <c r="P122">
        <f t="shared" si="34"/>
        <v>4.0820734341252694</v>
      </c>
      <c r="Q122">
        <f t="shared" si="35"/>
        <v>50.400000000000006</v>
      </c>
      <c r="R122">
        <f t="shared" si="36"/>
        <v>540</v>
      </c>
      <c r="S122">
        <f t="shared" si="37"/>
        <v>251.10000000000002</v>
      </c>
      <c r="T122">
        <f t="shared" si="38"/>
        <v>72.899999999999991</v>
      </c>
      <c r="U122">
        <f>I122*E122/'[1]Inverter Analysis'!$L$2</f>
        <v>244.56675029711647</v>
      </c>
      <c r="V122">
        <f t="shared" si="39"/>
        <v>246.91358024691357</v>
      </c>
      <c r="W122">
        <f t="shared" si="40"/>
        <v>318.59816806053362</v>
      </c>
      <c r="X122">
        <f t="shared" si="41"/>
        <v>176.3668430335097</v>
      </c>
      <c r="Y122">
        <f t="shared" si="42"/>
        <v>1.5225718903729202</v>
      </c>
      <c r="Z122">
        <f t="shared" si="43"/>
        <v>1.2413206968750004</v>
      </c>
    </row>
    <row r="123" spans="1:26">
      <c r="A123">
        <v>11</v>
      </c>
      <c r="B123" s="9">
        <v>5</v>
      </c>
      <c r="C123" s="1">
        <v>9</v>
      </c>
      <c r="D123">
        <f t="shared" si="22"/>
        <v>450</v>
      </c>
      <c r="E123">
        <f t="shared" si="23"/>
        <v>225</v>
      </c>
      <c r="F123">
        <f t="shared" si="24"/>
        <v>34.65</v>
      </c>
      <c r="G123">
        <f t="shared" si="25"/>
        <v>0.29699999999999993</v>
      </c>
      <c r="H123">
        <f t="shared" si="26"/>
        <v>93.555000000000007</v>
      </c>
      <c r="I123">
        <f t="shared" si="27"/>
        <v>415.8</v>
      </c>
      <c r="J123">
        <f t="shared" si="28"/>
        <v>297</v>
      </c>
      <c r="K123">
        <f t="shared" si="29"/>
        <v>66.825000000000003</v>
      </c>
      <c r="L123">
        <f t="shared" si="30"/>
        <v>9.3554999999999993</v>
      </c>
      <c r="M123">
        <f t="shared" si="31"/>
        <v>9.1891800000000003</v>
      </c>
      <c r="N123">
        <f t="shared" si="32"/>
        <v>4.7816999999999998</v>
      </c>
      <c r="O123">
        <f t="shared" si="33"/>
        <v>6.6038823529411763</v>
      </c>
      <c r="P123">
        <f t="shared" si="34"/>
        <v>3.7419006479481638</v>
      </c>
      <c r="Q123">
        <f t="shared" si="35"/>
        <v>46.2</v>
      </c>
      <c r="R123">
        <f t="shared" si="36"/>
        <v>495</v>
      </c>
      <c r="S123">
        <f t="shared" si="37"/>
        <v>230.17500000000001</v>
      </c>
      <c r="T123">
        <f t="shared" si="38"/>
        <v>66.824999999999989</v>
      </c>
      <c r="U123">
        <f>I123*E123/'[1]Inverter Analysis'!$L$2</f>
        <v>224.18618777235676</v>
      </c>
      <c r="V123">
        <f t="shared" si="39"/>
        <v>269.36026936026934</v>
      </c>
      <c r="W123">
        <f t="shared" si="40"/>
        <v>347.5616378842185</v>
      </c>
      <c r="X123">
        <f t="shared" si="41"/>
        <v>192.4001924001924</v>
      </c>
      <c r="Y123">
        <f t="shared" si="42"/>
        <v>1.8119863819314093</v>
      </c>
      <c r="Z123">
        <f t="shared" si="43"/>
        <v>0.95613301362304715</v>
      </c>
    </row>
    <row r="124" spans="1:26">
      <c r="A124">
        <v>10</v>
      </c>
      <c r="B124" s="9">
        <v>5</v>
      </c>
      <c r="C124" s="1">
        <v>9</v>
      </c>
      <c r="D124">
        <f t="shared" si="22"/>
        <v>450</v>
      </c>
      <c r="E124">
        <f t="shared" si="23"/>
        <v>225</v>
      </c>
      <c r="F124">
        <f t="shared" si="24"/>
        <v>31.5</v>
      </c>
      <c r="G124">
        <f t="shared" si="25"/>
        <v>0.26999999999999996</v>
      </c>
      <c r="H124">
        <f t="shared" si="26"/>
        <v>85.05</v>
      </c>
      <c r="I124">
        <f t="shared" si="27"/>
        <v>378</v>
      </c>
      <c r="J124">
        <f t="shared" si="28"/>
        <v>270</v>
      </c>
      <c r="K124">
        <f t="shared" si="29"/>
        <v>60.75</v>
      </c>
      <c r="L124">
        <f t="shared" si="30"/>
        <v>8.5050000000000008</v>
      </c>
      <c r="M124">
        <f t="shared" si="31"/>
        <v>8.3537999999999997</v>
      </c>
      <c r="N124">
        <f t="shared" si="32"/>
        <v>4.3470000000000004</v>
      </c>
      <c r="O124">
        <f t="shared" si="33"/>
        <v>6.0035294117647071</v>
      </c>
      <c r="P124">
        <f t="shared" si="34"/>
        <v>3.4017278617710582</v>
      </c>
      <c r="Q124">
        <f t="shared" si="35"/>
        <v>42</v>
      </c>
      <c r="R124">
        <f t="shared" si="36"/>
        <v>450</v>
      </c>
      <c r="S124">
        <f t="shared" si="37"/>
        <v>209.25</v>
      </c>
      <c r="T124">
        <f t="shared" si="38"/>
        <v>60.749999999999993</v>
      </c>
      <c r="U124">
        <f>I124*E124/'[1]Inverter Analysis'!$L$2</f>
        <v>203.80562524759708</v>
      </c>
      <c r="V124">
        <f t="shared" si="39"/>
        <v>296.2962962962963</v>
      </c>
      <c r="W124">
        <f t="shared" si="40"/>
        <v>382.31780167264037</v>
      </c>
      <c r="X124">
        <f t="shared" si="41"/>
        <v>211.64021164021165</v>
      </c>
      <c r="Y124">
        <f t="shared" si="42"/>
        <v>2.1925035221370055</v>
      </c>
      <c r="Z124">
        <f t="shared" si="43"/>
        <v>0.7183568847656252</v>
      </c>
    </row>
    <row r="125" spans="1:26">
      <c r="A125">
        <v>16</v>
      </c>
      <c r="B125">
        <v>4</v>
      </c>
      <c r="C125" s="1">
        <v>9</v>
      </c>
      <c r="D125">
        <f t="shared" si="22"/>
        <v>360</v>
      </c>
      <c r="E125">
        <f t="shared" si="23"/>
        <v>180</v>
      </c>
      <c r="F125">
        <f t="shared" si="24"/>
        <v>40.32</v>
      </c>
      <c r="G125">
        <f t="shared" si="25"/>
        <v>0.54</v>
      </c>
      <c r="H125">
        <f t="shared" si="26"/>
        <v>108.86400000000002</v>
      </c>
      <c r="I125">
        <f t="shared" si="27"/>
        <v>604.80000000000007</v>
      </c>
      <c r="J125">
        <f t="shared" si="28"/>
        <v>432</v>
      </c>
      <c r="K125">
        <f t="shared" si="29"/>
        <v>77.760000000000005</v>
      </c>
      <c r="L125">
        <f t="shared" si="30"/>
        <v>10.886400000000002</v>
      </c>
      <c r="M125">
        <f t="shared" si="31"/>
        <v>10.692864000000002</v>
      </c>
      <c r="N125">
        <f t="shared" si="32"/>
        <v>5.5641600000000002</v>
      </c>
      <c r="O125">
        <f t="shared" si="33"/>
        <v>7.6845176470588257</v>
      </c>
      <c r="P125">
        <f t="shared" si="34"/>
        <v>4.3542116630669554</v>
      </c>
      <c r="Q125">
        <f t="shared" si="35"/>
        <v>67.2</v>
      </c>
      <c r="R125">
        <f t="shared" si="36"/>
        <v>576</v>
      </c>
      <c r="S125">
        <f t="shared" si="37"/>
        <v>334.8</v>
      </c>
      <c r="T125">
        <f t="shared" si="38"/>
        <v>97.2</v>
      </c>
      <c r="U125">
        <f>I125*E125/'[1]Inverter Analysis'!$L$2</f>
        <v>260.87120031692427</v>
      </c>
      <c r="V125">
        <f t="shared" si="39"/>
        <v>185.18518518518519</v>
      </c>
      <c r="W125">
        <f t="shared" si="40"/>
        <v>238.94862604540023</v>
      </c>
      <c r="X125">
        <f t="shared" si="41"/>
        <v>132.27513227513225</v>
      </c>
      <c r="Y125">
        <f t="shared" si="42"/>
        <v>0.85644668833476767</v>
      </c>
      <c r="Z125">
        <f t="shared" si="43"/>
        <v>2.3539118400000003</v>
      </c>
    </row>
    <row r="126" spans="1:26">
      <c r="A126">
        <v>15</v>
      </c>
      <c r="B126">
        <v>4</v>
      </c>
      <c r="C126" s="1">
        <v>9</v>
      </c>
      <c r="D126">
        <f t="shared" si="22"/>
        <v>360</v>
      </c>
      <c r="E126">
        <f t="shared" si="23"/>
        <v>180</v>
      </c>
      <c r="F126">
        <f t="shared" si="24"/>
        <v>37.799999999999997</v>
      </c>
      <c r="G126">
        <f t="shared" si="25"/>
        <v>0.50624999999999998</v>
      </c>
      <c r="H126">
        <f t="shared" si="26"/>
        <v>102.06</v>
      </c>
      <c r="I126">
        <f t="shared" si="27"/>
        <v>567</v>
      </c>
      <c r="J126">
        <f t="shared" si="28"/>
        <v>405</v>
      </c>
      <c r="K126">
        <f t="shared" si="29"/>
        <v>72.900000000000006</v>
      </c>
      <c r="L126">
        <f t="shared" si="30"/>
        <v>10.206</v>
      </c>
      <c r="M126">
        <f t="shared" si="31"/>
        <v>10.024559999999999</v>
      </c>
      <c r="N126">
        <f t="shared" si="32"/>
        <v>5.2163999999999993</v>
      </c>
      <c r="O126">
        <f t="shared" si="33"/>
        <v>7.2042352941176473</v>
      </c>
      <c r="P126">
        <f t="shared" si="34"/>
        <v>4.0820734341252694</v>
      </c>
      <c r="Q126">
        <f t="shared" si="35"/>
        <v>63</v>
      </c>
      <c r="R126">
        <f t="shared" si="36"/>
        <v>540</v>
      </c>
      <c r="S126">
        <f t="shared" si="37"/>
        <v>313.875</v>
      </c>
      <c r="T126">
        <f t="shared" si="38"/>
        <v>91.125</v>
      </c>
      <c r="U126">
        <f>I126*E126/'[1]Inverter Analysis'!$L$2</f>
        <v>244.56675029711647</v>
      </c>
      <c r="V126">
        <f t="shared" si="39"/>
        <v>197.53086419753086</v>
      </c>
      <c r="W126">
        <f t="shared" si="40"/>
        <v>254.87853444842693</v>
      </c>
      <c r="X126">
        <f t="shared" si="41"/>
        <v>141.09347442680777</v>
      </c>
      <c r="Y126">
        <f t="shared" si="42"/>
        <v>0.97444600983866925</v>
      </c>
      <c r="Z126">
        <f t="shared" si="43"/>
        <v>1.9395635888671876</v>
      </c>
    </row>
    <row r="127" spans="1:26">
      <c r="A127">
        <v>14</v>
      </c>
      <c r="B127">
        <v>4</v>
      </c>
      <c r="C127" s="1">
        <v>9</v>
      </c>
      <c r="D127">
        <f t="shared" si="22"/>
        <v>360</v>
      </c>
      <c r="E127">
        <f t="shared" si="23"/>
        <v>180</v>
      </c>
      <c r="F127">
        <f t="shared" si="24"/>
        <v>35.28</v>
      </c>
      <c r="G127">
        <f t="shared" si="25"/>
        <v>0.47249999999999998</v>
      </c>
      <c r="H127">
        <f t="shared" si="26"/>
        <v>95.256000000000014</v>
      </c>
      <c r="I127">
        <f t="shared" si="27"/>
        <v>529.20000000000005</v>
      </c>
      <c r="J127">
        <f t="shared" si="28"/>
        <v>378</v>
      </c>
      <c r="K127">
        <f t="shared" si="29"/>
        <v>68.040000000000006</v>
      </c>
      <c r="L127">
        <f t="shared" si="30"/>
        <v>9.5256000000000007</v>
      </c>
      <c r="M127">
        <f t="shared" si="31"/>
        <v>9.3562560000000019</v>
      </c>
      <c r="N127">
        <f t="shared" si="32"/>
        <v>4.8686400000000001</v>
      </c>
      <c r="O127">
        <f t="shared" si="33"/>
        <v>6.7239529411764716</v>
      </c>
      <c r="P127">
        <f t="shared" si="34"/>
        <v>3.8099352051835851</v>
      </c>
      <c r="Q127">
        <f t="shared" si="35"/>
        <v>58.800000000000004</v>
      </c>
      <c r="R127">
        <f t="shared" si="36"/>
        <v>504</v>
      </c>
      <c r="S127">
        <f t="shared" si="37"/>
        <v>292.95</v>
      </c>
      <c r="T127">
        <f t="shared" si="38"/>
        <v>85.05</v>
      </c>
      <c r="U127">
        <f>I127*E127/'[1]Inverter Analysis'!$L$2</f>
        <v>228.26230027730875</v>
      </c>
      <c r="V127">
        <f t="shared" si="39"/>
        <v>211.64021164021165</v>
      </c>
      <c r="W127">
        <f t="shared" si="40"/>
        <v>273.08414405188597</v>
      </c>
      <c r="X127">
        <f t="shared" si="41"/>
        <v>151.17157974300829</v>
      </c>
      <c r="Y127">
        <f t="shared" si="42"/>
        <v>1.118624245988268</v>
      </c>
      <c r="Z127">
        <f t="shared" si="43"/>
        <v>1.5769370334375001</v>
      </c>
    </row>
    <row r="128" spans="1:26">
      <c r="A128">
        <v>13</v>
      </c>
      <c r="B128">
        <v>4</v>
      </c>
      <c r="C128" s="1">
        <v>9</v>
      </c>
      <c r="D128">
        <f t="shared" si="22"/>
        <v>360</v>
      </c>
      <c r="E128">
        <f t="shared" si="23"/>
        <v>180</v>
      </c>
      <c r="F128">
        <f t="shared" si="24"/>
        <v>32.76</v>
      </c>
      <c r="G128">
        <f t="shared" si="25"/>
        <v>0.43875000000000003</v>
      </c>
      <c r="H128">
        <f t="shared" si="26"/>
        <v>88.451999999999998</v>
      </c>
      <c r="I128">
        <f t="shared" si="27"/>
        <v>491.40000000000003</v>
      </c>
      <c r="J128">
        <f t="shared" si="28"/>
        <v>351</v>
      </c>
      <c r="K128">
        <f t="shared" si="29"/>
        <v>63.18</v>
      </c>
      <c r="L128">
        <f t="shared" si="30"/>
        <v>8.8452000000000002</v>
      </c>
      <c r="M128">
        <f t="shared" si="31"/>
        <v>8.687952000000001</v>
      </c>
      <c r="N128">
        <f t="shared" si="32"/>
        <v>4.52088</v>
      </c>
      <c r="O128">
        <f t="shared" si="33"/>
        <v>6.243670588235295</v>
      </c>
      <c r="P128">
        <f t="shared" si="34"/>
        <v>3.5377969762419008</v>
      </c>
      <c r="Q128">
        <f t="shared" si="35"/>
        <v>54.6</v>
      </c>
      <c r="R128">
        <f t="shared" si="36"/>
        <v>468</v>
      </c>
      <c r="S128">
        <f t="shared" si="37"/>
        <v>272.02499999999998</v>
      </c>
      <c r="T128">
        <f t="shared" si="38"/>
        <v>78.975000000000009</v>
      </c>
      <c r="U128">
        <f>I128*E128/'[1]Inverter Analysis'!$L$2</f>
        <v>211.95785025750095</v>
      </c>
      <c r="V128">
        <f t="shared" si="39"/>
        <v>227.92022792022792</v>
      </c>
      <c r="W128">
        <f t="shared" si="40"/>
        <v>294.09061667126184</v>
      </c>
      <c r="X128">
        <f t="shared" si="41"/>
        <v>162.80016280016278</v>
      </c>
      <c r="Y128">
        <f t="shared" si="42"/>
        <v>1.2973393622112459</v>
      </c>
      <c r="Z128">
        <f t="shared" si="43"/>
        <v>1.2625840606640624</v>
      </c>
    </row>
    <row r="129" spans="1:26">
      <c r="A129">
        <v>12</v>
      </c>
      <c r="B129">
        <v>4</v>
      </c>
      <c r="C129" s="1">
        <v>9</v>
      </c>
      <c r="D129">
        <f t="shared" si="22"/>
        <v>360</v>
      </c>
      <c r="E129">
        <f t="shared" si="23"/>
        <v>180</v>
      </c>
      <c r="F129">
        <f t="shared" si="24"/>
        <v>30.24</v>
      </c>
      <c r="G129">
        <f t="shared" si="25"/>
        <v>0.40499999999999997</v>
      </c>
      <c r="H129">
        <f t="shared" si="26"/>
        <v>81.647999999999996</v>
      </c>
      <c r="I129">
        <f t="shared" si="27"/>
        <v>453.6</v>
      </c>
      <c r="J129">
        <f t="shared" si="28"/>
        <v>324</v>
      </c>
      <c r="K129">
        <f t="shared" si="29"/>
        <v>58.32</v>
      </c>
      <c r="L129">
        <f t="shared" si="30"/>
        <v>8.1647999999999996</v>
      </c>
      <c r="M129">
        <f t="shared" si="31"/>
        <v>8.0196480000000001</v>
      </c>
      <c r="N129">
        <f t="shared" si="32"/>
        <v>4.1731199999999999</v>
      </c>
      <c r="O129">
        <f t="shared" si="33"/>
        <v>5.7633882352941175</v>
      </c>
      <c r="P129">
        <f t="shared" si="34"/>
        <v>3.2656587473002161</v>
      </c>
      <c r="Q129">
        <f t="shared" si="35"/>
        <v>50.400000000000006</v>
      </c>
      <c r="R129">
        <f t="shared" si="36"/>
        <v>432</v>
      </c>
      <c r="S129">
        <f t="shared" si="37"/>
        <v>251.10000000000002</v>
      </c>
      <c r="T129">
        <f t="shared" si="38"/>
        <v>72.899999999999991</v>
      </c>
      <c r="U129">
        <f>I129*E129/'[1]Inverter Analysis'!$L$2</f>
        <v>195.65340023769318</v>
      </c>
      <c r="V129">
        <f t="shared" si="39"/>
        <v>246.91358024691357</v>
      </c>
      <c r="W129">
        <f t="shared" si="40"/>
        <v>318.59816806053362</v>
      </c>
      <c r="X129">
        <f t="shared" si="41"/>
        <v>176.3668430335097</v>
      </c>
      <c r="Y129">
        <f t="shared" si="42"/>
        <v>1.5225718903729202</v>
      </c>
      <c r="Z129">
        <f t="shared" si="43"/>
        <v>0.9930565575000001</v>
      </c>
    </row>
    <row r="130" spans="1:26">
      <c r="A130">
        <v>11</v>
      </c>
      <c r="B130">
        <v>4</v>
      </c>
      <c r="C130" s="1">
        <v>9</v>
      </c>
      <c r="D130">
        <f t="shared" si="22"/>
        <v>360</v>
      </c>
      <c r="E130">
        <f t="shared" si="23"/>
        <v>180</v>
      </c>
      <c r="F130">
        <f t="shared" si="24"/>
        <v>27.72</v>
      </c>
      <c r="G130">
        <f t="shared" si="25"/>
        <v>0.37124999999999997</v>
      </c>
      <c r="H130">
        <f t="shared" si="26"/>
        <v>74.843999999999994</v>
      </c>
      <c r="I130">
        <f t="shared" si="27"/>
        <v>415.8</v>
      </c>
      <c r="J130">
        <f t="shared" si="28"/>
        <v>297</v>
      </c>
      <c r="K130">
        <f t="shared" si="29"/>
        <v>53.46</v>
      </c>
      <c r="L130">
        <f t="shared" si="30"/>
        <v>7.4844000000000008</v>
      </c>
      <c r="M130">
        <f t="shared" si="31"/>
        <v>7.3513440000000001</v>
      </c>
      <c r="N130">
        <f t="shared" si="32"/>
        <v>3.8253599999999999</v>
      </c>
      <c r="O130">
        <f t="shared" si="33"/>
        <v>5.2831058823529418</v>
      </c>
      <c r="P130">
        <f t="shared" si="34"/>
        <v>2.9935205183585314</v>
      </c>
      <c r="Q130">
        <f t="shared" si="35"/>
        <v>46.2</v>
      </c>
      <c r="R130">
        <f t="shared" si="36"/>
        <v>396</v>
      </c>
      <c r="S130">
        <f t="shared" si="37"/>
        <v>230.17500000000001</v>
      </c>
      <c r="T130">
        <f t="shared" si="38"/>
        <v>66.824999999999989</v>
      </c>
      <c r="U130">
        <f>I130*E130/'[1]Inverter Analysis'!$L$2</f>
        <v>179.34895021788543</v>
      </c>
      <c r="V130">
        <f t="shared" si="39"/>
        <v>269.36026936026934</v>
      </c>
      <c r="W130">
        <f t="shared" si="40"/>
        <v>347.5616378842185</v>
      </c>
      <c r="X130">
        <f t="shared" si="41"/>
        <v>192.4001924001924</v>
      </c>
      <c r="Y130">
        <f t="shared" si="42"/>
        <v>1.8119863819314093</v>
      </c>
      <c r="Z130">
        <f t="shared" si="43"/>
        <v>0.76490641089843758</v>
      </c>
    </row>
    <row r="131" spans="1:26">
      <c r="A131">
        <v>10</v>
      </c>
      <c r="B131">
        <v>4</v>
      </c>
      <c r="C131" s="1">
        <v>9</v>
      </c>
      <c r="D131">
        <f t="shared" si="22"/>
        <v>360</v>
      </c>
      <c r="E131">
        <f t="shared" si="23"/>
        <v>180</v>
      </c>
      <c r="F131">
        <f t="shared" si="24"/>
        <v>25.2</v>
      </c>
      <c r="G131">
        <f t="shared" si="25"/>
        <v>0.33749999999999997</v>
      </c>
      <c r="H131">
        <f t="shared" si="26"/>
        <v>68.040000000000006</v>
      </c>
      <c r="I131">
        <f t="shared" si="27"/>
        <v>378</v>
      </c>
      <c r="J131">
        <f t="shared" si="28"/>
        <v>270</v>
      </c>
      <c r="K131">
        <f t="shared" si="29"/>
        <v>48.6</v>
      </c>
      <c r="L131">
        <f t="shared" si="30"/>
        <v>6.8040000000000003</v>
      </c>
      <c r="M131">
        <f t="shared" si="31"/>
        <v>6.6830400000000001</v>
      </c>
      <c r="N131">
        <f t="shared" si="32"/>
        <v>3.4775999999999998</v>
      </c>
      <c r="O131">
        <f t="shared" si="33"/>
        <v>4.8028235294117652</v>
      </c>
      <c r="P131">
        <f t="shared" si="34"/>
        <v>2.7213822894168462</v>
      </c>
      <c r="Q131">
        <f t="shared" si="35"/>
        <v>42</v>
      </c>
      <c r="R131">
        <f t="shared" si="36"/>
        <v>360</v>
      </c>
      <c r="S131">
        <f t="shared" si="37"/>
        <v>209.25</v>
      </c>
      <c r="T131">
        <f t="shared" si="38"/>
        <v>60.749999999999993</v>
      </c>
      <c r="U131">
        <f>I131*E131/'[1]Inverter Analysis'!$L$2</f>
        <v>163.04450019807766</v>
      </c>
      <c r="V131">
        <f t="shared" si="39"/>
        <v>296.2962962962963</v>
      </c>
      <c r="W131">
        <f t="shared" si="40"/>
        <v>382.31780167264037</v>
      </c>
      <c r="X131">
        <f t="shared" si="41"/>
        <v>211.64021164021165</v>
      </c>
      <c r="Y131">
        <f t="shared" si="42"/>
        <v>2.1925035221370055</v>
      </c>
      <c r="Z131">
        <f t="shared" si="43"/>
        <v>0.57468550781250005</v>
      </c>
    </row>
    <row r="132" spans="1:26">
      <c r="A132">
        <v>16</v>
      </c>
      <c r="B132">
        <v>3</v>
      </c>
      <c r="C132" s="1">
        <v>9</v>
      </c>
      <c r="D132">
        <f t="shared" si="22"/>
        <v>270</v>
      </c>
      <c r="E132">
        <f t="shared" si="23"/>
        <v>135</v>
      </c>
      <c r="F132">
        <f t="shared" si="24"/>
        <v>30.24</v>
      </c>
      <c r="G132">
        <f t="shared" si="25"/>
        <v>0.72</v>
      </c>
      <c r="H132">
        <f t="shared" si="26"/>
        <v>81.64800000000001</v>
      </c>
      <c r="I132">
        <f t="shared" si="27"/>
        <v>604.80000000000007</v>
      </c>
      <c r="J132">
        <f t="shared" si="28"/>
        <v>432</v>
      </c>
      <c r="K132">
        <f t="shared" si="29"/>
        <v>58.32</v>
      </c>
      <c r="L132">
        <f t="shared" si="30"/>
        <v>8.1648000000000014</v>
      </c>
      <c r="M132">
        <f t="shared" si="31"/>
        <v>8.0196480000000019</v>
      </c>
      <c r="N132">
        <f t="shared" si="32"/>
        <v>4.1731199999999999</v>
      </c>
      <c r="O132">
        <f t="shared" si="33"/>
        <v>5.7633882352941193</v>
      </c>
      <c r="P132">
        <f t="shared" si="34"/>
        <v>3.2656587473002165</v>
      </c>
      <c r="Q132">
        <f t="shared" si="35"/>
        <v>67.2</v>
      </c>
      <c r="R132">
        <f t="shared" si="36"/>
        <v>432</v>
      </c>
      <c r="S132">
        <f t="shared" si="37"/>
        <v>334.8</v>
      </c>
      <c r="T132">
        <f t="shared" si="38"/>
        <v>97.2</v>
      </c>
      <c r="U132">
        <f>I132*E132/'[1]Inverter Analysis'!$L$2</f>
        <v>195.65340023769321</v>
      </c>
      <c r="V132">
        <f t="shared" si="39"/>
        <v>185.18518518518519</v>
      </c>
      <c r="W132">
        <f t="shared" si="40"/>
        <v>238.94862604540023</v>
      </c>
      <c r="X132">
        <f t="shared" si="41"/>
        <v>132.27513227513225</v>
      </c>
      <c r="Y132">
        <f t="shared" si="42"/>
        <v>0.85644668833476767</v>
      </c>
      <c r="Z132">
        <f t="shared" si="43"/>
        <v>1.7654338800000002</v>
      </c>
    </row>
    <row r="133" spans="1:26">
      <c r="A133">
        <v>15</v>
      </c>
      <c r="B133">
        <v>3</v>
      </c>
      <c r="C133" s="1">
        <v>9</v>
      </c>
      <c r="D133">
        <f t="shared" si="22"/>
        <v>270</v>
      </c>
      <c r="E133">
        <f t="shared" si="23"/>
        <v>135</v>
      </c>
      <c r="F133">
        <f t="shared" si="24"/>
        <v>28.35</v>
      </c>
      <c r="G133">
        <f t="shared" si="25"/>
        <v>0.67499999999999993</v>
      </c>
      <c r="H133">
        <f t="shared" si="26"/>
        <v>76.545000000000002</v>
      </c>
      <c r="I133">
        <f t="shared" si="27"/>
        <v>567</v>
      </c>
      <c r="J133">
        <f t="shared" si="28"/>
        <v>405</v>
      </c>
      <c r="K133">
        <f t="shared" si="29"/>
        <v>54.674999999999997</v>
      </c>
      <c r="L133">
        <f t="shared" si="30"/>
        <v>7.6544999999999996</v>
      </c>
      <c r="M133">
        <f t="shared" si="31"/>
        <v>7.5184199999999999</v>
      </c>
      <c r="N133">
        <f t="shared" si="32"/>
        <v>3.9122999999999997</v>
      </c>
      <c r="O133">
        <f t="shared" si="33"/>
        <v>5.4031764705882352</v>
      </c>
      <c r="P133">
        <f t="shared" si="34"/>
        <v>3.0615550755939527</v>
      </c>
      <c r="Q133">
        <f t="shared" si="35"/>
        <v>63</v>
      </c>
      <c r="R133">
        <f t="shared" si="36"/>
        <v>405</v>
      </c>
      <c r="S133">
        <f t="shared" si="37"/>
        <v>313.875</v>
      </c>
      <c r="T133">
        <f t="shared" si="38"/>
        <v>91.124999999999986</v>
      </c>
      <c r="U133">
        <f>I133*E133/'[1]Inverter Analysis'!$L$2</f>
        <v>183.42506272283737</v>
      </c>
      <c r="V133">
        <f t="shared" si="39"/>
        <v>197.53086419753086</v>
      </c>
      <c r="W133">
        <f t="shared" si="40"/>
        <v>254.87853444842693</v>
      </c>
      <c r="X133">
        <f t="shared" si="41"/>
        <v>141.09347442680777</v>
      </c>
      <c r="Y133">
        <f t="shared" si="42"/>
        <v>0.97444600983866925</v>
      </c>
      <c r="Z133">
        <f t="shared" si="43"/>
        <v>1.4546726916503905</v>
      </c>
    </row>
    <row r="134" spans="1:26">
      <c r="A134">
        <v>14</v>
      </c>
      <c r="B134">
        <v>3</v>
      </c>
      <c r="C134" s="1">
        <v>9</v>
      </c>
      <c r="D134">
        <f t="shared" si="22"/>
        <v>270</v>
      </c>
      <c r="E134">
        <f t="shared" si="23"/>
        <v>135</v>
      </c>
      <c r="F134">
        <f t="shared" si="24"/>
        <v>26.46</v>
      </c>
      <c r="G134">
        <f t="shared" si="25"/>
        <v>0.63000000000000012</v>
      </c>
      <c r="H134">
        <f t="shared" si="26"/>
        <v>71.441999999999993</v>
      </c>
      <c r="I134">
        <f t="shared" si="27"/>
        <v>529.20000000000005</v>
      </c>
      <c r="J134">
        <f t="shared" si="28"/>
        <v>378</v>
      </c>
      <c r="K134">
        <f t="shared" si="29"/>
        <v>51.03</v>
      </c>
      <c r="L134">
        <f t="shared" si="30"/>
        <v>7.1442000000000005</v>
      </c>
      <c r="M134">
        <f t="shared" si="31"/>
        <v>7.0171920000000005</v>
      </c>
      <c r="N134">
        <f t="shared" si="32"/>
        <v>3.6514800000000003</v>
      </c>
      <c r="O134">
        <f t="shared" si="33"/>
        <v>5.0429647058823539</v>
      </c>
      <c r="P134">
        <f t="shared" si="34"/>
        <v>2.8574514038876888</v>
      </c>
      <c r="Q134">
        <f t="shared" si="35"/>
        <v>58.800000000000004</v>
      </c>
      <c r="R134">
        <f t="shared" si="36"/>
        <v>378</v>
      </c>
      <c r="S134">
        <f t="shared" si="37"/>
        <v>292.95</v>
      </c>
      <c r="T134">
        <f t="shared" si="38"/>
        <v>85.050000000000011</v>
      </c>
      <c r="U134">
        <f>I134*E134/'[1]Inverter Analysis'!$L$2</f>
        <v>171.19672520798153</v>
      </c>
      <c r="V134">
        <f t="shared" si="39"/>
        <v>211.64021164021165</v>
      </c>
      <c r="W134">
        <f t="shared" si="40"/>
        <v>273.08414405188597</v>
      </c>
      <c r="X134">
        <f t="shared" si="41"/>
        <v>151.17157974300829</v>
      </c>
      <c r="Y134">
        <f t="shared" si="42"/>
        <v>1.118624245988268</v>
      </c>
      <c r="Z134">
        <f t="shared" si="43"/>
        <v>1.1827027750781254</v>
      </c>
    </row>
    <row r="135" spans="1:26">
      <c r="A135">
        <v>13</v>
      </c>
      <c r="B135">
        <v>3</v>
      </c>
      <c r="C135" s="1">
        <v>9</v>
      </c>
      <c r="D135">
        <f t="shared" ref="D135:D198" si="44">B135*$J$3</f>
        <v>270</v>
      </c>
      <c r="E135">
        <f t="shared" ref="E135:E198" si="45">B135*$I$3</f>
        <v>135</v>
      </c>
      <c r="F135">
        <f t="shared" ref="F135:F198" si="46">A135*B135*C135*$Q$3/1000</f>
        <v>24.57</v>
      </c>
      <c r="G135">
        <f t="shared" ref="G135:G198" si="47">((B135*$R$3^(-1))^(-1))*A135*C135</f>
        <v>0.58499999999999996</v>
      </c>
      <c r="H135">
        <f t="shared" ref="H135:H198" si="48">E135*I135/1000</f>
        <v>66.338999999999999</v>
      </c>
      <c r="I135">
        <f t="shared" ref="I135:I198" si="49">A135*C135*4.2</f>
        <v>491.40000000000003</v>
      </c>
      <c r="J135">
        <f t="shared" ref="J135:J198" si="50">C135*A135*$K$3</f>
        <v>351</v>
      </c>
      <c r="K135">
        <f t="shared" ref="K135:K198" si="51">E135*J135/1000</f>
        <v>47.384999999999998</v>
      </c>
      <c r="L135">
        <f t="shared" ref="L135:L198" si="52">$N$3/1000*I135*B135/1000</f>
        <v>6.6339000000000006</v>
      </c>
      <c r="M135">
        <f t="shared" ref="M135:M198" si="53">$O$3/1000*I135*B135/1000</f>
        <v>6.5159640000000012</v>
      </c>
      <c r="N135">
        <f t="shared" ref="N135:N198" si="54">$P$3/1000*I135*B135/1000</f>
        <v>3.39066</v>
      </c>
      <c r="O135">
        <f t="shared" ref="O135:O198" si="55">L135*(($L$3-$K$3)/($L$3-$M$3))</f>
        <v>4.6827529411764717</v>
      </c>
      <c r="P135">
        <f t="shared" ref="P135:P198" si="56">$H$3/1000*B135*I135/277.8/C135</f>
        <v>2.6533477321814254</v>
      </c>
      <c r="Q135">
        <f t="shared" ref="Q135:Q198" si="57">I135/C135</f>
        <v>54.6</v>
      </c>
      <c r="R135">
        <f t="shared" ref="R135:R198" si="58">(A135*B135*C135)</f>
        <v>351</v>
      </c>
      <c r="S135">
        <f t="shared" ref="S135:S198" si="59">J135-(G135*E135)</f>
        <v>272.02499999999998</v>
      </c>
      <c r="T135">
        <f t="shared" ref="T135:T198" si="60">G135*E135</f>
        <v>78.974999999999994</v>
      </c>
      <c r="U135">
        <f>I135*E135/'[1]Inverter Analysis'!$L$2</f>
        <v>158.96838769312572</v>
      </c>
      <c r="V135">
        <f t="shared" ref="V135:V198" si="61">80000/J135</f>
        <v>227.92022792022792</v>
      </c>
      <c r="W135">
        <f t="shared" ref="W135:W198" si="62">80000/S135</f>
        <v>294.09061667126184</v>
      </c>
      <c r="X135">
        <f t="shared" ref="X135:X198" si="63">80000/I135</f>
        <v>162.80016280016278</v>
      </c>
      <c r="Y135">
        <f t="shared" ref="Y135:Y198" si="64">(MAX(V135:X135)^2)*$R$3/1000</f>
        <v>1.2973393622112459</v>
      </c>
      <c r="Z135">
        <f t="shared" ref="Z135:Z198" si="65">($S$3*F135/(Y135*1000))*10</f>
        <v>0.94693804549804683</v>
      </c>
    </row>
    <row r="136" spans="1:26">
      <c r="A136">
        <v>12</v>
      </c>
      <c r="B136">
        <v>3</v>
      </c>
      <c r="C136" s="1">
        <v>9</v>
      </c>
      <c r="D136">
        <f t="shared" si="44"/>
        <v>270</v>
      </c>
      <c r="E136">
        <f t="shared" si="45"/>
        <v>135</v>
      </c>
      <c r="F136">
        <f t="shared" si="46"/>
        <v>22.68</v>
      </c>
      <c r="G136">
        <f t="shared" si="47"/>
        <v>0.54</v>
      </c>
      <c r="H136">
        <f t="shared" si="48"/>
        <v>61.235999999999997</v>
      </c>
      <c r="I136">
        <f t="shared" si="49"/>
        <v>453.6</v>
      </c>
      <c r="J136">
        <f t="shared" si="50"/>
        <v>324</v>
      </c>
      <c r="K136">
        <f t="shared" si="51"/>
        <v>43.74</v>
      </c>
      <c r="L136">
        <f t="shared" si="52"/>
        <v>6.1236000000000006</v>
      </c>
      <c r="M136">
        <f t="shared" si="53"/>
        <v>6.0147360000000001</v>
      </c>
      <c r="N136">
        <f t="shared" si="54"/>
        <v>3.1298400000000002</v>
      </c>
      <c r="O136">
        <f t="shared" si="55"/>
        <v>4.3225411764705886</v>
      </c>
      <c r="P136">
        <f t="shared" si="56"/>
        <v>2.449244060475162</v>
      </c>
      <c r="Q136">
        <f t="shared" si="57"/>
        <v>50.400000000000006</v>
      </c>
      <c r="R136">
        <f t="shared" si="58"/>
        <v>324</v>
      </c>
      <c r="S136">
        <f t="shared" si="59"/>
        <v>251.1</v>
      </c>
      <c r="T136">
        <f t="shared" si="60"/>
        <v>72.900000000000006</v>
      </c>
      <c r="U136">
        <f>I136*E136/'[1]Inverter Analysis'!$L$2</f>
        <v>146.74005017826988</v>
      </c>
      <c r="V136">
        <f t="shared" si="61"/>
        <v>246.91358024691357</v>
      </c>
      <c r="W136">
        <f t="shared" si="62"/>
        <v>318.59816806053368</v>
      </c>
      <c r="X136">
        <f t="shared" si="63"/>
        <v>176.3668430335097</v>
      </c>
      <c r="Y136">
        <f t="shared" si="64"/>
        <v>1.5225718903729211</v>
      </c>
      <c r="Z136">
        <f t="shared" si="65"/>
        <v>0.74479241812499986</v>
      </c>
    </row>
    <row r="137" spans="1:26">
      <c r="A137">
        <v>11</v>
      </c>
      <c r="B137">
        <v>3</v>
      </c>
      <c r="C137" s="1">
        <v>9</v>
      </c>
      <c r="D137">
        <f t="shared" si="44"/>
        <v>270</v>
      </c>
      <c r="E137">
        <f t="shared" si="45"/>
        <v>135</v>
      </c>
      <c r="F137">
        <f t="shared" si="46"/>
        <v>20.79</v>
      </c>
      <c r="G137">
        <f t="shared" si="47"/>
        <v>0.495</v>
      </c>
      <c r="H137">
        <f t="shared" si="48"/>
        <v>56.133000000000003</v>
      </c>
      <c r="I137">
        <f t="shared" si="49"/>
        <v>415.8</v>
      </c>
      <c r="J137">
        <f t="shared" si="50"/>
        <v>297</v>
      </c>
      <c r="K137">
        <f t="shared" si="51"/>
        <v>40.094999999999999</v>
      </c>
      <c r="L137">
        <f t="shared" si="52"/>
        <v>5.6133000000000006</v>
      </c>
      <c r="M137">
        <f t="shared" si="53"/>
        <v>5.5135079999999999</v>
      </c>
      <c r="N137">
        <f t="shared" si="54"/>
        <v>2.8690199999999995</v>
      </c>
      <c r="O137">
        <f t="shared" si="55"/>
        <v>3.9623294117647068</v>
      </c>
      <c r="P137">
        <f t="shared" si="56"/>
        <v>2.2451403887688985</v>
      </c>
      <c r="Q137">
        <f t="shared" si="57"/>
        <v>46.2</v>
      </c>
      <c r="R137">
        <f t="shared" si="58"/>
        <v>297</v>
      </c>
      <c r="S137">
        <f t="shared" si="59"/>
        <v>230.17500000000001</v>
      </c>
      <c r="T137">
        <f t="shared" si="60"/>
        <v>66.825000000000003</v>
      </c>
      <c r="U137">
        <f>I137*E137/'[1]Inverter Analysis'!$L$2</f>
        <v>134.51171266341407</v>
      </c>
      <c r="V137">
        <f t="shared" si="61"/>
        <v>269.36026936026934</v>
      </c>
      <c r="W137">
        <f t="shared" si="62"/>
        <v>347.5616378842185</v>
      </c>
      <c r="X137">
        <f t="shared" si="63"/>
        <v>192.4001924001924</v>
      </c>
      <c r="Y137">
        <f t="shared" si="64"/>
        <v>1.8119863819314093</v>
      </c>
      <c r="Z137">
        <f t="shared" si="65"/>
        <v>0.57367980817382824</v>
      </c>
    </row>
    <row r="138" spans="1:26">
      <c r="A138">
        <v>10</v>
      </c>
      <c r="B138">
        <v>3</v>
      </c>
      <c r="C138" s="1">
        <v>9</v>
      </c>
      <c r="D138">
        <f t="shared" si="44"/>
        <v>270</v>
      </c>
      <c r="E138">
        <f t="shared" si="45"/>
        <v>135</v>
      </c>
      <c r="F138">
        <f t="shared" si="46"/>
        <v>18.899999999999999</v>
      </c>
      <c r="G138">
        <f t="shared" si="47"/>
        <v>0.45</v>
      </c>
      <c r="H138">
        <f t="shared" si="48"/>
        <v>51.03</v>
      </c>
      <c r="I138">
        <f t="shared" si="49"/>
        <v>378</v>
      </c>
      <c r="J138">
        <f t="shared" si="50"/>
        <v>270</v>
      </c>
      <c r="K138">
        <f t="shared" si="51"/>
        <v>36.450000000000003</v>
      </c>
      <c r="L138">
        <f t="shared" si="52"/>
        <v>5.1029999999999998</v>
      </c>
      <c r="M138">
        <f t="shared" si="53"/>
        <v>5.0122799999999996</v>
      </c>
      <c r="N138">
        <f t="shared" si="54"/>
        <v>2.6081999999999996</v>
      </c>
      <c r="O138">
        <f t="shared" si="55"/>
        <v>3.6021176470588236</v>
      </c>
      <c r="P138">
        <f t="shared" si="56"/>
        <v>2.0410367170626347</v>
      </c>
      <c r="Q138">
        <f t="shared" si="57"/>
        <v>42</v>
      </c>
      <c r="R138">
        <f t="shared" si="58"/>
        <v>270</v>
      </c>
      <c r="S138">
        <f t="shared" si="59"/>
        <v>209.25</v>
      </c>
      <c r="T138">
        <f t="shared" si="60"/>
        <v>60.75</v>
      </c>
      <c r="U138">
        <f>I138*E138/'[1]Inverter Analysis'!$L$2</f>
        <v>122.28337514855824</v>
      </c>
      <c r="V138">
        <f t="shared" si="61"/>
        <v>296.2962962962963</v>
      </c>
      <c r="W138">
        <f t="shared" si="62"/>
        <v>382.31780167264037</v>
      </c>
      <c r="X138">
        <f t="shared" si="63"/>
        <v>211.64021164021165</v>
      </c>
      <c r="Y138">
        <f t="shared" si="64"/>
        <v>2.1925035221370055</v>
      </c>
      <c r="Z138">
        <f t="shared" si="65"/>
        <v>0.43101413085937507</v>
      </c>
    </row>
    <row r="139" spans="1:26">
      <c r="A139">
        <v>16</v>
      </c>
      <c r="B139">
        <v>2</v>
      </c>
      <c r="C139" s="1">
        <v>9</v>
      </c>
      <c r="D139">
        <f t="shared" si="44"/>
        <v>180</v>
      </c>
      <c r="E139">
        <f t="shared" si="45"/>
        <v>90</v>
      </c>
      <c r="F139">
        <f t="shared" si="46"/>
        <v>20.16</v>
      </c>
      <c r="G139">
        <f t="shared" si="47"/>
        <v>1.08</v>
      </c>
      <c r="H139">
        <f t="shared" si="48"/>
        <v>54.432000000000009</v>
      </c>
      <c r="I139">
        <f t="shared" si="49"/>
        <v>604.80000000000007</v>
      </c>
      <c r="J139">
        <f t="shared" si="50"/>
        <v>432</v>
      </c>
      <c r="K139">
        <f t="shared" si="51"/>
        <v>38.880000000000003</v>
      </c>
      <c r="L139">
        <f t="shared" si="52"/>
        <v>5.4432000000000009</v>
      </c>
      <c r="M139">
        <f t="shared" si="53"/>
        <v>5.346432000000001</v>
      </c>
      <c r="N139">
        <f t="shared" si="54"/>
        <v>2.7820800000000001</v>
      </c>
      <c r="O139">
        <f t="shared" si="55"/>
        <v>3.8422588235294128</v>
      </c>
      <c r="P139">
        <f t="shared" si="56"/>
        <v>2.1771058315334777</v>
      </c>
      <c r="Q139">
        <f t="shared" si="57"/>
        <v>67.2</v>
      </c>
      <c r="R139">
        <f t="shared" si="58"/>
        <v>288</v>
      </c>
      <c r="S139">
        <f t="shared" si="59"/>
        <v>334.8</v>
      </c>
      <c r="T139">
        <f t="shared" si="60"/>
        <v>97.2</v>
      </c>
      <c r="U139">
        <f>I139*E139/'[1]Inverter Analysis'!$L$2</f>
        <v>130.43560015846214</v>
      </c>
      <c r="V139">
        <f t="shared" si="61"/>
        <v>185.18518518518519</v>
      </c>
      <c r="W139">
        <f t="shared" si="62"/>
        <v>238.94862604540023</v>
      </c>
      <c r="X139">
        <f t="shared" si="63"/>
        <v>132.27513227513225</v>
      </c>
      <c r="Y139">
        <f t="shared" si="64"/>
        <v>0.85644668833476767</v>
      </c>
      <c r="Z139">
        <f t="shared" si="65"/>
        <v>1.1769559200000002</v>
      </c>
    </row>
    <row r="140" spans="1:26">
      <c r="A140">
        <v>15</v>
      </c>
      <c r="B140">
        <v>2</v>
      </c>
      <c r="C140" s="1">
        <v>9</v>
      </c>
      <c r="D140">
        <f t="shared" si="44"/>
        <v>180</v>
      </c>
      <c r="E140">
        <f t="shared" si="45"/>
        <v>90</v>
      </c>
      <c r="F140">
        <f t="shared" si="46"/>
        <v>18.899999999999999</v>
      </c>
      <c r="G140">
        <f t="shared" si="47"/>
        <v>1.0125</v>
      </c>
      <c r="H140">
        <f t="shared" si="48"/>
        <v>51.03</v>
      </c>
      <c r="I140">
        <f t="shared" si="49"/>
        <v>567</v>
      </c>
      <c r="J140">
        <f t="shared" si="50"/>
        <v>405</v>
      </c>
      <c r="K140">
        <f t="shared" si="51"/>
        <v>36.450000000000003</v>
      </c>
      <c r="L140">
        <f t="shared" si="52"/>
        <v>5.1029999999999998</v>
      </c>
      <c r="M140">
        <f t="shared" si="53"/>
        <v>5.0122799999999996</v>
      </c>
      <c r="N140">
        <f t="shared" si="54"/>
        <v>2.6081999999999996</v>
      </c>
      <c r="O140">
        <f t="shared" si="55"/>
        <v>3.6021176470588236</v>
      </c>
      <c r="P140">
        <f t="shared" si="56"/>
        <v>2.0410367170626347</v>
      </c>
      <c r="Q140">
        <f t="shared" si="57"/>
        <v>63</v>
      </c>
      <c r="R140">
        <f t="shared" si="58"/>
        <v>270</v>
      </c>
      <c r="S140">
        <f t="shared" si="59"/>
        <v>313.875</v>
      </c>
      <c r="T140">
        <f t="shared" si="60"/>
        <v>91.125</v>
      </c>
      <c r="U140">
        <f>I140*E140/'[1]Inverter Analysis'!$L$2</f>
        <v>122.28337514855824</v>
      </c>
      <c r="V140">
        <f t="shared" si="61"/>
        <v>197.53086419753086</v>
      </c>
      <c r="W140">
        <f t="shared" si="62"/>
        <v>254.87853444842693</v>
      </c>
      <c r="X140">
        <f t="shared" si="63"/>
        <v>141.09347442680777</v>
      </c>
      <c r="Y140">
        <f t="shared" si="64"/>
        <v>0.97444600983866925</v>
      </c>
      <c r="Z140">
        <f t="shared" si="65"/>
        <v>0.9697817944335938</v>
      </c>
    </row>
    <row r="141" spans="1:26">
      <c r="A141">
        <v>14</v>
      </c>
      <c r="B141">
        <v>2</v>
      </c>
      <c r="C141" s="1">
        <v>9</v>
      </c>
      <c r="D141">
        <f t="shared" si="44"/>
        <v>180</v>
      </c>
      <c r="E141">
        <f t="shared" si="45"/>
        <v>90</v>
      </c>
      <c r="F141">
        <f t="shared" si="46"/>
        <v>17.64</v>
      </c>
      <c r="G141">
        <f t="shared" si="47"/>
        <v>0.94499999999999995</v>
      </c>
      <c r="H141">
        <f t="shared" si="48"/>
        <v>47.628000000000007</v>
      </c>
      <c r="I141">
        <f t="shared" si="49"/>
        <v>529.20000000000005</v>
      </c>
      <c r="J141">
        <f t="shared" si="50"/>
        <v>378</v>
      </c>
      <c r="K141">
        <f t="shared" si="51"/>
        <v>34.020000000000003</v>
      </c>
      <c r="L141">
        <f t="shared" si="52"/>
        <v>4.7628000000000004</v>
      </c>
      <c r="M141">
        <f t="shared" si="53"/>
        <v>4.678128000000001</v>
      </c>
      <c r="N141">
        <f t="shared" si="54"/>
        <v>2.43432</v>
      </c>
      <c r="O141">
        <f t="shared" si="55"/>
        <v>3.3619764705882358</v>
      </c>
      <c r="P141">
        <f t="shared" si="56"/>
        <v>1.9049676025917925</v>
      </c>
      <c r="Q141">
        <f t="shared" si="57"/>
        <v>58.800000000000004</v>
      </c>
      <c r="R141">
        <f t="shared" si="58"/>
        <v>252</v>
      </c>
      <c r="S141">
        <f t="shared" si="59"/>
        <v>292.95</v>
      </c>
      <c r="T141">
        <f t="shared" si="60"/>
        <v>85.05</v>
      </c>
      <c r="U141">
        <f>I141*E141/'[1]Inverter Analysis'!$L$2</f>
        <v>114.13115013865438</v>
      </c>
      <c r="V141">
        <f t="shared" si="61"/>
        <v>211.64021164021165</v>
      </c>
      <c r="W141">
        <f t="shared" si="62"/>
        <v>273.08414405188597</v>
      </c>
      <c r="X141">
        <f t="shared" si="63"/>
        <v>151.17157974300829</v>
      </c>
      <c r="Y141">
        <f t="shared" si="64"/>
        <v>1.118624245988268</v>
      </c>
      <c r="Z141">
        <f t="shared" si="65"/>
        <v>0.78846851671875007</v>
      </c>
    </row>
    <row r="142" spans="1:26">
      <c r="A142">
        <v>13</v>
      </c>
      <c r="B142">
        <v>2</v>
      </c>
      <c r="C142" s="1">
        <v>9</v>
      </c>
      <c r="D142">
        <f t="shared" si="44"/>
        <v>180</v>
      </c>
      <c r="E142">
        <f t="shared" si="45"/>
        <v>90</v>
      </c>
      <c r="F142">
        <f t="shared" si="46"/>
        <v>16.38</v>
      </c>
      <c r="G142">
        <f t="shared" si="47"/>
        <v>0.87750000000000006</v>
      </c>
      <c r="H142">
        <f t="shared" si="48"/>
        <v>44.225999999999999</v>
      </c>
      <c r="I142">
        <f t="shared" si="49"/>
        <v>491.40000000000003</v>
      </c>
      <c r="J142">
        <f t="shared" si="50"/>
        <v>351</v>
      </c>
      <c r="K142">
        <f t="shared" si="51"/>
        <v>31.59</v>
      </c>
      <c r="L142">
        <f t="shared" si="52"/>
        <v>4.4226000000000001</v>
      </c>
      <c r="M142">
        <f t="shared" si="53"/>
        <v>4.3439760000000005</v>
      </c>
      <c r="N142">
        <f t="shared" si="54"/>
        <v>2.26044</v>
      </c>
      <c r="O142">
        <f t="shared" si="55"/>
        <v>3.1218352941176475</v>
      </c>
      <c r="P142">
        <f t="shared" si="56"/>
        <v>1.7688984881209504</v>
      </c>
      <c r="Q142">
        <f t="shared" si="57"/>
        <v>54.6</v>
      </c>
      <c r="R142">
        <f t="shared" si="58"/>
        <v>234</v>
      </c>
      <c r="S142">
        <f t="shared" si="59"/>
        <v>272.02499999999998</v>
      </c>
      <c r="T142">
        <f t="shared" si="60"/>
        <v>78.975000000000009</v>
      </c>
      <c r="U142">
        <f>I142*E142/'[1]Inverter Analysis'!$L$2</f>
        <v>105.97892512875048</v>
      </c>
      <c r="V142">
        <f t="shared" si="61"/>
        <v>227.92022792022792</v>
      </c>
      <c r="W142">
        <f t="shared" si="62"/>
        <v>294.09061667126184</v>
      </c>
      <c r="X142">
        <f t="shared" si="63"/>
        <v>162.80016280016278</v>
      </c>
      <c r="Y142">
        <f t="shared" si="64"/>
        <v>1.2973393622112459</v>
      </c>
      <c r="Z142">
        <f t="shared" si="65"/>
        <v>0.63129203033203118</v>
      </c>
    </row>
    <row r="143" spans="1:26">
      <c r="A143">
        <v>12</v>
      </c>
      <c r="B143">
        <v>2</v>
      </c>
      <c r="C143" s="1">
        <v>9</v>
      </c>
      <c r="D143">
        <f t="shared" si="44"/>
        <v>180</v>
      </c>
      <c r="E143">
        <f t="shared" si="45"/>
        <v>90</v>
      </c>
      <c r="F143">
        <f t="shared" si="46"/>
        <v>15.12</v>
      </c>
      <c r="G143">
        <f t="shared" si="47"/>
        <v>0.80999999999999994</v>
      </c>
      <c r="H143">
        <f t="shared" si="48"/>
        <v>40.823999999999998</v>
      </c>
      <c r="I143">
        <f t="shared" si="49"/>
        <v>453.6</v>
      </c>
      <c r="J143">
        <f t="shared" si="50"/>
        <v>324</v>
      </c>
      <c r="K143">
        <f t="shared" si="51"/>
        <v>29.16</v>
      </c>
      <c r="L143">
        <f t="shared" si="52"/>
        <v>4.0823999999999998</v>
      </c>
      <c r="M143">
        <f t="shared" si="53"/>
        <v>4.0098240000000001</v>
      </c>
      <c r="N143">
        <f t="shared" si="54"/>
        <v>2.08656</v>
      </c>
      <c r="O143">
        <f t="shared" si="55"/>
        <v>2.8816941176470587</v>
      </c>
      <c r="P143">
        <f t="shared" si="56"/>
        <v>1.6328293736501081</v>
      </c>
      <c r="Q143">
        <f t="shared" si="57"/>
        <v>50.400000000000006</v>
      </c>
      <c r="R143">
        <f t="shared" si="58"/>
        <v>216</v>
      </c>
      <c r="S143">
        <f t="shared" si="59"/>
        <v>251.10000000000002</v>
      </c>
      <c r="T143">
        <f t="shared" si="60"/>
        <v>72.899999999999991</v>
      </c>
      <c r="U143">
        <f>I143*E143/'[1]Inverter Analysis'!$L$2</f>
        <v>97.826700118846588</v>
      </c>
      <c r="V143">
        <f t="shared" si="61"/>
        <v>246.91358024691357</v>
      </c>
      <c r="W143">
        <f t="shared" si="62"/>
        <v>318.59816806053362</v>
      </c>
      <c r="X143">
        <f t="shared" si="63"/>
        <v>176.3668430335097</v>
      </c>
      <c r="Y143">
        <f t="shared" si="64"/>
        <v>1.5225718903729202</v>
      </c>
      <c r="Z143">
        <f t="shared" si="65"/>
        <v>0.49652827875000005</v>
      </c>
    </row>
    <row r="144" spans="1:26">
      <c r="A144">
        <v>11</v>
      </c>
      <c r="B144">
        <v>2</v>
      </c>
      <c r="C144" s="1">
        <v>9</v>
      </c>
      <c r="D144">
        <f t="shared" si="44"/>
        <v>180</v>
      </c>
      <c r="E144">
        <f t="shared" si="45"/>
        <v>90</v>
      </c>
      <c r="F144">
        <f t="shared" si="46"/>
        <v>13.86</v>
      </c>
      <c r="G144">
        <f t="shared" si="47"/>
        <v>0.74249999999999994</v>
      </c>
      <c r="H144">
        <f t="shared" si="48"/>
        <v>37.421999999999997</v>
      </c>
      <c r="I144">
        <f t="shared" si="49"/>
        <v>415.8</v>
      </c>
      <c r="J144">
        <f t="shared" si="50"/>
        <v>297</v>
      </c>
      <c r="K144">
        <f t="shared" si="51"/>
        <v>26.73</v>
      </c>
      <c r="L144">
        <f t="shared" si="52"/>
        <v>3.7422000000000004</v>
      </c>
      <c r="M144">
        <f t="shared" si="53"/>
        <v>3.6756720000000001</v>
      </c>
      <c r="N144">
        <f t="shared" si="54"/>
        <v>1.9126799999999999</v>
      </c>
      <c r="O144">
        <f t="shared" si="55"/>
        <v>2.6415529411764709</v>
      </c>
      <c r="P144">
        <f t="shared" si="56"/>
        <v>1.4967602591792657</v>
      </c>
      <c r="Q144">
        <f t="shared" si="57"/>
        <v>46.2</v>
      </c>
      <c r="R144">
        <f t="shared" si="58"/>
        <v>198</v>
      </c>
      <c r="S144">
        <f t="shared" si="59"/>
        <v>230.17500000000001</v>
      </c>
      <c r="T144">
        <f t="shared" si="60"/>
        <v>66.824999999999989</v>
      </c>
      <c r="U144">
        <f>I144*E144/'[1]Inverter Analysis'!$L$2</f>
        <v>89.674475108942715</v>
      </c>
      <c r="V144">
        <f t="shared" si="61"/>
        <v>269.36026936026934</v>
      </c>
      <c r="W144">
        <f t="shared" si="62"/>
        <v>347.5616378842185</v>
      </c>
      <c r="X144">
        <f t="shared" si="63"/>
        <v>192.4001924001924</v>
      </c>
      <c r="Y144">
        <f t="shared" si="64"/>
        <v>1.8119863819314093</v>
      </c>
      <c r="Z144">
        <f t="shared" si="65"/>
        <v>0.38245320544921879</v>
      </c>
    </row>
    <row r="145" spans="1:26">
      <c r="A145">
        <v>10</v>
      </c>
      <c r="B145">
        <v>2</v>
      </c>
      <c r="C145" s="1">
        <v>9</v>
      </c>
      <c r="D145">
        <f t="shared" si="44"/>
        <v>180</v>
      </c>
      <c r="E145">
        <f t="shared" si="45"/>
        <v>90</v>
      </c>
      <c r="F145">
        <f t="shared" si="46"/>
        <v>12.6</v>
      </c>
      <c r="G145">
        <f t="shared" si="47"/>
        <v>0.67499999999999993</v>
      </c>
      <c r="H145">
        <f t="shared" si="48"/>
        <v>34.020000000000003</v>
      </c>
      <c r="I145">
        <f t="shared" si="49"/>
        <v>378</v>
      </c>
      <c r="J145">
        <f t="shared" si="50"/>
        <v>270</v>
      </c>
      <c r="K145">
        <f t="shared" si="51"/>
        <v>24.3</v>
      </c>
      <c r="L145">
        <f t="shared" si="52"/>
        <v>3.4020000000000001</v>
      </c>
      <c r="M145">
        <f t="shared" si="53"/>
        <v>3.34152</v>
      </c>
      <c r="N145">
        <f t="shared" si="54"/>
        <v>1.7387999999999999</v>
      </c>
      <c r="O145">
        <f t="shared" si="55"/>
        <v>2.4014117647058826</v>
      </c>
      <c r="P145">
        <f t="shared" si="56"/>
        <v>1.3606911447084231</v>
      </c>
      <c r="Q145">
        <f t="shared" si="57"/>
        <v>42</v>
      </c>
      <c r="R145">
        <f t="shared" si="58"/>
        <v>180</v>
      </c>
      <c r="S145">
        <f t="shared" si="59"/>
        <v>209.25</v>
      </c>
      <c r="T145">
        <f t="shared" si="60"/>
        <v>60.749999999999993</v>
      </c>
      <c r="U145">
        <f>I145*E145/'[1]Inverter Analysis'!$L$2</f>
        <v>81.522250099038828</v>
      </c>
      <c r="V145">
        <f t="shared" si="61"/>
        <v>296.2962962962963</v>
      </c>
      <c r="W145">
        <f t="shared" si="62"/>
        <v>382.31780167264037</v>
      </c>
      <c r="X145">
        <f t="shared" si="63"/>
        <v>211.64021164021165</v>
      </c>
      <c r="Y145">
        <f t="shared" si="64"/>
        <v>2.1925035221370055</v>
      </c>
      <c r="Z145">
        <f t="shared" si="65"/>
        <v>0.28734275390625003</v>
      </c>
    </row>
    <row r="146" spans="1:26">
      <c r="A146" s="8">
        <v>16</v>
      </c>
      <c r="B146" s="1">
        <v>6</v>
      </c>
      <c r="C146" s="1">
        <v>8</v>
      </c>
      <c r="D146">
        <f t="shared" si="44"/>
        <v>540</v>
      </c>
      <c r="E146">
        <f t="shared" si="45"/>
        <v>270</v>
      </c>
      <c r="F146">
        <f t="shared" si="46"/>
        <v>53.76</v>
      </c>
      <c r="G146">
        <f t="shared" si="47"/>
        <v>0.32</v>
      </c>
      <c r="H146">
        <f t="shared" si="48"/>
        <v>145.15199999999999</v>
      </c>
      <c r="I146">
        <f t="shared" si="49"/>
        <v>537.6</v>
      </c>
      <c r="J146">
        <f t="shared" si="50"/>
        <v>384</v>
      </c>
      <c r="K146">
        <f t="shared" si="51"/>
        <v>103.68</v>
      </c>
      <c r="L146">
        <f t="shared" si="52"/>
        <v>14.5152</v>
      </c>
      <c r="M146">
        <f t="shared" si="53"/>
        <v>14.257152</v>
      </c>
      <c r="N146">
        <f t="shared" si="54"/>
        <v>7.4188799999999997</v>
      </c>
      <c r="O146">
        <f t="shared" si="55"/>
        <v>10.246023529411765</v>
      </c>
      <c r="P146">
        <f t="shared" si="56"/>
        <v>6.5313174946004322</v>
      </c>
      <c r="Q146">
        <f t="shared" si="57"/>
        <v>67.2</v>
      </c>
      <c r="R146">
        <f t="shared" si="58"/>
        <v>768</v>
      </c>
      <c r="S146">
        <f t="shared" si="59"/>
        <v>297.60000000000002</v>
      </c>
      <c r="T146">
        <f t="shared" si="60"/>
        <v>86.4</v>
      </c>
      <c r="U146">
        <f>I146*E146/'[1]Inverter Analysis'!$L$2</f>
        <v>347.82826708923233</v>
      </c>
      <c r="V146">
        <f t="shared" si="61"/>
        <v>208.33333333333334</v>
      </c>
      <c r="W146">
        <f t="shared" si="62"/>
        <v>268.81720430107526</v>
      </c>
      <c r="X146">
        <f t="shared" si="63"/>
        <v>148.8095238095238</v>
      </c>
      <c r="Y146">
        <f t="shared" si="64"/>
        <v>1.0839403399236907</v>
      </c>
      <c r="Z146">
        <f t="shared" si="65"/>
        <v>2.4798412800000005</v>
      </c>
    </row>
    <row r="147" spans="1:26">
      <c r="A147" s="8">
        <v>15</v>
      </c>
      <c r="B147" s="1">
        <v>6</v>
      </c>
      <c r="C147" s="1">
        <v>8</v>
      </c>
      <c r="D147">
        <f t="shared" si="44"/>
        <v>540</v>
      </c>
      <c r="E147">
        <f t="shared" si="45"/>
        <v>270</v>
      </c>
      <c r="F147">
        <f t="shared" si="46"/>
        <v>50.4</v>
      </c>
      <c r="G147">
        <f t="shared" si="47"/>
        <v>0.3</v>
      </c>
      <c r="H147">
        <f t="shared" si="48"/>
        <v>136.08000000000001</v>
      </c>
      <c r="I147">
        <f t="shared" si="49"/>
        <v>504</v>
      </c>
      <c r="J147">
        <f t="shared" si="50"/>
        <v>360</v>
      </c>
      <c r="K147">
        <f t="shared" si="51"/>
        <v>97.2</v>
      </c>
      <c r="L147">
        <f t="shared" si="52"/>
        <v>13.608000000000001</v>
      </c>
      <c r="M147">
        <f t="shared" si="53"/>
        <v>13.366079999999998</v>
      </c>
      <c r="N147">
        <f t="shared" si="54"/>
        <v>6.9551999999999987</v>
      </c>
      <c r="O147">
        <f t="shared" si="55"/>
        <v>9.6056470588235303</v>
      </c>
      <c r="P147">
        <f t="shared" si="56"/>
        <v>6.1231101511879045</v>
      </c>
      <c r="Q147">
        <f t="shared" si="57"/>
        <v>63</v>
      </c>
      <c r="R147">
        <f t="shared" si="58"/>
        <v>720</v>
      </c>
      <c r="S147">
        <f t="shared" si="59"/>
        <v>279</v>
      </c>
      <c r="T147">
        <f t="shared" si="60"/>
        <v>81</v>
      </c>
      <c r="U147">
        <f>I147*E147/'[1]Inverter Analysis'!$L$2</f>
        <v>326.08900039615531</v>
      </c>
      <c r="V147">
        <f t="shared" si="61"/>
        <v>222.22222222222223</v>
      </c>
      <c r="W147">
        <f t="shared" si="62"/>
        <v>286.73835125448028</v>
      </c>
      <c r="X147">
        <f t="shared" si="63"/>
        <v>158.73015873015873</v>
      </c>
      <c r="Y147">
        <f t="shared" si="64"/>
        <v>1.2332832312020658</v>
      </c>
      <c r="Z147">
        <f t="shared" si="65"/>
        <v>2.0433262499999998</v>
      </c>
    </row>
    <row r="148" spans="1:26">
      <c r="A148">
        <v>14</v>
      </c>
      <c r="B148" s="1">
        <v>6</v>
      </c>
      <c r="C148" s="1">
        <v>8</v>
      </c>
      <c r="D148">
        <f t="shared" si="44"/>
        <v>540</v>
      </c>
      <c r="E148">
        <f t="shared" si="45"/>
        <v>270</v>
      </c>
      <c r="F148">
        <f t="shared" si="46"/>
        <v>47.04</v>
      </c>
      <c r="G148">
        <f t="shared" si="47"/>
        <v>0.28000000000000003</v>
      </c>
      <c r="H148">
        <f t="shared" si="48"/>
        <v>127.00800000000001</v>
      </c>
      <c r="I148">
        <f t="shared" si="49"/>
        <v>470.40000000000003</v>
      </c>
      <c r="J148">
        <f t="shared" si="50"/>
        <v>336</v>
      </c>
      <c r="K148">
        <f t="shared" si="51"/>
        <v>90.72</v>
      </c>
      <c r="L148">
        <f t="shared" si="52"/>
        <v>12.700800000000001</v>
      </c>
      <c r="M148">
        <f t="shared" si="53"/>
        <v>12.475008000000001</v>
      </c>
      <c r="N148">
        <f t="shared" si="54"/>
        <v>6.4915200000000004</v>
      </c>
      <c r="O148">
        <f t="shared" si="55"/>
        <v>8.9652705882352954</v>
      </c>
      <c r="P148">
        <f t="shared" si="56"/>
        <v>5.7149028077753785</v>
      </c>
      <c r="Q148">
        <f t="shared" si="57"/>
        <v>58.800000000000004</v>
      </c>
      <c r="R148">
        <f t="shared" si="58"/>
        <v>672</v>
      </c>
      <c r="S148">
        <f t="shared" si="59"/>
        <v>260.39999999999998</v>
      </c>
      <c r="T148">
        <f t="shared" si="60"/>
        <v>75.600000000000009</v>
      </c>
      <c r="U148">
        <f>I148*E148/'[1]Inverter Analysis'!$L$2</f>
        <v>304.3497337030783</v>
      </c>
      <c r="V148">
        <f t="shared" si="61"/>
        <v>238.0952380952381</v>
      </c>
      <c r="W148">
        <f t="shared" si="62"/>
        <v>307.21966205837174</v>
      </c>
      <c r="X148">
        <f t="shared" si="63"/>
        <v>170.06802721088434</v>
      </c>
      <c r="Y148">
        <f t="shared" si="64"/>
        <v>1.4157588113289019</v>
      </c>
      <c r="Z148">
        <f t="shared" si="65"/>
        <v>1.66129992</v>
      </c>
    </row>
    <row r="149" spans="1:26">
      <c r="A149">
        <v>13</v>
      </c>
      <c r="B149" s="1">
        <v>6</v>
      </c>
      <c r="C149" s="1">
        <v>8</v>
      </c>
      <c r="D149">
        <f t="shared" si="44"/>
        <v>540</v>
      </c>
      <c r="E149">
        <f t="shared" si="45"/>
        <v>270</v>
      </c>
      <c r="F149">
        <f t="shared" si="46"/>
        <v>43.68</v>
      </c>
      <c r="G149">
        <f t="shared" si="47"/>
        <v>0.26</v>
      </c>
      <c r="H149">
        <f t="shared" si="48"/>
        <v>117.93600000000001</v>
      </c>
      <c r="I149">
        <f t="shared" si="49"/>
        <v>436.8</v>
      </c>
      <c r="J149">
        <f t="shared" si="50"/>
        <v>312</v>
      </c>
      <c r="K149">
        <f t="shared" si="51"/>
        <v>84.24</v>
      </c>
      <c r="L149">
        <f t="shared" si="52"/>
        <v>11.7936</v>
      </c>
      <c r="M149">
        <f t="shared" si="53"/>
        <v>11.583936</v>
      </c>
      <c r="N149">
        <f t="shared" si="54"/>
        <v>6.0278400000000003</v>
      </c>
      <c r="O149">
        <f t="shared" si="55"/>
        <v>8.3248941176470588</v>
      </c>
      <c r="P149">
        <f t="shared" si="56"/>
        <v>5.3066954643628508</v>
      </c>
      <c r="Q149">
        <f t="shared" si="57"/>
        <v>54.6</v>
      </c>
      <c r="R149">
        <f t="shared" si="58"/>
        <v>624</v>
      </c>
      <c r="S149">
        <f t="shared" si="59"/>
        <v>241.8</v>
      </c>
      <c r="T149">
        <f t="shared" si="60"/>
        <v>70.2</v>
      </c>
      <c r="U149">
        <f>I149*E149/'[1]Inverter Analysis'!$L$2</f>
        <v>282.61046701000129</v>
      </c>
      <c r="V149">
        <f t="shared" si="61"/>
        <v>256.41025641025641</v>
      </c>
      <c r="W149">
        <f t="shared" si="62"/>
        <v>330.85194375516954</v>
      </c>
      <c r="X149">
        <f t="shared" si="63"/>
        <v>183.15018315018315</v>
      </c>
      <c r="Y149">
        <f t="shared" si="64"/>
        <v>1.6419451302986081</v>
      </c>
      <c r="Z149">
        <f t="shared" si="65"/>
        <v>1.33012971</v>
      </c>
    </row>
    <row r="150" spans="1:26">
      <c r="A150">
        <v>12</v>
      </c>
      <c r="B150" s="1">
        <v>6</v>
      </c>
      <c r="C150" s="1">
        <v>8</v>
      </c>
      <c r="D150">
        <f t="shared" si="44"/>
        <v>540</v>
      </c>
      <c r="E150">
        <f t="shared" si="45"/>
        <v>270</v>
      </c>
      <c r="F150">
        <f t="shared" si="46"/>
        <v>40.32</v>
      </c>
      <c r="G150">
        <f t="shared" si="47"/>
        <v>0.24</v>
      </c>
      <c r="H150">
        <f t="shared" si="48"/>
        <v>108.86400000000002</v>
      </c>
      <c r="I150">
        <f t="shared" si="49"/>
        <v>403.20000000000005</v>
      </c>
      <c r="J150">
        <f t="shared" si="50"/>
        <v>288</v>
      </c>
      <c r="K150">
        <f t="shared" si="51"/>
        <v>77.760000000000005</v>
      </c>
      <c r="L150">
        <f t="shared" si="52"/>
        <v>10.886400000000002</v>
      </c>
      <c r="M150">
        <f t="shared" si="53"/>
        <v>10.692864000000002</v>
      </c>
      <c r="N150">
        <f t="shared" si="54"/>
        <v>5.5641600000000002</v>
      </c>
      <c r="O150">
        <f t="shared" si="55"/>
        <v>7.6845176470588257</v>
      </c>
      <c r="P150">
        <f t="shared" si="56"/>
        <v>4.8984881209503248</v>
      </c>
      <c r="Q150">
        <f t="shared" si="57"/>
        <v>50.400000000000006</v>
      </c>
      <c r="R150">
        <f t="shared" si="58"/>
        <v>576</v>
      </c>
      <c r="S150">
        <f t="shared" si="59"/>
        <v>223.2</v>
      </c>
      <c r="T150">
        <f t="shared" si="60"/>
        <v>64.8</v>
      </c>
      <c r="U150">
        <f>I150*E150/'[1]Inverter Analysis'!$L$2</f>
        <v>260.87120031692427</v>
      </c>
      <c r="V150">
        <f t="shared" si="61"/>
        <v>277.77777777777777</v>
      </c>
      <c r="W150">
        <f t="shared" si="62"/>
        <v>358.42293906810039</v>
      </c>
      <c r="X150">
        <f t="shared" si="63"/>
        <v>198.4126984126984</v>
      </c>
      <c r="Y150">
        <f t="shared" si="64"/>
        <v>1.927005048753228</v>
      </c>
      <c r="Z150">
        <f t="shared" si="65"/>
        <v>1.0461830399999998</v>
      </c>
    </row>
    <row r="151" spans="1:26">
      <c r="A151">
        <v>11</v>
      </c>
      <c r="B151" s="1">
        <v>6</v>
      </c>
      <c r="C151" s="1">
        <v>8</v>
      </c>
      <c r="D151">
        <f t="shared" si="44"/>
        <v>540</v>
      </c>
      <c r="E151">
        <f t="shared" si="45"/>
        <v>270</v>
      </c>
      <c r="F151">
        <f t="shared" si="46"/>
        <v>36.96</v>
      </c>
      <c r="G151">
        <f t="shared" si="47"/>
        <v>0.22</v>
      </c>
      <c r="H151">
        <f t="shared" si="48"/>
        <v>99.792000000000002</v>
      </c>
      <c r="I151">
        <f t="shared" si="49"/>
        <v>369.6</v>
      </c>
      <c r="J151">
        <f t="shared" si="50"/>
        <v>264</v>
      </c>
      <c r="K151">
        <f t="shared" si="51"/>
        <v>71.28</v>
      </c>
      <c r="L151">
        <f t="shared" si="52"/>
        <v>9.9792000000000005</v>
      </c>
      <c r="M151">
        <f t="shared" si="53"/>
        <v>9.8017920000000007</v>
      </c>
      <c r="N151">
        <f t="shared" si="54"/>
        <v>5.1004800000000001</v>
      </c>
      <c r="O151">
        <f t="shared" si="55"/>
        <v>7.044141176470589</v>
      </c>
      <c r="P151">
        <f t="shared" si="56"/>
        <v>4.4902807775377971</v>
      </c>
      <c r="Q151">
        <f t="shared" si="57"/>
        <v>46.2</v>
      </c>
      <c r="R151">
        <f t="shared" si="58"/>
        <v>528</v>
      </c>
      <c r="S151">
        <f t="shared" si="59"/>
        <v>204.6</v>
      </c>
      <c r="T151">
        <f t="shared" si="60"/>
        <v>59.4</v>
      </c>
      <c r="U151">
        <f>I151*E151/'[1]Inverter Analysis'!$L$2</f>
        <v>239.13193362384723</v>
      </c>
      <c r="V151">
        <f t="shared" si="61"/>
        <v>303.030303030303</v>
      </c>
      <c r="W151">
        <f t="shared" si="62"/>
        <v>391.00684261974584</v>
      </c>
      <c r="X151">
        <f t="shared" si="63"/>
        <v>216.45021645021643</v>
      </c>
      <c r="Y151">
        <f t="shared" si="64"/>
        <v>2.2932952646319404</v>
      </c>
      <c r="Z151">
        <f t="shared" si="65"/>
        <v>0.80582733000000006</v>
      </c>
    </row>
    <row r="152" spans="1:26">
      <c r="A152">
        <v>10</v>
      </c>
      <c r="B152" s="1">
        <v>6</v>
      </c>
      <c r="C152" s="1">
        <v>8</v>
      </c>
      <c r="D152">
        <f t="shared" si="44"/>
        <v>540</v>
      </c>
      <c r="E152">
        <f t="shared" si="45"/>
        <v>270</v>
      </c>
      <c r="F152">
        <f t="shared" si="46"/>
        <v>33.6</v>
      </c>
      <c r="G152">
        <f t="shared" si="47"/>
        <v>0.2</v>
      </c>
      <c r="H152">
        <f t="shared" si="48"/>
        <v>90.72</v>
      </c>
      <c r="I152">
        <f t="shared" si="49"/>
        <v>336</v>
      </c>
      <c r="J152">
        <f t="shared" si="50"/>
        <v>240</v>
      </c>
      <c r="K152">
        <f t="shared" si="51"/>
        <v>64.8</v>
      </c>
      <c r="L152">
        <f t="shared" si="52"/>
        <v>9.0719999999999992</v>
      </c>
      <c r="M152">
        <f t="shared" si="53"/>
        <v>8.9107199999999995</v>
      </c>
      <c r="N152">
        <f t="shared" si="54"/>
        <v>4.6367999999999991</v>
      </c>
      <c r="O152">
        <f t="shared" si="55"/>
        <v>6.4037647058823524</v>
      </c>
      <c r="P152">
        <f t="shared" si="56"/>
        <v>4.0820734341252702</v>
      </c>
      <c r="Q152">
        <f t="shared" si="57"/>
        <v>42</v>
      </c>
      <c r="R152">
        <f t="shared" si="58"/>
        <v>480</v>
      </c>
      <c r="S152">
        <f t="shared" si="59"/>
        <v>186</v>
      </c>
      <c r="T152">
        <f t="shared" si="60"/>
        <v>54</v>
      </c>
      <c r="U152">
        <f>I152*E152/'[1]Inverter Analysis'!$L$2</f>
        <v>217.39266693077019</v>
      </c>
      <c r="V152">
        <f t="shared" si="61"/>
        <v>333.33333333333331</v>
      </c>
      <c r="W152">
        <f t="shared" si="62"/>
        <v>430.10752688172045</v>
      </c>
      <c r="X152">
        <f t="shared" si="63"/>
        <v>238.0952380952381</v>
      </c>
      <c r="Y152">
        <f t="shared" si="64"/>
        <v>2.7748872702046476</v>
      </c>
      <c r="Z152">
        <f t="shared" si="65"/>
        <v>0.60543000000000002</v>
      </c>
    </row>
    <row r="153" spans="1:26">
      <c r="A153" s="8">
        <v>16</v>
      </c>
      <c r="B153" s="9">
        <v>5</v>
      </c>
      <c r="C153" s="1">
        <v>8</v>
      </c>
      <c r="D153">
        <f t="shared" si="44"/>
        <v>450</v>
      </c>
      <c r="E153">
        <f t="shared" si="45"/>
        <v>225</v>
      </c>
      <c r="F153">
        <f t="shared" si="46"/>
        <v>44.8</v>
      </c>
      <c r="G153">
        <f t="shared" si="47"/>
        <v>0.38399999999999995</v>
      </c>
      <c r="H153">
        <f t="shared" si="48"/>
        <v>120.96</v>
      </c>
      <c r="I153">
        <f t="shared" si="49"/>
        <v>537.6</v>
      </c>
      <c r="J153">
        <f t="shared" si="50"/>
        <v>384</v>
      </c>
      <c r="K153">
        <f t="shared" si="51"/>
        <v>86.4</v>
      </c>
      <c r="L153">
        <f t="shared" si="52"/>
        <v>12.096000000000002</v>
      </c>
      <c r="M153">
        <f t="shared" si="53"/>
        <v>11.88096</v>
      </c>
      <c r="N153">
        <f t="shared" si="54"/>
        <v>6.1823999999999995</v>
      </c>
      <c r="O153">
        <f t="shared" si="55"/>
        <v>8.5383529411764716</v>
      </c>
      <c r="P153">
        <f t="shared" si="56"/>
        <v>5.4427645788336934</v>
      </c>
      <c r="Q153">
        <f t="shared" si="57"/>
        <v>67.2</v>
      </c>
      <c r="R153">
        <f t="shared" si="58"/>
        <v>640</v>
      </c>
      <c r="S153">
        <f t="shared" si="59"/>
        <v>297.60000000000002</v>
      </c>
      <c r="T153">
        <f t="shared" si="60"/>
        <v>86.399999999999991</v>
      </c>
      <c r="U153">
        <f>I153*E153/'[1]Inverter Analysis'!$L$2</f>
        <v>289.85688924102692</v>
      </c>
      <c r="V153">
        <f t="shared" si="61"/>
        <v>208.33333333333334</v>
      </c>
      <c r="W153">
        <f t="shared" si="62"/>
        <v>268.81720430107526</v>
      </c>
      <c r="X153">
        <f t="shared" si="63"/>
        <v>148.8095238095238</v>
      </c>
      <c r="Y153">
        <f t="shared" si="64"/>
        <v>1.0839403399236907</v>
      </c>
      <c r="Z153">
        <f t="shared" si="65"/>
        <v>2.0665344000000001</v>
      </c>
    </row>
    <row r="154" spans="1:26">
      <c r="A154" s="8">
        <v>15</v>
      </c>
      <c r="B154" s="9">
        <v>5</v>
      </c>
      <c r="C154" s="1">
        <v>8</v>
      </c>
      <c r="D154">
        <f t="shared" si="44"/>
        <v>450</v>
      </c>
      <c r="E154">
        <f t="shared" si="45"/>
        <v>225</v>
      </c>
      <c r="F154">
        <f t="shared" si="46"/>
        <v>42</v>
      </c>
      <c r="G154">
        <f t="shared" si="47"/>
        <v>0.35999999999999993</v>
      </c>
      <c r="H154">
        <f t="shared" si="48"/>
        <v>113.4</v>
      </c>
      <c r="I154">
        <f t="shared" si="49"/>
        <v>504</v>
      </c>
      <c r="J154">
        <f t="shared" si="50"/>
        <v>360</v>
      </c>
      <c r="K154">
        <f t="shared" si="51"/>
        <v>81</v>
      </c>
      <c r="L154">
        <f t="shared" si="52"/>
        <v>11.34</v>
      </c>
      <c r="M154">
        <f t="shared" si="53"/>
        <v>11.138399999999999</v>
      </c>
      <c r="N154">
        <f t="shared" si="54"/>
        <v>5.7959999999999994</v>
      </c>
      <c r="O154">
        <f t="shared" si="55"/>
        <v>8.0047058823529422</v>
      </c>
      <c r="P154">
        <f t="shared" si="56"/>
        <v>5.1025917926565869</v>
      </c>
      <c r="Q154">
        <f t="shared" si="57"/>
        <v>63</v>
      </c>
      <c r="R154">
        <f t="shared" si="58"/>
        <v>600</v>
      </c>
      <c r="S154">
        <f t="shared" si="59"/>
        <v>279</v>
      </c>
      <c r="T154">
        <f t="shared" si="60"/>
        <v>80.999999999999986</v>
      </c>
      <c r="U154">
        <f>I154*E154/'[1]Inverter Analysis'!$L$2</f>
        <v>271.74083366346275</v>
      </c>
      <c r="V154">
        <f t="shared" si="61"/>
        <v>222.22222222222223</v>
      </c>
      <c r="W154">
        <f t="shared" si="62"/>
        <v>286.73835125448028</v>
      </c>
      <c r="X154">
        <f t="shared" si="63"/>
        <v>158.73015873015873</v>
      </c>
      <c r="Y154">
        <f t="shared" si="64"/>
        <v>1.2332832312020658</v>
      </c>
      <c r="Z154">
        <f t="shared" si="65"/>
        <v>1.702771875</v>
      </c>
    </row>
    <row r="155" spans="1:26">
      <c r="A155">
        <v>14</v>
      </c>
      <c r="B155" s="9">
        <v>5</v>
      </c>
      <c r="C155" s="1">
        <v>8</v>
      </c>
      <c r="D155">
        <f t="shared" si="44"/>
        <v>450</v>
      </c>
      <c r="E155">
        <f t="shared" si="45"/>
        <v>225</v>
      </c>
      <c r="F155">
        <f t="shared" si="46"/>
        <v>39.200000000000003</v>
      </c>
      <c r="G155">
        <f t="shared" si="47"/>
        <v>0.33599999999999997</v>
      </c>
      <c r="H155">
        <f t="shared" si="48"/>
        <v>105.84000000000002</v>
      </c>
      <c r="I155">
        <f t="shared" si="49"/>
        <v>470.40000000000003</v>
      </c>
      <c r="J155">
        <f t="shared" si="50"/>
        <v>336</v>
      </c>
      <c r="K155">
        <f t="shared" si="51"/>
        <v>75.599999999999994</v>
      </c>
      <c r="L155">
        <f t="shared" si="52"/>
        <v>10.584</v>
      </c>
      <c r="M155">
        <f t="shared" si="53"/>
        <v>10.39584</v>
      </c>
      <c r="N155">
        <f t="shared" si="54"/>
        <v>5.4096000000000002</v>
      </c>
      <c r="O155">
        <f t="shared" si="55"/>
        <v>7.471058823529412</v>
      </c>
      <c r="P155">
        <f t="shared" si="56"/>
        <v>4.7624190064794814</v>
      </c>
      <c r="Q155">
        <f t="shared" si="57"/>
        <v>58.800000000000004</v>
      </c>
      <c r="R155">
        <f t="shared" si="58"/>
        <v>560</v>
      </c>
      <c r="S155">
        <f t="shared" si="59"/>
        <v>260.39999999999998</v>
      </c>
      <c r="T155">
        <f t="shared" si="60"/>
        <v>75.599999999999994</v>
      </c>
      <c r="U155">
        <f>I155*E155/'[1]Inverter Analysis'!$L$2</f>
        <v>253.62477808589861</v>
      </c>
      <c r="V155">
        <f t="shared" si="61"/>
        <v>238.0952380952381</v>
      </c>
      <c r="W155">
        <f t="shared" si="62"/>
        <v>307.21966205837174</v>
      </c>
      <c r="X155">
        <f t="shared" si="63"/>
        <v>170.06802721088434</v>
      </c>
      <c r="Y155">
        <f t="shared" si="64"/>
        <v>1.4157588113289019</v>
      </c>
      <c r="Z155">
        <f t="shared" si="65"/>
        <v>1.3844166000000002</v>
      </c>
    </row>
    <row r="156" spans="1:26">
      <c r="A156">
        <v>13</v>
      </c>
      <c r="B156" s="9">
        <v>5</v>
      </c>
      <c r="C156" s="1">
        <v>8</v>
      </c>
      <c r="D156">
        <f t="shared" si="44"/>
        <v>450</v>
      </c>
      <c r="E156">
        <f t="shared" si="45"/>
        <v>225</v>
      </c>
      <c r="F156">
        <f t="shared" si="46"/>
        <v>36.4</v>
      </c>
      <c r="G156">
        <f t="shared" si="47"/>
        <v>0.31199999999999994</v>
      </c>
      <c r="H156">
        <f t="shared" si="48"/>
        <v>98.28</v>
      </c>
      <c r="I156">
        <f t="shared" si="49"/>
        <v>436.8</v>
      </c>
      <c r="J156">
        <f t="shared" si="50"/>
        <v>312</v>
      </c>
      <c r="K156">
        <f t="shared" si="51"/>
        <v>70.2</v>
      </c>
      <c r="L156">
        <f t="shared" si="52"/>
        <v>9.8279999999999994</v>
      </c>
      <c r="M156">
        <f t="shared" si="53"/>
        <v>9.6532799999999988</v>
      </c>
      <c r="N156">
        <f t="shared" si="54"/>
        <v>5.0232000000000001</v>
      </c>
      <c r="O156">
        <f t="shared" si="55"/>
        <v>6.9374117647058826</v>
      </c>
      <c r="P156">
        <f t="shared" si="56"/>
        <v>4.4222462203023758</v>
      </c>
      <c r="Q156">
        <f t="shared" si="57"/>
        <v>54.6</v>
      </c>
      <c r="R156">
        <f t="shared" si="58"/>
        <v>520</v>
      </c>
      <c r="S156">
        <f t="shared" si="59"/>
        <v>241.8</v>
      </c>
      <c r="T156">
        <f t="shared" si="60"/>
        <v>70.199999999999989</v>
      </c>
      <c r="U156">
        <f>I156*E156/'[1]Inverter Analysis'!$L$2</f>
        <v>235.50872250833439</v>
      </c>
      <c r="V156">
        <f t="shared" si="61"/>
        <v>256.41025641025641</v>
      </c>
      <c r="W156">
        <f t="shared" si="62"/>
        <v>330.85194375516954</v>
      </c>
      <c r="X156">
        <f t="shared" si="63"/>
        <v>183.15018315018315</v>
      </c>
      <c r="Y156">
        <f t="shared" si="64"/>
        <v>1.6419451302986081</v>
      </c>
      <c r="Z156">
        <f t="shared" si="65"/>
        <v>1.1084414250000001</v>
      </c>
    </row>
    <row r="157" spans="1:26">
      <c r="A157">
        <v>12</v>
      </c>
      <c r="B157" s="9">
        <v>5</v>
      </c>
      <c r="C157" s="1">
        <v>8</v>
      </c>
      <c r="D157">
        <f t="shared" si="44"/>
        <v>450</v>
      </c>
      <c r="E157">
        <f t="shared" si="45"/>
        <v>225</v>
      </c>
      <c r="F157">
        <f t="shared" si="46"/>
        <v>33.6</v>
      </c>
      <c r="G157">
        <f t="shared" si="47"/>
        <v>0.28799999999999998</v>
      </c>
      <c r="H157">
        <f t="shared" si="48"/>
        <v>90.720000000000013</v>
      </c>
      <c r="I157">
        <f t="shared" si="49"/>
        <v>403.20000000000005</v>
      </c>
      <c r="J157">
        <f t="shared" si="50"/>
        <v>288</v>
      </c>
      <c r="K157">
        <f t="shared" si="51"/>
        <v>64.8</v>
      </c>
      <c r="L157">
        <f t="shared" si="52"/>
        <v>9.0719999999999992</v>
      </c>
      <c r="M157">
        <f t="shared" si="53"/>
        <v>8.9107200000000013</v>
      </c>
      <c r="N157">
        <f t="shared" si="54"/>
        <v>4.6368</v>
      </c>
      <c r="O157">
        <f t="shared" si="55"/>
        <v>6.4037647058823524</v>
      </c>
      <c r="P157">
        <f t="shared" si="56"/>
        <v>4.0820734341252702</v>
      </c>
      <c r="Q157">
        <f t="shared" si="57"/>
        <v>50.400000000000006</v>
      </c>
      <c r="R157">
        <f t="shared" si="58"/>
        <v>480</v>
      </c>
      <c r="S157">
        <f t="shared" si="59"/>
        <v>223.2</v>
      </c>
      <c r="T157">
        <f t="shared" si="60"/>
        <v>64.8</v>
      </c>
      <c r="U157">
        <f>I157*E157/'[1]Inverter Analysis'!$L$2</f>
        <v>217.39266693077025</v>
      </c>
      <c r="V157">
        <f t="shared" si="61"/>
        <v>277.77777777777777</v>
      </c>
      <c r="W157">
        <f t="shared" si="62"/>
        <v>358.42293906810039</v>
      </c>
      <c r="X157">
        <f t="shared" si="63"/>
        <v>198.4126984126984</v>
      </c>
      <c r="Y157">
        <f t="shared" si="64"/>
        <v>1.927005048753228</v>
      </c>
      <c r="Z157">
        <f t="shared" si="65"/>
        <v>0.87181919999999979</v>
      </c>
    </row>
    <row r="158" spans="1:26">
      <c r="A158">
        <v>11</v>
      </c>
      <c r="B158" s="9">
        <v>5</v>
      </c>
      <c r="C158" s="1">
        <v>8</v>
      </c>
      <c r="D158">
        <f t="shared" si="44"/>
        <v>450</v>
      </c>
      <c r="E158">
        <f t="shared" si="45"/>
        <v>225</v>
      </c>
      <c r="F158">
        <f t="shared" si="46"/>
        <v>30.8</v>
      </c>
      <c r="G158">
        <f t="shared" si="47"/>
        <v>0.26399999999999996</v>
      </c>
      <c r="H158">
        <f t="shared" si="48"/>
        <v>83.16</v>
      </c>
      <c r="I158">
        <f t="shared" si="49"/>
        <v>369.6</v>
      </c>
      <c r="J158">
        <f t="shared" si="50"/>
        <v>264</v>
      </c>
      <c r="K158">
        <f t="shared" si="51"/>
        <v>59.4</v>
      </c>
      <c r="L158">
        <f t="shared" si="52"/>
        <v>8.3160000000000007</v>
      </c>
      <c r="M158">
        <f t="shared" si="53"/>
        <v>8.1681600000000003</v>
      </c>
      <c r="N158">
        <f t="shared" si="54"/>
        <v>4.2504000000000008</v>
      </c>
      <c r="O158">
        <f t="shared" si="55"/>
        <v>5.8701176470588248</v>
      </c>
      <c r="P158">
        <f t="shared" si="56"/>
        <v>3.7419006479481638</v>
      </c>
      <c r="Q158">
        <f t="shared" si="57"/>
        <v>46.2</v>
      </c>
      <c r="R158">
        <f t="shared" si="58"/>
        <v>440</v>
      </c>
      <c r="S158">
        <f t="shared" si="59"/>
        <v>204.60000000000002</v>
      </c>
      <c r="T158">
        <f t="shared" si="60"/>
        <v>59.399999999999991</v>
      </c>
      <c r="U158">
        <f>I158*E158/'[1]Inverter Analysis'!$L$2</f>
        <v>199.27661135320602</v>
      </c>
      <c r="V158">
        <f t="shared" si="61"/>
        <v>303.030303030303</v>
      </c>
      <c r="W158">
        <f t="shared" si="62"/>
        <v>391.00684261974578</v>
      </c>
      <c r="X158">
        <f t="shared" si="63"/>
        <v>216.45021645021643</v>
      </c>
      <c r="Y158">
        <f t="shared" si="64"/>
        <v>2.2932952646319396</v>
      </c>
      <c r="Z158">
        <f t="shared" si="65"/>
        <v>0.67152277500000024</v>
      </c>
    </row>
    <row r="159" spans="1:26">
      <c r="A159">
        <v>10</v>
      </c>
      <c r="B159" s="9">
        <v>5</v>
      </c>
      <c r="C159" s="1">
        <v>8</v>
      </c>
      <c r="D159">
        <f t="shared" si="44"/>
        <v>450</v>
      </c>
      <c r="E159">
        <f t="shared" si="45"/>
        <v>225</v>
      </c>
      <c r="F159">
        <f t="shared" si="46"/>
        <v>28</v>
      </c>
      <c r="G159">
        <f t="shared" si="47"/>
        <v>0.23999999999999996</v>
      </c>
      <c r="H159">
        <f t="shared" si="48"/>
        <v>75.599999999999994</v>
      </c>
      <c r="I159">
        <f t="shared" si="49"/>
        <v>336</v>
      </c>
      <c r="J159">
        <f t="shared" si="50"/>
        <v>240</v>
      </c>
      <c r="K159">
        <f t="shared" si="51"/>
        <v>54</v>
      </c>
      <c r="L159">
        <f t="shared" si="52"/>
        <v>7.56</v>
      </c>
      <c r="M159">
        <f t="shared" si="53"/>
        <v>7.4255999999999993</v>
      </c>
      <c r="N159">
        <f t="shared" si="54"/>
        <v>3.8639999999999999</v>
      </c>
      <c r="O159">
        <f t="shared" si="55"/>
        <v>5.3364705882352945</v>
      </c>
      <c r="P159">
        <f t="shared" si="56"/>
        <v>3.4017278617710582</v>
      </c>
      <c r="Q159">
        <f t="shared" si="57"/>
        <v>42</v>
      </c>
      <c r="R159">
        <f t="shared" si="58"/>
        <v>400</v>
      </c>
      <c r="S159">
        <f t="shared" si="59"/>
        <v>186</v>
      </c>
      <c r="T159">
        <f t="shared" si="60"/>
        <v>53.999999999999993</v>
      </c>
      <c r="U159">
        <f>I159*E159/'[1]Inverter Analysis'!$L$2</f>
        <v>181.16055577564182</v>
      </c>
      <c r="V159">
        <f t="shared" si="61"/>
        <v>333.33333333333331</v>
      </c>
      <c r="W159">
        <f t="shared" si="62"/>
        <v>430.10752688172045</v>
      </c>
      <c r="X159">
        <f t="shared" si="63"/>
        <v>238.0952380952381</v>
      </c>
      <c r="Y159">
        <f t="shared" si="64"/>
        <v>2.7748872702046476</v>
      </c>
      <c r="Z159">
        <f t="shared" si="65"/>
        <v>0.504525</v>
      </c>
    </row>
    <row r="160" spans="1:26">
      <c r="A160">
        <v>16</v>
      </c>
      <c r="B160">
        <v>4</v>
      </c>
      <c r="C160" s="1">
        <v>8</v>
      </c>
      <c r="D160">
        <f t="shared" si="44"/>
        <v>360</v>
      </c>
      <c r="E160">
        <f t="shared" si="45"/>
        <v>180</v>
      </c>
      <c r="F160">
        <f t="shared" si="46"/>
        <v>35.840000000000003</v>
      </c>
      <c r="G160">
        <f t="shared" si="47"/>
        <v>0.48</v>
      </c>
      <c r="H160">
        <f t="shared" si="48"/>
        <v>96.768000000000001</v>
      </c>
      <c r="I160">
        <f t="shared" si="49"/>
        <v>537.6</v>
      </c>
      <c r="J160">
        <f t="shared" si="50"/>
        <v>384</v>
      </c>
      <c r="K160">
        <f t="shared" si="51"/>
        <v>69.12</v>
      </c>
      <c r="L160">
        <f t="shared" si="52"/>
        <v>9.6768000000000018</v>
      </c>
      <c r="M160">
        <f t="shared" si="53"/>
        <v>9.5047680000000003</v>
      </c>
      <c r="N160">
        <f t="shared" si="54"/>
        <v>4.9459200000000001</v>
      </c>
      <c r="O160">
        <f t="shared" si="55"/>
        <v>6.830682352941178</v>
      </c>
      <c r="P160">
        <f t="shared" si="56"/>
        <v>4.3542116630669554</v>
      </c>
      <c r="Q160">
        <f t="shared" si="57"/>
        <v>67.2</v>
      </c>
      <c r="R160">
        <f t="shared" si="58"/>
        <v>512</v>
      </c>
      <c r="S160">
        <f t="shared" si="59"/>
        <v>297.60000000000002</v>
      </c>
      <c r="T160">
        <f t="shared" si="60"/>
        <v>86.399999999999991</v>
      </c>
      <c r="U160">
        <f>I160*E160/'[1]Inverter Analysis'!$L$2</f>
        <v>231.88551139282154</v>
      </c>
      <c r="V160">
        <f t="shared" si="61"/>
        <v>208.33333333333334</v>
      </c>
      <c r="W160">
        <f t="shared" si="62"/>
        <v>268.81720430107526</v>
      </c>
      <c r="X160">
        <f t="shared" si="63"/>
        <v>148.8095238095238</v>
      </c>
      <c r="Y160">
        <f t="shared" si="64"/>
        <v>1.0839403399236907</v>
      </c>
      <c r="Z160">
        <f t="shared" si="65"/>
        <v>1.6532275200000002</v>
      </c>
    </row>
    <row r="161" spans="1:26">
      <c r="A161">
        <v>15</v>
      </c>
      <c r="B161">
        <v>4</v>
      </c>
      <c r="C161" s="1">
        <v>8</v>
      </c>
      <c r="D161">
        <f t="shared" si="44"/>
        <v>360</v>
      </c>
      <c r="E161">
        <f t="shared" si="45"/>
        <v>180</v>
      </c>
      <c r="F161">
        <f t="shared" si="46"/>
        <v>33.6</v>
      </c>
      <c r="G161">
        <f t="shared" si="47"/>
        <v>0.44999999999999996</v>
      </c>
      <c r="H161">
        <f t="shared" si="48"/>
        <v>90.72</v>
      </c>
      <c r="I161">
        <f t="shared" si="49"/>
        <v>504</v>
      </c>
      <c r="J161">
        <f t="shared" si="50"/>
        <v>360</v>
      </c>
      <c r="K161">
        <f t="shared" si="51"/>
        <v>64.8</v>
      </c>
      <c r="L161">
        <f t="shared" si="52"/>
        <v>9.0719999999999992</v>
      </c>
      <c r="M161">
        <f t="shared" si="53"/>
        <v>8.9107199999999995</v>
      </c>
      <c r="N161">
        <f t="shared" si="54"/>
        <v>4.6367999999999991</v>
      </c>
      <c r="O161">
        <f t="shared" si="55"/>
        <v>6.4037647058823524</v>
      </c>
      <c r="P161">
        <f t="shared" si="56"/>
        <v>4.0820734341252702</v>
      </c>
      <c r="Q161">
        <f t="shared" si="57"/>
        <v>63</v>
      </c>
      <c r="R161">
        <f t="shared" si="58"/>
        <v>480</v>
      </c>
      <c r="S161">
        <f t="shared" si="59"/>
        <v>279</v>
      </c>
      <c r="T161">
        <f t="shared" si="60"/>
        <v>80.999999999999986</v>
      </c>
      <c r="U161">
        <f>I161*E161/'[1]Inverter Analysis'!$L$2</f>
        <v>217.39266693077019</v>
      </c>
      <c r="V161">
        <f t="shared" si="61"/>
        <v>222.22222222222223</v>
      </c>
      <c r="W161">
        <f t="shared" si="62"/>
        <v>286.73835125448028</v>
      </c>
      <c r="X161">
        <f t="shared" si="63"/>
        <v>158.73015873015873</v>
      </c>
      <c r="Y161">
        <f t="shared" si="64"/>
        <v>1.2332832312020658</v>
      </c>
      <c r="Z161">
        <f t="shared" si="65"/>
        <v>1.3622175000000001</v>
      </c>
    </row>
    <row r="162" spans="1:26">
      <c r="A162">
        <v>14</v>
      </c>
      <c r="B162">
        <v>4</v>
      </c>
      <c r="C162" s="1">
        <v>8</v>
      </c>
      <c r="D162">
        <f t="shared" si="44"/>
        <v>360</v>
      </c>
      <c r="E162">
        <f t="shared" si="45"/>
        <v>180</v>
      </c>
      <c r="F162">
        <f t="shared" si="46"/>
        <v>31.36</v>
      </c>
      <c r="G162">
        <f t="shared" si="47"/>
        <v>0.42</v>
      </c>
      <c r="H162">
        <f t="shared" si="48"/>
        <v>84.671999999999997</v>
      </c>
      <c r="I162">
        <f t="shared" si="49"/>
        <v>470.40000000000003</v>
      </c>
      <c r="J162">
        <f t="shared" si="50"/>
        <v>336</v>
      </c>
      <c r="K162">
        <f t="shared" si="51"/>
        <v>60.48</v>
      </c>
      <c r="L162">
        <f t="shared" si="52"/>
        <v>8.4672000000000001</v>
      </c>
      <c r="M162">
        <f t="shared" si="53"/>
        <v>8.3166720000000005</v>
      </c>
      <c r="N162">
        <f t="shared" si="54"/>
        <v>4.32768</v>
      </c>
      <c r="O162">
        <f t="shared" si="55"/>
        <v>5.9768470588235294</v>
      </c>
      <c r="P162">
        <f t="shared" si="56"/>
        <v>3.8099352051835855</v>
      </c>
      <c r="Q162">
        <f t="shared" si="57"/>
        <v>58.800000000000004</v>
      </c>
      <c r="R162">
        <f t="shared" si="58"/>
        <v>448</v>
      </c>
      <c r="S162">
        <f t="shared" si="59"/>
        <v>260.39999999999998</v>
      </c>
      <c r="T162">
        <f t="shared" si="60"/>
        <v>75.599999999999994</v>
      </c>
      <c r="U162">
        <f>I162*E162/'[1]Inverter Analysis'!$L$2</f>
        <v>202.89982246871887</v>
      </c>
      <c r="V162">
        <f t="shared" si="61"/>
        <v>238.0952380952381</v>
      </c>
      <c r="W162">
        <f t="shared" si="62"/>
        <v>307.21966205837174</v>
      </c>
      <c r="X162">
        <f t="shared" si="63"/>
        <v>170.06802721088434</v>
      </c>
      <c r="Y162">
        <f t="shared" si="64"/>
        <v>1.4157588113289019</v>
      </c>
      <c r="Z162">
        <f t="shared" si="65"/>
        <v>1.1075332800000002</v>
      </c>
    </row>
    <row r="163" spans="1:26">
      <c r="A163">
        <v>13</v>
      </c>
      <c r="B163">
        <v>4</v>
      </c>
      <c r="C163" s="1">
        <v>8</v>
      </c>
      <c r="D163">
        <f t="shared" si="44"/>
        <v>360</v>
      </c>
      <c r="E163">
        <f t="shared" si="45"/>
        <v>180</v>
      </c>
      <c r="F163">
        <f t="shared" si="46"/>
        <v>29.12</v>
      </c>
      <c r="G163">
        <f t="shared" si="47"/>
        <v>0.39</v>
      </c>
      <c r="H163">
        <f t="shared" si="48"/>
        <v>78.623999999999995</v>
      </c>
      <c r="I163">
        <f t="shared" si="49"/>
        <v>436.8</v>
      </c>
      <c r="J163">
        <f t="shared" si="50"/>
        <v>312</v>
      </c>
      <c r="K163">
        <f t="shared" si="51"/>
        <v>56.16</v>
      </c>
      <c r="L163">
        <f t="shared" si="52"/>
        <v>7.8624000000000009</v>
      </c>
      <c r="M163">
        <f t="shared" si="53"/>
        <v>7.7226239999999997</v>
      </c>
      <c r="N163">
        <f t="shared" si="54"/>
        <v>4.0185599999999999</v>
      </c>
      <c r="O163">
        <f t="shared" si="55"/>
        <v>5.5499294117647073</v>
      </c>
      <c r="P163">
        <f t="shared" si="56"/>
        <v>3.5377969762419008</v>
      </c>
      <c r="Q163">
        <f t="shared" si="57"/>
        <v>54.6</v>
      </c>
      <c r="R163">
        <f t="shared" si="58"/>
        <v>416</v>
      </c>
      <c r="S163">
        <f t="shared" si="59"/>
        <v>241.8</v>
      </c>
      <c r="T163">
        <f t="shared" si="60"/>
        <v>70.2</v>
      </c>
      <c r="U163">
        <f>I163*E163/'[1]Inverter Analysis'!$L$2</f>
        <v>188.40697800666752</v>
      </c>
      <c r="V163">
        <f t="shared" si="61"/>
        <v>256.41025641025641</v>
      </c>
      <c r="W163">
        <f t="shared" si="62"/>
        <v>330.85194375516954</v>
      </c>
      <c r="X163">
        <f t="shared" si="63"/>
        <v>183.15018315018315</v>
      </c>
      <c r="Y163">
        <f t="shared" si="64"/>
        <v>1.6419451302986081</v>
      </c>
      <c r="Z163">
        <f t="shared" si="65"/>
        <v>0.88675314000000005</v>
      </c>
    </row>
    <row r="164" spans="1:26">
      <c r="A164">
        <v>12</v>
      </c>
      <c r="B164">
        <v>4</v>
      </c>
      <c r="C164" s="1">
        <v>8</v>
      </c>
      <c r="D164">
        <f t="shared" si="44"/>
        <v>360</v>
      </c>
      <c r="E164">
        <f t="shared" si="45"/>
        <v>180</v>
      </c>
      <c r="F164">
        <f t="shared" si="46"/>
        <v>26.88</v>
      </c>
      <c r="G164">
        <f t="shared" si="47"/>
        <v>0.36</v>
      </c>
      <c r="H164">
        <f t="shared" si="48"/>
        <v>72.576000000000008</v>
      </c>
      <c r="I164">
        <f t="shared" si="49"/>
        <v>403.20000000000005</v>
      </c>
      <c r="J164">
        <f t="shared" si="50"/>
        <v>288</v>
      </c>
      <c r="K164">
        <f t="shared" si="51"/>
        <v>51.84</v>
      </c>
      <c r="L164">
        <f t="shared" si="52"/>
        <v>7.2576000000000001</v>
      </c>
      <c r="M164">
        <f t="shared" si="53"/>
        <v>7.1285760000000007</v>
      </c>
      <c r="N164">
        <f t="shared" si="54"/>
        <v>3.7094399999999998</v>
      </c>
      <c r="O164">
        <f t="shared" si="55"/>
        <v>5.1230117647058826</v>
      </c>
      <c r="P164">
        <f t="shared" si="56"/>
        <v>3.2656587473002161</v>
      </c>
      <c r="Q164">
        <f t="shared" si="57"/>
        <v>50.400000000000006</v>
      </c>
      <c r="R164">
        <f t="shared" si="58"/>
        <v>384</v>
      </c>
      <c r="S164">
        <f t="shared" si="59"/>
        <v>223.2</v>
      </c>
      <c r="T164">
        <f t="shared" si="60"/>
        <v>64.8</v>
      </c>
      <c r="U164">
        <f>I164*E164/'[1]Inverter Analysis'!$L$2</f>
        <v>173.91413354461619</v>
      </c>
      <c r="V164">
        <f t="shared" si="61"/>
        <v>277.77777777777777</v>
      </c>
      <c r="W164">
        <f t="shared" si="62"/>
        <v>358.42293906810039</v>
      </c>
      <c r="X164">
        <f t="shared" si="63"/>
        <v>198.4126984126984</v>
      </c>
      <c r="Y164">
        <f t="shared" si="64"/>
        <v>1.927005048753228</v>
      </c>
      <c r="Z164">
        <f t="shared" si="65"/>
        <v>0.69745535999999997</v>
      </c>
    </row>
    <row r="165" spans="1:26">
      <c r="A165">
        <v>11</v>
      </c>
      <c r="B165">
        <v>4</v>
      </c>
      <c r="C165" s="1">
        <v>8</v>
      </c>
      <c r="D165">
        <f t="shared" si="44"/>
        <v>360</v>
      </c>
      <c r="E165">
        <f t="shared" si="45"/>
        <v>180</v>
      </c>
      <c r="F165">
        <f t="shared" si="46"/>
        <v>24.64</v>
      </c>
      <c r="G165">
        <f t="shared" si="47"/>
        <v>0.32999999999999996</v>
      </c>
      <c r="H165">
        <f t="shared" si="48"/>
        <v>66.528000000000006</v>
      </c>
      <c r="I165">
        <f t="shared" si="49"/>
        <v>369.6</v>
      </c>
      <c r="J165">
        <f t="shared" si="50"/>
        <v>264</v>
      </c>
      <c r="K165">
        <f t="shared" si="51"/>
        <v>47.52</v>
      </c>
      <c r="L165">
        <f t="shared" si="52"/>
        <v>6.6528</v>
      </c>
      <c r="M165">
        <f t="shared" si="53"/>
        <v>6.5345279999999999</v>
      </c>
      <c r="N165">
        <f t="shared" si="54"/>
        <v>3.4003200000000002</v>
      </c>
      <c r="O165">
        <f t="shared" si="55"/>
        <v>4.6960941176470588</v>
      </c>
      <c r="P165">
        <f t="shared" si="56"/>
        <v>2.9935205183585314</v>
      </c>
      <c r="Q165">
        <f t="shared" si="57"/>
        <v>46.2</v>
      </c>
      <c r="R165">
        <f t="shared" si="58"/>
        <v>352</v>
      </c>
      <c r="S165">
        <f t="shared" si="59"/>
        <v>204.60000000000002</v>
      </c>
      <c r="T165">
        <f t="shared" si="60"/>
        <v>59.399999999999991</v>
      </c>
      <c r="U165">
        <f>I165*E165/'[1]Inverter Analysis'!$L$2</f>
        <v>159.42128908256481</v>
      </c>
      <c r="V165">
        <f t="shared" si="61"/>
        <v>303.030303030303</v>
      </c>
      <c r="W165">
        <f t="shared" si="62"/>
        <v>391.00684261974578</v>
      </c>
      <c r="X165">
        <f t="shared" si="63"/>
        <v>216.45021645021643</v>
      </c>
      <c r="Y165">
        <f t="shared" si="64"/>
        <v>2.2932952646319396</v>
      </c>
      <c r="Z165">
        <f t="shared" si="65"/>
        <v>0.53721822000000019</v>
      </c>
    </row>
    <row r="166" spans="1:26">
      <c r="A166">
        <v>10</v>
      </c>
      <c r="B166">
        <v>4</v>
      </c>
      <c r="C166" s="1">
        <v>8</v>
      </c>
      <c r="D166">
        <f t="shared" si="44"/>
        <v>360</v>
      </c>
      <c r="E166">
        <f t="shared" si="45"/>
        <v>180</v>
      </c>
      <c r="F166">
        <f t="shared" si="46"/>
        <v>22.4</v>
      </c>
      <c r="G166">
        <f t="shared" si="47"/>
        <v>0.3</v>
      </c>
      <c r="H166">
        <f t="shared" si="48"/>
        <v>60.48</v>
      </c>
      <c r="I166">
        <f t="shared" si="49"/>
        <v>336</v>
      </c>
      <c r="J166">
        <f t="shared" si="50"/>
        <v>240</v>
      </c>
      <c r="K166">
        <f t="shared" si="51"/>
        <v>43.2</v>
      </c>
      <c r="L166">
        <f t="shared" si="52"/>
        <v>6.048</v>
      </c>
      <c r="M166">
        <f t="shared" si="53"/>
        <v>5.94048</v>
      </c>
      <c r="N166">
        <f t="shared" si="54"/>
        <v>3.0911999999999997</v>
      </c>
      <c r="O166">
        <f t="shared" si="55"/>
        <v>4.2691764705882358</v>
      </c>
      <c r="P166">
        <f t="shared" si="56"/>
        <v>2.7213822894168467</v>
      </c>
      <c r="Q166">
        <f t="shared" si="57"/>
        <v>42</v>
      </c>
      <c r="R166">
        <f t="shared" si="58"/>
        <v>320</v>
      </c>
      <c r="S166">
        <f t="shared" si="59"/>
        <v>186</v>
      </c>
      <c r="T166">
        <f t="shared" si="60"/>
        <v>54</v>
      </c>
      <c r="U166">
        <f>I166*E166/'[1]Inverter Analysis'!$L$2</f>
        <v>144.92844462051346</v>
      </c>
      <c r="V166">
        <f t="shared" si="61"/>
        <v>333.33333333333331</v>
      </c>
      <c r="W166">
        <f t="shared" si="62"/>
        <v>430.10752688172045</v>
      </c>
      <c r="X166">
        <f t="shared" si="63"/>
        <v>238.0952380952381</v>
      </c>
      <c r="Y166">
        <f t="shared" si="64"/>
        <v>2.7748872702046476</v>
      </c>
      <c r="Z166">
        <f t="shared" si="65"/>
        <v>0.40362000000000003</v>
      </c>
    </row>
    <row r="167" spans="1:26">
      <c r="A167">
        <v>16</v>
      </c>
      <c r="B167">
        <v>3</v>
      </c>
      <c r="C167" s="1">
        <v>8</v>
      </c>
      <c r="D167">
        <f t="shared" si="44"/>
        <v>270</v>
      </c>
      <c r="E167">
        <f t="shared" si="45"/>
        <v>135</v>
      </c>
      <c r="F167">
        <f t="shared" si="46"/>
        <v>26.88</v>
      </c>
      <c r="G167">
        <f t="shared" si="47"/>
        <v>0.64</v>
      </c>
      <c r="H167">
        <f t="shared" si="48"/>
        <v>72.575999999999993</v>
      </c>
      <c r="I167">
        <f t="shared" si="49"/>
        <v>537.6</v>
      </c>
      <c r="J167">
        <f t="shared" si="50"/>
        <v>384</v>
      </c>
      <c r="K167">
        <f t="shared" si="51"/>
        <v>51.84</v>
      </c>
      <c r="L167">
        <f t="shared" si="52"/>
        <v>7.2576000000000001</v>
      </c>
      <c r="M167">
        <f t="shared" si="53"/>
        <v>7.1285759999999998</v>
      </c>
      <c r="N167">
        <f t="shared" si="54"/>
        <v>3.7094399999999998</v>
      </c>
      <c r="O167">
        <f t="shared" si="55"/>
        <v>5.1230117647058826</v>
      </c>
      <c r="P167">
        <f t="shared" si="56"/>
        <v>3.2656587473002161</v>
      </c>
      <c r="Q167">
        <f t="shared" si="57"/>
        <v>67.2</v>
      </c>
      <c r="R167">
        <f t="shared" si="58"/>
        <v>384</v>
      </c>
      <c r="S167">
        <f t="shared" si="59"/>
        <v>297.60000000000002</v>
      </c>
      <c r="T167">
        <f t="shared" si="60"/>
        <v>86.4</v>
      </c>
      <c r="U167">
        <f>I167*E167/'[1]Inverter Analysis'!$L$2</f>
        <v>173.91413354461616</v>
      </c>
      <c r="V167">
        <f t="shared" si="61"/>
        <v>208.33333333333334</v>
      </c>
      <c r="W167">
        <f t="shared" si="62"/>
        <v>268.81720430107526</v>
      </c>
      <c r="X167">
        <f t="shared" si="63"/>
        <v>148.8095238095238</v>
      </c>
      <c r="Y167">
        <f t="shared" si="64"/>
        <v>1.0839403399236907</v>
      </c>
      <c r="Z167">
        <f t="shared" si="65"/>
        <v>1.2399206400000002</v>
      </c>
    </row>
    <row r="168" spans="1:26">
      <c r="A168">
        <v>15</v>
      </c>
      <c r="B168">
        <v>3</v>
      </c>
      <c r="C168" s="1">
        <v>8</v>
      </c>
      <c r="D168">
        <f t="shared" si="44"/>
        <v>270</v>
      </c>
      <c r="E168">
        <f t="shared" si="45"/>
        <v>135</v>
      </c>
      <c r="F168">
        <f t="shared" si="46"/>
        <v>25.2</v>
      </c>
      <c r="G168">
        <f t="shared" si="47"/>
        <v>0.6</v>
      </c>
      <c r="H168">
        <f t="shared" si="48"/>
        <v>68.040000000000006</v>
      </c>
      <c r="I168">
        <f t="shared" si="49"/>
        <v>504</v>
      </c>
      <c r="J168">
        <f t="shared" si="50"/>
        <v>360</v>
      </c>
      <c r="K168">
        <f t="shared" si="51"/>
        <v>48.6</v>
      </c>
      <c r="L168">
        <f t="shared" si="52"/>
        <v>6.8040000000000003</v>
      </c>
      <c r="M168">
        <f t="shared" si="53"/>
        <v>6.6830399999999992</v>
      </c>
      <c r="N168">
        <f t="shared" si="54"/>
        <v>3.4775999999999994</v>
      </c>
      <c r="O168">
        <f t="shared" si="55"/>
        <v>4.8028235294117652</v>
      </c>
      <c r="P168">
        <f t="shared" si="56"/>
        <v>3.0615550755939522</v>
      </c>
      <c r="Q168">
        <f t="shared" si="57"/>
        <v>63</v>
      </c>
      <c r="R168">
        <f t="shared" si="58"/>
        <v>360</v>
      </c>
      <c r="S168">
        <f t="shared" si="59"/>
        <v>279</v>
      </c>
      <c r="T168">
        <f t="shared" si="60"/>
        <v>81</v>
      </c>
      <c r="U168">
        <f>I168*E168/'[1]Inverter Analysis'!$L$2</f>
        <v>163.04450019807766</v>
      </c>
      <c r="V168">
        <f t="shared" si="61"/>
        <v>222.22222222222223</v>
      </c>
      <c r="W168">
        <f t="shared" si="62"/>
        <v>286.73835125448028</v>
      </c>
      <c r="X168">
        <f t="shared" si="63"/>
        <v>158.73015873015873</v>
      </c>
      <c r="Y168">
        <f t="shared" si="64"/>
        <v>1.2332832312020658</v>
      </c>
      <c r="Z168">
        <f t="shared" si="65"/>
        <v>1.0216631249999999</v>
      </c>
    </row>
    <row r="169" spans="1:26">
      <c r="A169">
        <v>14</v>
      </c>
      <c r="B169">
        <v>3</v>
      </c>
      <c r="C169" s="1">
        <v>8</v>
      </c>
      <c r="D169">
        <f t="shared" si="44"/>
        <v>270</v>
      </c>
      <c r="E169">
        <f t="shared" si="45"/>
        <v>135</v>
      </c>
      <c r="F169">
        <f t="shared" si="46"/>
        <v>23.52</v>
      </c>
      <c r="G169">
        <f t="shared" si="47"/>
        <v>0.56000000000000005</v>
      </c>
      <c r="H169">
        <f t="shared" si="48"/>
        <v>63.504000000000005</v>
      </c>
      <c r="I169">
        <f t="shared" si="49"/>
        <v>470.40000000000003</v>
      </c>
      <c r="J169">
        <f t="shared" si="50"/>
        <v>336</v>
      </c>
      <c r="K169">
        <f t="shared" si="51"/>
        <v>45.36</v>
      </c>
      <c r="L169">
        <f t="shared" si="52"/>
        <v>6.3504000000000005</v>
      </c>
      <c r="M169">
        <f t="shared" si="53"/>
        <v>6.2375040000000004</v>
      </c>
      <c r="N169">
        <f t="shared" si="54"/>
        <v>3.2457600000000002</v>
      </c>
      <c r="O169">
        <f t="shared" si="55"/>
        <v>4.4826352941176477</v>
      </c>
      <c r="P169">
        <f t="shared" si="56"/>
        <v>2.8574514038876893</v>
      </c>
      <c r="Q169">
        <f t="shared" si="57"/>
        <v>58.800000000000004</v>
      </c>
      <c r="R169">
        <f t="shared" si="58"/>
        <v>336</v>
      </c>
      <c r="S169">
        <f t="shared" si="59"/>
        <v>260.39999999999998</v>
      </c>
      <c r="T169">
        <f t="shared" si="60"/>
        <v>75.600000000000009</v>
      </c>
      <c r="U169">
        <f>I169*E169/'[1]Inverter Analysis'!$L$2</f>
        <v>152.17486685153915</v>
      </c>
      <c r="V169">
        <f t="shared" si="61"/>
        <v>238.0952380952381</v>
      </c>
      <c r="W169">
        <f t="shared" si="62"/>
        <v>307.21966205837174</v>
      </c>
      <c r="X169">
        <f t="shared" si="63"/>
        <v>170.06802721088434</v>
      </c>
      <c r="Y169">
        <f t="shared" si="64"/>
        <v>1.4157588113289019</v>
      </c>
      <c r="Z169">
        <f t="shared" si="65"/>
        <v>0.83064996000000002</v>
      </c>
    </row>
    <row r="170" spans="1:26">
      <c r="A170">
        <v>13</v>
      </c>
      <c r="B170">
        <v>3</v>
      </c>
      <c r="C170" s="1">
        <v>8</v>
      </c>
      <c r="D170">
        <f t="shared" si="44"/>
        <v>270</v>
      </c>
      <c r="E170">
        <f t="shared" si="45"/>
        <v>135</v>
      </c>
      <c r="F170">
        <f t="shared" si="46"/>
        <v>21.84</v>
      </c>
      <c r="G170">
        <f t="shared" si="47"/>
        <v>0.52</v>
      </c>
      <c r="H170">
        <f t="shared" si="48"/>
        <v>58.968000000000004</v>
      </c>
      <c r="I170">
        <f t="shared" si="49"/>
        <v>436.8</v>
      </c>
      <c r="J170">
        <f t="shared" si="50"/>
        <v>312</v>
      </c>
      <c r="K170">
        <f t="shared" si="51"/>
        <v>42.12</v>
      </c>
      <c r="L170">
        <f t="shared" si="52"/>
        <v>5.8967999999999998</v>
      </c>
      <c r="M170">
        <f t="shared" si="53"/>
        <v>5.7919679999999998</v>
      </c>
      <c r="N170">
        <f t="shared" si="54"/>
        <v>3.0139200000000002</v>
      </c>
      <c r="O170">
        <f t="shared" si="55"/>
        <v>4.1624470588235294</v>
      </c>
      <c r="P170">
        <f t="shared" si="56"/>
        <v>2.6533477321814254</v>
      </c>
      <c r="Q170">
        <f t="shared" si="57"/>
        <v>54.6</v>
      </c>
      <c r="R170">
        <f t="shared" si="58"/>
        <v>312</v>
      </c>
      <c r="S170">
        <f t="shared" si="59"/>
        <v>241.8</v>
      </c>
      <c r="T170">
        <f t="shared" si="60"/>
        <v>70.2</v>
      </c>
      <c r="U170">
        <f>I170*E170/'[1]Inverter Analysis'!$L$2</f>
        <v>141.30523350500064</v>
      </c>
      <c r="V170">
        <f t="shared" si="61"/>
        <v>256.41025641025641</v>
      </c>
      <c r="W170">
        <f t="shared" si="62"/>
        <v>330.85194375516954</v>
      </c>
      <c r="X170">
        <f t="shared" si="63"/>
        <v>183.15018315018315</v>
      </c>
      <c r="Y170">
        <f t="shared" si="64"/>
        <v>1.6419451302986081</v>
      </c>
      <c r="Z170">
        <f t="shared" si="65"/>
        <v>0.66506485500000001</v>
      </c>
    </row>
    <row r="171" spans="1:26">
      <c r="A171">
        <v>12</v>
      </c>
      <c r="B171">
        <v>3</v>
      </c>
      <c r="C171" s="1">
        <v>8</v>
      </c>
      <c r="D171">
        <f t="shared" si="44"/>
        <v>270</v>
      </c>
      <c r="E171">
        <f t="shared" si="45"/>
        <v>135</v>
      </c>
      <c r="F171">
        <f t="shared" si="46"/>
        <v>20.16</v>
      </c>
      <c r="G171">
        <f t="shared" si="47"/>
        <v>0.48</v>
      </c>
      <c r="H171">
        <f t="shared" si="48"/>
        <v>54.432000000000009</v>
      </c>
      <c r="I171">
        <f t="shared" si="49"/>
        <v>403.20000000000005</v>
      </c>
      <c r="J171">
        <f t="shared" si="50"/>
        <v>288</v>
      </c>
      <c r="K171">
        <f t="shared" si="51"/>
        <v>38.880000000000003</v>
      </c>
      <c r="L171">
        <f t="shared" si="52"/>
        <v>5.4432000000000009</v>
      </c>
      <c r="M171">
        <f t="shared" si="53"/>
        <v>5.346432000000001</v>
      </c>
      <c r="N171">
        <f t="shared" si="54"/>
        <v>2.7820800000000001</v>
      </c>
      <c r="O171">
        <f t="shared" si="55"/>
        <v>3.8422588235294128</v>
      </c>
      <c r="P171">
        <f t="shared" si="56"/>
        <v>2.4492440604751624</v>
      </c>
      <c r="Q171">
        <f t="shared" si="57"/>
        <v>50.400000000000006</v>
      </c>
      <c r="R171">
        <f t="shared" si="58"/>
        <v>288</v>
      </c>
      <c r="S171">
        <f t="shared" si="59"/>
        <v>223.2</v>
      </c>
      <c r="T171">
        <f t="shared" si="60"/>
        <v>64.8</v>
      </c>
      <c r="U171">
        <f>I171*E171/'[1]Inverter Analysis'!$L$2</f>
        <v>130.43560015846214</v>
      </c>
      <c r="V171">
        <f t="shared" si="61"/>
        <v>277.77777777777777</v>
      </c>
      <c r="W171">
        <f t="shared" si="62"/>
        <v>358.42293906810039</v>
      </c>
      <c r="X171">
        <f t="shared" si="63"/>
        <v>198.4126984126984</v>
      </c>
      <c r="Y171">
        <f t="shared" si="64"/>
        <v>1.927005048753228</v>
      </c>
      <c r="Z171">
        <f t="shared" si="65"/>
        <v>0.52309151999999992</v>
      </c>
    </row>
    <row r="172" spans="1:26">
      <c r="A172">
        <v>11</v>
      </c>
      <c r="B172">
        <v>3</v>
      </c>
      <c r="C172" s="1">
        <v>8</v>
      </c>
      <c r="D172">
        <f t="shared" si="44"/>
        <v>270</v>
      </c>
      <c r="E172">
        <f t="shared" si="45"/>
        <v>135</v>
      </c>
      <c r="F172">
        <f t="shared" si="46"/>
        <v>18.48</v>
      </c>
      <c r="G172">
        <f t="shared" si="47"/>
        <v>0.44</v>
      </c>
      <c r="H172">
        <f t="shared" si="48"/>
        <v>49.896000000000001</v>
      </c>
      <c r="I172">
        <f t="shared" si="49"/>
        <v>369.6</v>
      </c>
      <c r="J172">
        <f t="shared" si="50"/>
        <v>264</v>
      </c>
      <c r="K172">
        <f t="shared" si="51"/>
        <v>35.64</v>
      </c>
      <c r="L172">
        <f t="shared" si="52"/>
        <v>4.9896000000000003</v>
      </c>
      <c r="M172">
        <f t="shared" si="53"/>
        <v>4.9008960000000004</v>
      </c>
      <c r="N172">
        <f t="shared" si="54"/>
        <v>2.5502400000000001</v>
      </c>
      <c r="O172">
        <f t="shared" si="55"/>
        <v>3.5220705882352945</v>
      </c>
      <c r="P172">
        <f t="shared" si="56"/>
        <v>2.2451403887688985</v>
      </c>
      <c r="Q172">
        <f t="shared" si="57"/>
        <v>46.2</v>
      </c>
      <c r="R172">
        <f t="shared" si="58"/>
        <v>264</v>
      </c>
      <c r="S172">
        <f t="shared" si="59"/>
        <v>204.6</v>
      </c>
      <c r="T172">
        <f t="shared" si="60"/>
        <v>59.4</v>
      </c>
      <c r="U172">
        <f>I172*E172/'[1]Inverter Analysis'!$L$2</f>
        <v>119.56596681192362</v>
      </c>
      <c r="V172">
        <f t="shared" si="61"/>
        <v>303.030303030303</v>
      </c>
      <c r="W172">
        <f t="shared" si="62"/>
        <v>391.00684261974584</v>
      </c>
      <c r="X172">
        <f t="shared" si="63"/>
        <v>216.45021645021643</v>
      </c>
      <c r="Y172">
        <f t="shared" si="64"/>
        <v>2.2932952646319404</v>
      </c>
      <c r="Z172">
        <f t="shared" si="65"/>
        <v>0.40291366500000003</v>
      </c>
    </row>
    <row r="173" spans="1:26">
      <c r="A173">
        <v>10</v>
      </c>
      <c r="B173">
        <v>3</v>
      </c>
      <c r="C173" s="1">
        <v>8</v>
      </c>
      <c r="D173">
        <f t="shared" si="44"/>
        <v>270</v>
      </c>
      <c r="E173">
        <f t="shared" si="45"/>
        <v>135</v>
      </c>
      <c r="F173">
        <f t="shared" si="46"/>
        <v>16.8</v>
      </c>
      <c r="G173">
        <f t="shared" si="47"/>
        <v>0.4</v>
      </c>
      <c r="H173">
        <f t="shared" si="48"/>
        <v>45.36</v>
      </c>
      <c r="I173">
        <f t="shared" si="49"/>
        <v>336</v>
      </c>
      <c r="J173">
        <f t="shared" si="50"/>
        <v>240</v>
      </c>
      <c r="K173">
        <f t="shared" si="51"/>
        <v>32.4</v>
      </c>
      <c r="L173">
        <f t="shared" si="52"/>
        <v>4.5359999999999996</v>
      </c>
      <c r="M173">
        <f t="shared" si="53"/>
        <v>4.4553599999999998</v>
      </c>
      <c r="N173">
        <f t="shared" si="54"/>
        <v>2.3183999999999996</v>
      </c>
      <c r="O173">
        <f t="shared" si="55"/>
        <v>3.2018823529411762</v>
      </c>
      <c r="P173">
        <f t="shared" si="56"/>
        <v>2.0410367170626351</v>
      </c>
      <c r="Q173">
        <f t="shared" si="57"/>
        <v>42</v>
      </c>
      <c r="R173">
        <f t="shared" si="58"/>
        <v>240</v>
      </c>
      <c r="S173">
        <f t="shared" si="59"/>
        <v>186</v>
      </c>
      <c r="T173">
        <f t="shared" si="60"/>
        <v>54</v>
      </c>
      <c r="U173">
        <f>I173*E173/'[1]Inverter Analysis'!$L$2</f>
        <v>108.69633346538509</v>
      </c>
      <c r="V173">
        <f t="shared" si="61"/>
        <v>333.33333333333331</v>
      </c>
      <c r="W173">
        <f t="shared" si="62"/>
        <v>430.10752688172045</v>
      </c>
      <c r="X173">
        <f t="shared" si="63"/>
        <v>238.0952380952381</v>
      </c>
      <c r="Y173">
        <f t="shared" si="64"/>
        <v>2.7748872702046476</v>
      </c>
      <c r="Z173">
        <f t="shared" si="65"/>
        <v>0.30271500000000001</v>
      </c>
    </row>
    <row r="174" spans="1:26">
      <c r="A174">
        <v>16</v>
      </c>
      <c r="B174">
        <v>2</v>
      </c>
      <c r="C174" s="1">
        <v>8</v>
      </c>
      <c r="D174">
        <f t="shared" si="44"/>
        <v>180</v>
      </c>
      <c r="E174">
        <f t="shared" si="45"/>
        <v>90</v>
      </c>
      <c r="F174">
        <f t="shared" si="46"/>
        <v>17.920000000000002</v>
      </c>
      <c r="G174">
        <f t="shared" si="47"/>
        <v>0.96</v>
      </c>
      <c r="H174">
        <f t="shared" si="48"/>
        <v>48.384</v>
      </c>
      <c r="I174">
        <f t="shared" si="49"/>
        <v>537.6</v>
      </c>
      <c r="J174">
        <f t="shared" si="50"/>
        <v>384</v>
      </c>
      <c r="K174">
        <f t="shared" si="51"/>
        <v>34.56</v>
      </c>
      <c r="L174">
        <f t="shared" si="52"/>
        <v>4.8384000000000009</v>
      </c>
      <c r="M174">
        <f t="shared" si="53"/>
        <v>4.7523840000000002</v>
      </c>
      <c r="N174">
        <f t="shared" si="54"/>
        <v>2.47296</v>
      </c>
      <c r="O174">
        <f t="shared" si="55"/>
        <v>3.415341176470589</v>
      </c>
      <c r="P174">
        <f t="shared" si="56"/>
        <v>2.1771058315334777</v>
      </c>
      <c r="Q174">
        <f t="shared" si="57"/>
        <v>67.2</v>
      </c>
      <c r="R174">
        <f t="shared" si="58"/>
        <v>256</v>
      </c>
      <c r="S174">
        <f t="shared" si="59"/>
        <v>297.60000000000002</v>
      </c>
      <c r="T174">
        <f t="shared" si="60"/>
        <v>86.399999999999991</v>
      </c>
      <c r="U174">
        <f>I174*E174/'[1]Inverter Analysis'!$L$2</f>
        <v>115.94275569641077</v>
      </c>
      <c r="V174">
        <f t="shared" si="61"/>
        <v>208.33333333333334</v>
      </c>
      <c r="W174">
        <f t="shared" si="62"/>
        <v>268.81720430107526</v>
      </c>
      <c r="X174">
        <f t="shared" si="63"/>
        <v>148.8095238095238</v>
      </c>
      <c r="Y174">
        <f t="shared" si="64"/>
        <v>1.0839403399236907</v>
      </c>
      <c r="Z174">
        <f t="shared" si="65"/>
        <v>0.82661376000000009</v>
      </c>
    </row>
    <row r="175" spans="1:26">
      <c r="A175">
        <v>15</v>
      </c>
      <c r="B175">
        <v>2</v>
      </c>
      <c r="C175" s="1">
        <v>8</v>
      </c>
      <c r="D175">
        <f t="shared" si="44"/>
        <v>180</v>
      </c>
      <c r="E175">
        <f t="shared" si="45"/>
        <v>90</v>
      </c>
      <c r="F175">
        <f t="shared" si="46"/>
        <v>16.8</v>
      </c>
      <c r="G175">
        <f t="shared" si="47"/>
        <v>0.89999999999999991</v>
      </c>
      <c r="H175">
        <f t="shared" si="48"/>
        <v>45.36</v>
      </c>
      <c r="I175">
        <f t="shared" si="49"/>
        <v>504</v>
      </c>
      <c r="J175">
        <f t="shared" si="50"/>
        <v>360</v>
      </c>
      <c r="K175">
        <f t="shared" si="51"/>
        <v>32.4</v>
      </c>
      <c r="L175">
        <f t="shared" si="52"/>
        <v>4.5359999999999996</v>
      </c>
      <c r="M175">
        <f t="shared" si="53"/>
        <v>4.4553599999999998</v>
      </c>
      <c r="N175">
        <f t="shared" si="54"/>
        <v>2.3183999999999996</v>
      </c>
      <c r="O175">
        <f t="shared" si="55"/>
        <v>3.2018823529411762</v>
      </c>
      <c r="P175">
        <f t="shared" si="56"/>
        <v>2.0410367170626351</v>
      </c>
      <c r="Q175">
        <f t="shared" si="57"/>
        <v>63</v>
      </c>
      <c r="R175">
        <f t="shared" si="58"/>
        <v>240</v>
      </c>
      <c r="S175">
        <f t="shared" si="59"/>
        <v>279</v>
      </c>
      <c r="T175">
        <f t="shared" si="60"/>
        <v>80.999999999999986</v>
      </c>
      <c r="U175">
        <f>I175*E175/'[1]Inverter Analysis'!$L$2</f>
        <v>108.69633346538509</v>
      </c>
      <c r="V175">
        <f t="shared" si="61"/>
        <v>222.22222222222223</v>
      </c>
      <c r="W175">
        <f t="shared" si="62"/>
        <v>286.73835125448028</v>
      </c>
      <c r="X175">
        <f t="shared" si="63"/>
        <v>158.73015873015873</v>
      </c>
      <c r="Y175">
        <f t="shared" si="64"/>
        <v>1.2332832312020658</v>
      </c>
      <c r="Z175">
        <f t="shared" si="65"/>
        <v>0.68110875000000004</v>
      </c>
    </row>
    <row r="176" spans="1:26">
      <c r="A176">
        <v>14</v>
      </c>
      <c r="B176">
        <v>2</v>
      </c>
      <c r="C176" s="1">
        <v>8</v>
      </c>
      <c r="D176">
        <f t="shared" si="44"/>
        <v>180</v>
      </c>
      <c r="E176">
        <f t="shared" si="45"/>
        <v>90</v>
      </c>
      <c r="F176">
        <f t="shared" si="46"/>
        <v>15.68</v>
      </c>
      <c r="G176">
        <f t="shared" si="47"/>
        <v>0.84</v>
      </c>
      <c r="H176">
        <f t="shared" si="48"/>
        <v>42.335999999999999</v>
      </c>
      <c r="I176">
        <f t="shared" si="49"/>
        <v>470.40000000000003</v>
      </c>
      <c r="J176">
        <f t="shared" si="50"/>
        <v>336</v>
      </c>
      <c r="K176">
        <f t="shared" si="51"/>
        <v>30.24</v>
      </c>
      <c r="L176">
        <f t="shared" si="52"/>
        <v>4.2336</v>
      </c>
      <c r="M176">
        <f t="shared" si="53"/>
        <v>4.1583360000000003</v>
      </c>
      <c r="N176">
        <f t="shared" si="54"/>
        <v>2.16384</v>
      </c>
      <c r="O176">
        <f t="shared" si="55"/>
        <v>2.9884235294117647</v>
      </c>
      <c r="P176">
        <f t="shared" si="56"/>
        <v>1.9049676025917928</v>
      </c>
      <c r="Q176">
        <f t="shared" si="57"/>
        <v>58.800000000000004</v>
      </c>
      <c r="R176">
        <f t="shared" si="58"/>
        <v>224</v>
      </c>
      <c r="S176">
        <f t="shared" si="59"/>
        <v>260.39999999999998</v>
      </c>
      <c r="T176">
        <f t="shared" si="60"/>
        <v>75.599999999999994</v>
      </c>
      <c r="U176">
        <f>I176*E176/'[1]Inverter Analysis'!$L$2</f>
        <v>101.44991123435943</v>
      </c>
      <c r="V176">
        <f t="shared" si="61"/>
        <v>238.0952380952381</v>
      </c>
      <c r="W176">
        <f t="shared" si="62"/>
        <v>307.21966205837174</v>
      </c>
      <c r="X176">
        <f t="shared" si="63"/>
        <v>170.06802721088434</v>
      </c>
      <c r="Y176">
        <f t="shared" si="64"/>
        <v>1.4157588113289019</v>
      </c>
      <c r="Z176">
        <f t="shared" si="65"/>
        <v>0.55376664000000009</v>
      </c>
    </row>
    <row r="177" spans="1:26">
      <c r="A177">
        <v>13</v>
      </c>
      <c r="B177">
        <v>2</v>
      </c>
      <c r="C177" s="1">
        <v>8</v>
      </c>
      <c r="D177">
        <f t="shared" si="44"/>
        <v>180</v>
      </c>
      <c r="E177">
        <f t="shared" si="45"/>
        <v>90</v>
      </c>
      <c r="F177">
        <f t="shared" si="46"/>
        <v>14.56</v>
      </c>
      <c r="G177">
        <f t="shared" si="47"/>
        <v>0.78</v>
      </c>
      <c r="H177">
        <f t="shared" si="48"/>
        <v>39.311999999999998</v>
      </c>
      <c r="I177">
        <f t="shared" si="49"/>
        <v>436.8</v>
      </c>
      <c r="J177">
        <f t="shared" si="50"/>
        <v>312</v>
      </c>
      <c r="K177">
        <f t="shared" si="51"/>
        <v>28.08</v>
      </c>
      <c r="L177">
        <f t="shared" si="52"/>
        <v>3.9312000000000005</v>
      </c>
      <c r="M177">
        <f t="shared" si="53"/>
        <v>3.8613119999999999</v>
      </c>
      <c r="N177">
        <f t="shared" si="54"/>
        <v>2.00928</v>
      </c>
      <c r="O177">
        <f t="shared" si="55"/>
        <v>2.7749647058823537</v>
      </c>
      <c r="P177">
        <f t="shared" si="56"/>
        <v>1.7688984881209504</v>
      </c>
      <c r="Q177">
        <f t="shared" si="57"/>
        <v>54.6</v>
      </c>
      <c r="R177">
        <f t="shared" si="58"/>
        <v>208</v>
      </c>
      <c r="S177">
        <f t="shared" si="59"/>
        <v>241.8</v>
      </c>
      <c r="T177">
        <f t="shared" si="60"/>
        <v>70.2</v>
      </c>
      <c r="U177">
        <f>I177*E177/'[1]Inverter Analysis'!$L$2</f>
        <v>94.203489003333758</v>
      </c>
      <c r="V177">
        <f t="shared" si="61"/>
        <v>256.41025641025641</v>
      </c>
      <c r="W177">
        <f t="shared" si="62"/>
        <v>330.85194375516954</v>
      </c>
      <c r="X177">
        <f t="shared" si="63"/>
        <v>183.15018315018315</v>
      </c>
      <c r="Y177">
        <f t="shared" si="64"/>
        <v>1.6419451302986081</v>
      </c>
      <c r="Z177">
        <f t="shared" si="65"/>
        <v>0.44337657000000003</v>
      </c>
    </row>
    <row r="178" spans="1:26">
      <c r="A178">
        <v>12</v>
      </c>
      <c r="B178">
        <v>2</v>
      </c>
      <c r="C178" s="1">
        <v>8</v>
      </c>
      <c r="D178">
        <f t="shared" si="44"/>
        <v>180</v>
      </c>
      <c r="E178">
        <f t="shared" si="45"/>
        <v>90</v>
      </c>
      <c r="F178">
        <f t="shared" si="46"/>
        <v>13.44</v>
      </c>
      <c r="G178">
        <f t="shared" si="47"/>
        <v>0.72</v>
      </c>
      <c r="H178">
        <f t="shared" si="48"/>
        <v>36.288000000000004</v>
      </c>
      <c r="I178">
        <f t="shared" si="49"/>
        <v>403.20000000000005</v>
      </c>
      <c r="J178">
        <f t="shared" si="50"/>
        <v>288</v>
      </c>
      <c r="K178">
        <f t="shared" si="51"/>
        <v>25.92</v>
      </c>
      <c r="L178">
        <f t="shared" si="52"/>
        <v>3.6288</v>
      </c>
      <c r="M178">
        <f t="shared" si="53"/>
        <v>3.5642880000000003</v>
      </c>
      <c r="N178">
        <f t="shared" si="54"/>
        <v>1.8547199999999999</v>
      </c>
      <c r="O178">
        <f t="shared" si="55"/>
        <v>2.5615058823529413</v>
      </c>
      <c r="P178">
        <f t="shared" si="56"/>
        <v>1.6328293736501081</v>
      </c>
      <c r="Q178">
        <f t="shared" si="57"/>
        <v>50.400000000000006</v>
      </c>
      <c r="R178">
        <f t="shared" si="58"/>
        <v>192</v>
      </c>
      <c r="S178">
        <f t="shared" si="59"/>
        <v>223.2</v>
      </c>
      <c r="T178">
        <f t="shared" si="60"/>
        <v>64.8</v>
      </c>
      <c r="U178">
        <f>I178*E178/'[1]Inverter Analysis'!$L$2</f>
        <v>86.957066772308096</v>
      </c>
      <c r="V178">
        <f t="shared" si="61"/>
        <v>277.77777777777777</v>
      </c>
      <c r="W178">
        <f t="shared" si="62"/>
        <v>358.42293906810039</v>
      </c>
      <c r="X178">
        <f t="shared" si="63"/>
        <v>198.4126984126984</v>
      </c>
      <c r="Y178">
        <f t="shared" si="64"/>
        <v>1.927005048753228</v>
      </c>
      <c r="Z178">
        <f t="shared" si="65"/>
        <v>0.34872767999999998</v>
      </c>
    </row>
    <row r="179" spans="1:26">
      <c r="A179">
        <v>11</v>
      </c>
      <c r="B179">
        <v>2</v>
      </c>
      <c r="C179" s="1">
        <v>8</v>
      </c>
      <c r="D179">
        <f t="shared" si="44"/>
        <v>180</v>
      </c>
      <c r="E179">
        <f t="shared" si="45"/>
        <v>90</v>
      </c>
      <c r="F179">
        <f t="shared" si="46"/>
        <v>12.32</v>
      </c>
      <c r="G179">
        <f t="shared" si="47"/>
        <v>0.65999999999999992</v>
      </c>
      <c r="H179">
        <f t="shared" si="48"/>
        <v>33.264000000000003</v>
      </c>
      <c r="I179">
        <f t="shared" si="49"/>
        <v>369.6</v>
      </c>
      <c r="J179">
        <f t="shared" si="50"/>
        <v>264</v>
      </c>
      <c r="K179">
        <f t="shared" si="51"/>
        <v>23.76</v>
      </c>
      <c r="L179">
        <f t="shared" si="52"/>
        <v>3.3264</v>
      </c>
      <c r="M179">
        <f t="shared" si="53"/>
        <v>3.2672639999999999</v>
      </c>
      <c r="N179">
        <f t="shared" si="54"/>
        <v>1.7001600000000001</v>
      </c>
      <c r="O179">
        <f t="shared" si="55"/>
        <v>2.3480470588235294</v>
      </c>
      <c r="P179">
        <f t="shared" si="56"/>
        <v>1.4967602591792657</v>
      </c>
      <c r="Q179">
        <f t="shared" si="57"/>
        <v>46.2</v>
      </c>
      <c r="R179">
        <f t="shared" si="58"/>
        <v>176</v>
      </c>
      <c r="S179">
        <f t="shared" si="59"/>
        <v>204.60000000000002</v>
      </c>
      <c r="T179">
        <f t="shared" si="60"/>
        <v>59.399999999999991</v>
      </c>
      <c r="U179">
        <f>I179*E179/'[1]Inverter Analysis'!$L$2</f>
        <v>79.710644541282406</v>
      </c>
      <c r="V179">
        <f t="shared" si="61"/>
        <v>303.030303030303</v>
      </c>
      <c r="W179">
        <f t="shared" si="62"/>
        <v>391.00684261974578</v>
      </c>
      <c r="X179">
        <f t="shared" si="63"/>
        <v>216.45021645021643</v>
      </c>
      <c r="Y179">
        <f t="shared" si="64"/>
        <v>2.2932952646319396</v>
      </c>
      <c r="Z179">
        <f t="shared" si="65"/>
        <v>0.2686091100000001</v>
      </c>
    </row>
    <row r="180" spans="1:26">
      <c r="A180">
        <v>10</v>
      </c>
      <c r="B180">
        <v>2</v>
      </c>
      <c r="C180" s="1">
        <v>8</v>
      </c>
      <c r="D180">
        <f t="shared" si="44"/>
        <v>180</v>
      </c>
      <c r="E180">
        <f t="shared" si="45"/>
        <v>90</v>
      </c>
      <c r="F180">
        <f t="shared" si="46"/>
        <v>11.2</v>
      </c>
      <c r="G180">
        <f t="shared" si="47"/>
        <v>0.6</v>
      </c>
      <c r="H180">
        <f t="shared" si="48"/>
        <v>30.24</v>
      </c>
      <c r="I180">
        <f t="shared" si="49"/>
        <v>336</v>
      </c>
      <c r="J180">
        <f t="shared" si="50"/>
        <v>240</v>
      </c>
      <c r="K180">
        <f t="shared" si="51"/>
        <v>21.6</v>
      </c>
      <c r="L180">
        <f t="shared" si="52"/>
        <v>3.024</v>
      </c>
      <c r="M180">
        <f t="shared" si="53"/>
        <v>2.97024</v>
      </c>
      <c r="N180">
        <f t="shared" si="54"/>
        <v>1.5455999999999999</v>
      </c>
      <c r="O180">
        <f t="shared" si="55"/>
        <v>2.1345882352941179</v>
      </c>
      <c r="P180">
        <f t="shared" si="56"/>
        <v>1.3606911447084233</v>
      </c>
      <c r="Q180">
        <f t="shared" si="57"/>
        <v>42</v>
      </c>
      <c r="R180">
        <f t="shared" si="58"/>
        <v>160</v>
      </c>
      <c r="S180">
        <f t="shared" si="59"/>
        <v>186</v>
      </c>
      <c r="T180">
        <f t="shared" si="60"/>
        <v>54</v>
      </c>
      <c r="U180">
        <f>I180*E180/'[1]Inverter Analysis'!$L$2</f>
        <v>72.46422231025673</v>
      </c>
      <c r="V180">
        <f t="shared" si="61"/>
        <v>333.33333333333331</v>
      </c>
      <c r="W180">
        <f t="shared" si="62"/>
        <v>430.10752688172045</v>
      </c>
      <c r="X180">
        <f t="shared" si="63"/>
        <v>238.0952380952381</v>
      </c>
      <c r="Y180">
        <f t="shared" si="64"/>
        <v>2.7748872702046476</v>
      </c>
      <c r="Z180">
        <f t="shared" si="65"/>
        <v>0.20181000000000002</v>
      </c>
    </row>
    <row r="181" spans="1:26">
      <c r="A181" s="8">
        <v>16</v>
      </c>
      <c r="B181" s="1">
        <v>6</v>
      </c>
      <c r="C181" s="1">
        <v>7</v>
      </c>
      <c r="D181">
        <f t="shared" si="44"/>
        <v>540</v>
      </c>
      <c r="E181">
        <f t="shared" si="45"/>
        <v>270</v>
      </c>
      <c r="F181">
        <f t="shared" si="46"/>
        <v>47.04</v>
      </c>
      <c r="G181">
        <f t="shared" si="47"/>
        <v>0.28000000000000003</v>
      </c>
      <c r="H181">
        <f t="shared" si="48"/>
        <v>127.00800000000001</v>
      </c>
      <c r="I181">
        <f t="shared" si="49"/>
        <v>470.40000000000003</v>
      </c>
      <c r="J181">
        <f t="shared" si="50"/>
        <v>336</v>
      </c>
      <c r="K181">
        <f t="shared" si="51"/>
        <v>90.72</v>
      </c>
      <c r="L181">
        <f t="shared" si="52"/>
        <v>12.700800000000001</v>
      </c>
      <c r="M181">
        <f t="shared" si="53"/>
        <v>12.475008000000001</v>
      </c>
      <c r="N181">
        <f t="shared" si="54"/>
        <v>6.4915200000000004</v>
      </c>
      <c r="O181">
        <f t="shared" si="55"/>
        <v>8.9652705882352954</v>
      </c>
      <c r="P181">
        <f t="shared" si="56"/>
        <v>6.5313174946004322</v>
      </c>
      <c r="Q181">
        <f t="shared" si="57"/>
        <v>67.2</v>
      </c>
      <c r="R181">
        <f t="shared" si="58"/>
        <v>672</v>
      </c>
      <c r="S181">
        <f t="shared" si="59"/>
        <v>260.39999999999998</v>
      </c>
      <c r="T181">
        <f t="shared" si="60"/>
        <v>75.600000000000009</v>
      </c>
      <c r="U181">
        <f>I181*E181/'[1]Inverter Analysis'!$L$2</f>
        <v>304.3497337030783</v>
      </c>
      <c r="V181">
        <f t="shared" si="61"/>
        <v>238.0952380952381</v>
      </c>
      <c r="W181">
        <f t="shared" si="62"/>
        <v>307.21966205837174</v>
      </c>
      <c r="X181">
        <f t="shared" si="63"/>
        <v>170.06802721088434</v>
      </c>
      <c r="Y181">
        <f t="shared" si="64"/>
        <v>1.4157588113289019</v>
      </c>
      <c r="Z181">
        <f t="shared" si="65"/>
        <v>1.66129992</v>
      </c>
    </row>
    <row r="182" spans="1:26">
      <c r="A182" s="8">
        <v>15</v>
      </c>
      <c r="B182" s="1">
        <v>6</v>
      </c>
      <c r="C182" s="1">
        <v>7</v>
      </c>
      <c r="D182">
        <f t="shared" si="44"/>
        <v>540</v>
      </c>
      <c r="E182">
        <f t="shared" si="45"/>
        <v>270</v>
      </c>
      <c r="F182">
        <f t="shared" si="46"/>
        <v>44.1</v>
      </c>
      <c r="G182">
        <f t="shared" si="47"/>
        <v>0.26250000000000001</v>
      </c>
      <c r="H182">
        <f t="shared" si="48"/>
        <v>119.07</v>
      </c>
      <c r="I182">
        <f t="shared" si="49"/>
        <v>441</v>
      </c>
      <c r="J182">
        <f t="shared" si="50"/>
        <v>315</v>
      </c>
      <c r="K182">
        <f t="shared" si="51"/>
        <v>85.05</v>
      </c>
      <c r="L182">
        <f t="shared" si="52"/>
        <v>11.907</v>
      </c>
      <c r="M182">
        <f t="shared" si="53"/>
        <v>11.695319999999999</v>
      </c>
      <c r="N182">
        <f t="shared" si="54"/>
        <v>6.085799999999999</v>
      </c>
      <c r="O182">
        <f t="shared" si="55"/>
        <v>8.4049411764705884</v>
      </c>
      <c r="P182">
        <f t="shared" si="56"/>
        <v>6.1231101511879045</v>
      </c>
      <c r="Q182">
        <f t="shared" si="57"/>
        <v>63</v>
      </c>
      <c r="R182">
        <f t="shared" si="58"/>
        <v>630</v>
      </c>
      <c r="S182">
        <f t="shared" si="59"/>
        <v>244.125</v>
      </c>
      <c r="T182">
        <f t="shared" si="60"/>
        <v>70.875</v>
      </c>
      <c r="U182">
        <f>I182*E182/'[1]Inverter Analysis'!$L$2</f>
        <v>285.32787534663589</v>
      </c>
      <c r="V182">
        <f t="shared" si="61"/>
        <v>253.96825396825398</v>
      </c>
      <c r="W182">
        <f t="shared" si="62"/>
        <v>327.7009728622632</v>
      </c>
      <c r="X182">
        <f t="shared" si="63"/>
        <v>181.40589569160997</v>
      </c>
      <c r="Y182">
        <f t="shared" si="64"/>
        <v>1.6108189142231062</v>
      </c>
      <c r="Z182">
        <f t="shared" si="65"/>
        <v>1.3688689526367188</v>
      </c>
    </row>
    <row r="183" spans="1:26">
      <c r="A183">
        <v>14</v>
      </c>
      <c r="B183" s="1">
        <v>6</v>
      </c>
      <c r="C183" s="1">
        <v>7</v>
      </c>
      <c r="D183">
        <f t="shared" si="44"/>
        <v>540</v>
      </c>
      <c r="E183">
        <f t="shared" si="45"/>
        <v>270</v>
      </c>
      <c r="F183">
        <f t="shared" si="46"/>
        <v>41.16</v>
      </c>
      <c r="G183">
        <f t="shared" si="47"/>
        <v>0.24500000000000002</v>
      </c>
      <c r="H183">
        <f t="shared" si="48"/>
        <v>111.13200000000001</v>
      </c>
      <c r="I183">
        <f t="shared" si="49"/>
        <v>411.6</v>
      </c>
      <c r="J183">
        <f t="shared" si="50"/>
        <v>294</v>
      </c>
      <c r="K183">
        <f t="shared" si="51"/>
        <v>79.38</v>
      </c>
      <c r="L183">
        <f t="shared" si="52"/>
        <v>11.113200000000001</v>
      </c>
      <c r="M183">
        <f t="shared" si="53"/>
        <v>10.915632000000002</v>
      </c>
      <c r="N183">
        <f t="shared" si="54"/>
        <v>5.6800800000000002</v>
      </c>
      <c r="O183">
        <f t="shared" si="55"/>
        <v>7.8446117647058831</v>
      </c>
      <c r="P183">
        <f t="shared" si="56"/>
        <v>5.7149028077753785</v>
      </c>
      <c r="Q183">
        <f t="shared" si="57"/>
        <v>58.800000000000004</v>
      </c>
      <c r="R183">
        <f t="shared" si="58"/>
        <v>588</v>
      </c>
      <c r="S183">
        <f t="shared" si="59"/>
        <v>227.85</v>
      </c>
      <c r="T183">
        <f t="shared" si="60"/>
        <v>66.150000000000006</v>
      </c>
      <c r="U183">
        <f>I183*E183/'[1]Inverter Analysis'!$L$2</f>
        <v>266.30601699019348</v>
      </c>
      <c r="V183">
        <f t="shared" si="61"/>
        <v>272.10884353741494</v>
      </c>
      <c r="W183">
        <f t="shared" si="62"/>
        <v>351.10818520956769</v>
      </c>
      <c r="X183">
        <f t="shared" si="63"/>
        <v>194.36345966958211</v>
      </c>
      <c r="Y183">
        <f t="shared" si="64"/>
        <v>1.8491543658173415</v>
      </c>
      <c r="Z183">
        <f t="shared" si="65"/>
        <v>1.11294115734375</v>
      </c>
    </row>
    <row r="184" spans="1:26">
      <c r="A184">
        <v>13</v>
      </c>
      <c r="B184" s="1">
        <v>6</v>
      </c>
      <c r="C184" s="1">
        <v>7</v>
      </c>
      <c r="D184">
        <f t="shared" si="44"/>
        <v>540</v>
      </c>
      <c r="E184">
        <f t="shared" si="45"/>
        <v>270</v>
      </c>
      <c r="F184">
        <f t="shared" si="46"/>
        <v>38.22</v>
      </c>
      <c r="G184">
        <f t="shared" si="47"/>
        <v>0.22750000000000001</v>
      </c>
      <c r="H184">
        <f t="shared" si="48"/>
        <v>103.194</v>
      </c>
      <c r="I184">
        <f t="shared" si="49"/>
        <v>382.2</v>
      </c>
      <c r="J184">
        <f t="shared" si="50"/>
        <v>273</v>
      </c>
      <c r="K184">
        <f t="shared" si="51"/>
        <v>73.709999999999994</v>
      </c>
      <c r="L184">
        <f t="shared" si="52"/>
        <v>10.3194</v>
      </c>
      <c r="M184">
        <f t="shared" si="53"/>
        <v>10.135944</v>
      </c>
      <c r="N184">
        <f t="shared" si="54"/>
        <v>5.2743599999999997</v>
      </c>
      <c r="O184">
        <f t="shared" si="55"/>
        <v>7.2842823529411769</v>
      </c>
      <c r="P184">
        <f t="shared" si="56"/>
        <v>5.3066954643628508</v>
      </c>
      <c r="Q184">
        <f t="shared" si="57"/>
        <v>54.6</v>
      </c>
      <c r="R184">
        <f t="shared" si="58"/>
        <v>546</v>
      </c>
      <c r="S184">
        <f t="shared" si="59"/>
        <v>211.57499999999999</v>
      </c>
      <c r="T184">
        <f t="shared" si="60"/>
        <v>61.425000000000004</v>
      </c>
      <c r="U184">
        <f>I184*E184/'[1]Inverter Analysis'!$L$2</f>
        <v>247.2841586337511</v>
      </c>
      <c r="V184">
        <f t="shared" si="61"/>
        <v>293.04029304029302</v>
      </c>
      <c r="W184">
        <f t="shared" si="62"/>
        <v>378.11650714876521</v>
      </c>
      <c r="X184">
        <f t="shared" si="63"/>
        <v>209.31449502878075</v>
      </c>
      <c r="Y184">
        <f t="shared" si="64"/>
        <v>2.1445813946757335</v>
      </c>
      <c r="Z184">
        <f t="shared" si="65"/>
        <v>0.89108298931640617</v>
      </c>
    </row>
    <row r="185" spans="1:26">
      <c r="A185">
        <v>12</v>
      </c>
      <c r="B185" s="1">
        <v>6</v>
      </c>
      <c r="C185" s="1">
        <v>7</v>
      </c>
      <c r="D185">
        <f t="shared" si="44"/>
        <v>540</v>
      </c>
      <c r="E185">
        <f t="shared" si="45"/>
        <v>270</v>
      </c>
      <c r="F185">
        <f t="shared" si="46"/>
        <v>35.28</v>
      </c>
      <c r="G185">
        <f t="shared" si="47"/>
        <v>0.21</v>
      </c>
      <c r="H185">
        <f t="shared" si="48"/>
        <v>95.256</v>
      </c>
      <c r="I185">
        <f t="shared" si="49"/>
        <v>352.8</v>
      </c>
      <c r="J185">
        <f t="shared" si="50"/>
        <v>252</v>
      </c>
      <c r="K185">
        <f t="shared" si="51"/>
        <v>68.040000000000006</v>
      </c>
      <c r="L185">
        <f t="shared" si="52"/>
        <v>9.5256000000000007</v>
      </c>
      <c r="M185">
        <f t="shared" si="53"/>
        <v>9.3562560000000001</v>
      </c>
      <c r="N185">
        <f t="shared" si="54"/>
        <v>4.8686399999999992</v>
      </c>
      <c r="O185">
        <f t="shared" si="55"/>
        <v>6.7239529411764716</v>
      </c>
      <c r="P185">
        <f t="shared" si="56"/>
        <v>4.8984881209503239</v>
      </c>
      <c r="Q185">
        <f t="shared" si="57"/>
        <v>50.4</v>
      </c>
      <c r="R185">
        <f t="shared" si="58"/>
        <v>504</v>
      </c>
      <c r="S185">
        <f t="shared" si="59"/>
        <v>195.3</v>
      </c>
      <c r="T185">
        <f t="shared" si="60"/>
        <v>56.699999999999996</v>
      </c>
      <c r="U185">
        <f>I185*E185/'[1]Inverter Analysis'!$L$2</f>
        <v>228.26230027730873</v>
      </c>
      <c r="V185">
        <f t="shared" si="61"/>
        <v>317.46031746031747</v>
      </c>
      <c r="W185">
        <f t="shared" si="62"/>
        <v>409.62621607782899</v>
      </c>
      <c r="X185">
        <f t="shared" si="63"/>
        <v>226.75736961451247</v>
      </c>
      <c r="Y185">
        <f t="shared" si="64"/>
        <v>2.5169045534736036</v>
      </c>
      <c r="Z185">
        <f t="shared" si="65"/>
        <v>0.70086090374999999</v>
      </c>
    </row>
    <row r="186" spans="1:26">
      <c r="A186">
        <v>11</v>
      </c>
      <c r="B186" s="1">
        <v>6</v>
      </c>
      <c r="C186" s="1">
        <v>7</v>
      </c>
      <c r="D186">
        <f t="shared" si="44"/>
        <v>540</v>
      </c>
      <c r="E186">
        <f t="shared" si="45"/>
        <v>270</v>
      </c>
      <c r="F186">
        <f t="shared" si="46"/>
        <v>32.340000000000003</v>
      </c>
      <c r="G186">
        <f t="shared" si="47"/>
        <v>0.1925</v>
      </c>
      <c r="H186">
        <f t="shared" si="48"/>
        <v>87.318000000000012</v>
      </c>
      <c r="I186">
        <f t="shared" si="49"/>
        <v>323.40000000000003</v>
      </c>
      <c r="J186">
        <f t="shared" si="50"/>
        <v>231</v>
      </c>
      <c r="K186">
        <f t="shared" si="51"/>
        <v>62.37</v>
      </c>
      <c r="L186">
        <f t="shared" si="52"/>
        <v>8.7318000000000016</v>
      </c>
      <c r="M186">
        <f t="shared" si="53"/>
        <v>8.5765680000000017</v>
      </c>
      <c r="N186">
        <f t="shared" si="54"/>
        <v>4.4629200000000004</v>
      </c>
      <c r="O186">
        <f t="shared" si="55"/>
        <v>6.1636235294117663</v>
      </c>
      <c r="P186">
        <f t="shared" si="56"/>
        <v>4.4902807775377971</v>
      </c>
      <c r="Q186">
        <f t="shared" si="57"/>
        <v>46.2</v>
      </c>
      <c r="R186">
        <f t="shared" si="58"/>
        <v>462</v>
      </c>
      <c r="S186">
        <f t="shared" si="59"/>
        <v>179.02500000000001</v>
      </c>
      <c r="T186">
        <f t="shared" si="60"/>
        <v>51.975000000000001</v>
      </c>
      <c r="U186">
        <f>I186*E186/'[1]Inverter Analysis'!$L$2</f>
        <v>209.24044192086635</v>
      </c>
      <c r="V186">
        <f t="shared" si="61"/>
        <v>346.32034632034635</v>
      </c>
      <c r="W186">
        <f t="shared" si="62"/>
        <v>446.86496299399522</v>
      </c>
      <c r="X186">
        <f t="shared" si="63"/>
        <v>247.37167594310449</v>
      </c>
      <c r="Y186">
        <f t="shared" si="64"/>
        <v>2.9953244272743706</v>
      </c>
      <c r="Z186">
        <f t="shared" si="65"/>
        <v>0.53984135583984394</v>
      </c>
    </row>
    <row r="187" spans="1:26">
      <c r="A187">
        <v>10</v>
      </c>
      <c r="B187" s="1">
        <v>6</v>
      </c>
      <c r="C187" s="1">
        <v>7</v>
      </c>
      <c r="D187">
        <f t="shared" si="44"/>
        <v>540</v>
      </c>
      <c r="E187">
        <f t="shared" si="45"/>
        <v>270</v>
      </c>
      <c r="F187">
        <f t="shared" si="46"/>
        <v>29.4</v>
      </c>
      <c r="G187">
        <f t="shared" si="47"/>
        <v>0.17500000000000002</v>
      </c>
      <c r="H187">
        <f t="shared" si="48"/>
        <v>79.38</v>
      </c>
      <c r="I187">
        <f t="shared" si="49"/>
        <v>294</v>
      </c>
      <c r="J187">
        <f t="shared" si="50"/>
        <v>210</v>
      </c>
      <c r="K187">
        <f t="shared" si="51"/>
        <v>56.7</v>
      </c>
      <c r="L187">
        <f t="shared" si="52"/>
        <v>7.9379999999999997</v>
      </c>
      <c r="M187">
        <f t="shared" si="53"/>
        <v>7.7968799999999998</v>
      </c>
      <c r="N187">
        <f t="shared" si="54"/>
        <v>4.0571999999999999</v>
      </c>
      <c r="O187">
        <f t="shared" si="55"/>
        <v>5.6032941176470592</v>
      </c>
      <c r="P187">
        <f t="shared" si="56"/>
        <v>4.0820734341252694</v>
      </c>
      <c r="Q187">
        <f t="shared" si="57"/>
        <v>42</v>
      </c>
      <c r="R187">
        <f t="shared" si="58"/>
        <v>420</v>
      </c>
      <c r="S187">
        <f t="shared" si="59"/>
        <v>162.75</v>
      </c>
      <c r="T187">
        <f t="shared" si="60"/>
        <v>47.250000000000007</v>
      </c>
      <c r="U187">
        <f>I187*E187/'[1]Inverter Analysis'!$L$2</f>
        <v>190.21858356442394</v>
      </c>
      <c r="V187">
        <f t="shared" si="61"/>
        <v>380.95238095238096</v>
      </c>
      <c r="W187">
        <f t="shared" si="62"/>
        <v>491.55145929339477</v>
      </c>
      <c r="X187">
        <f t="shared" si="63"/>
        <v>272.10884353741494</v>
      </c>
      <c r="Y187">
        <f t="shared" si="64"/>
        <v>3.6243425570019889</v>
      </c>
      <c r="Z187">
        <f t="shared" si="65"/>
        <v>0.40559080078125004</v>
      </c>
    </row>
    <row r="188" spans="1:26">
      <c r="A188" s="8">
        <v>16</v>
      </c>
      <c r="B188" s="9">
        <v>5</v>
      </c>
      <c r="C188" s="1">
        <v>7</v>
      </c>
      <c r="D188">
        <f t="shared" si="44"/>
        <v>450</v>
      </c>
      <c r="E188">
        <f t="shared" si="45"/>
        <v>225</v>
      </c>
      <c r="F188">
        <f t="shared" si="46"/>
        <v>39.200000000000003</v>
      </c>
      <c r="G188">
        <f t="shared" si="47"/>
        <v>0.33599999999999997</v>
      </c>
      <c r="H188">
        <f t="shared" si="48"/>
        <v>105.84000000000002</v>
      </c>
      <c r="I188">
        <f t="shared" si="49"/>
        <v>470.40000000000003</v>
      </c>
      <c r="J188">
        <f t="shared" si="50"/>
        <v>336</v>
      </c>
      <c r="K188">
        <f t="shared" si="51"/>
        <v>75.599999999999994</v>
      </c>
      <c r="L188">
        <f t="shared" si="52"/>
        <v>10.584</v>
      </c>
      <c r="M188">
        <f t="shared" si="53"/>
        <v>10.39584</v>
      </c>
      <c r="N188">
        <f t="shared" si="54"/>
        <v>5.4096000000000002</v>
      </c>
      <c r="O188">
        <f t="shared" si="55"/>
        <v>7.471058823529412</v>
      </c>
      <c r="P188">
        <f t="shared" si="56"/>
        <v>5.4427645788336934</v>
      </c>
      <c r="Q188">
        <f t="shared" si="57"/>
        <v>67.2</v>
      </c>
      <c r="R188">
        <f t="shared" si="58"/>
        <v>560</v>
      </c>
      <c r="S188">
        <f t="shared" si="59"/>
        <v>260.39999999999998</v>
      </c>
      <c r="T188">
        <f t="shared" si="60"/>
        <v>75.599999999999994</v>
      </c>
      <c r="U188">
        <f>I188*E188/'[1]Inverter Analysis'!$L$2</f>
        <v>253.62477808589861</v>
      </c>
      <c r="V188">
        <f t="shared" si="61"/>
        <v>238.0952380952381</v>
      </c>
      <c r="W188">
        <f t="shared" si="62"/>
        <v>307.21966205837174</v>
      </c>
      <c r="X188">
        <f t="shared" si="63"/>
        <v>170.06802721088434</v>
      </c>
      <c r="Y188">
        <f t="shared" si="64"/>
        <v>1.4157588113289019</v>
      </c>
      <c r="Z188">
        <f t="shared" si="65"/>
        <v>1.3844166000000002</v>
      </c>
    </row>
    <row r="189" spans="1:26">
      <c r="A189" s="8">
        <v>15</v>
      </c>
      <c r="B189" s="9">
        <v>5</v>
      </c>
      <c r="C189" s="1">
        <v>7</v>
      </c>
      <c r="D189">
        <f t="shared" si="44"/>
        <v>450</v>
      </c>
      <c r="E189">
        <f t="shared" si="45"/>
        <v>225</v>
      </c>
      <c r="F189">
        <f t="shared" si="46"/>
        <v>36.75</v>
      </c>
      <c r="G189">
        <f t="shared" si="47"/>
        <v>0.31499999999999995</v>
      </c>
      <c r="H189">
        <f t="shared" si="48"/>
        <v>99.224999999999994</v>
      </c>
      <c r="I189">
        <f t="shared" si="49"/>
        <v>441</v>
      </c>
      <c r="J189">
        <f t="shared" si="50"/>
        <v>315</v>
      </c>
      <c r="K189">
        <f t="shared" si="51"/>
        <v>70.875</v>
      </c>
      <c r="L189">
        <f t="shared" si="52"/>
        <v>9.9224999999999994</v>
      </c>
      <c r="M189">
        <f t="shared" si="53"/>
        <v>9.7461000000000002</v>
      </c>
      <c r="N189">
        <f t="shared" si="54"/>
        <v>5.0715000000000003</v>
      </c>
      <c r="O189">
        <f t="shared" si="55"/>
        <v>7.0041176470588233</v>
      </c>
      <c r="P189">
        <f t="shared" si="56"/>
        <v>5.1025917926565878</v>
      </c>
      <c r="Q189">
        <f t="shared" si="57"/>
        <v>63</v>
      </c>
      <c r="R189">
        <f t="shared" si="58"/>
        <v>525</v>
      </c>
      <c r="S189">
        <f t="shared" si="59"/>
        <v>244.125</v>
      </c>
      <c r="T189">
        <f t="shared" si="60"/>
        <v>70.874999999999986</v>
      </c>
      <c r="U189">
        <f>I189*E189/'[1]Inverter Analysis'!$L$2</f>
        <v>237.7732294555299</v>
      </c>
      <c r="V189">
        <f t="shared" si="61"/>
        <v>253.96825396825398</v>
      </c>
      <c r="W189">
        <f t="shared" si="62"/>
        <v>327.7009728622632</v>
      </c>
      <c r="X189">
        <f t="shared" si="63"/>
        <v>181.40589569160997</v>
      </c>
      <c r="Y189">
        <f t="shared" si="64"/>
        <v>1.6108189142231062</v>
      </c>
      <c r="Z189">
        <f t="shared" si="65"/>
        <v>1.1407241271972657</v>
      </c>
    </row>
    <row r="190" spans="1:26">
      <c r="A190">
        <v>14</v>
      </c>
      <c r="B190" s="9">
        <v>5</v>
      </c>
      <c r="C190" s="1">
        <v>7</v>
      </c>
      <c r="D190">
        <f t="shared" si="44"/>
        <v>450</v>
      </c>
      <c r="E190">
        <f t="shared" si="45"/>
        <v>225</v>
      </c>
      <c r="F190">
        <f t="shared" si="46"/>
        <v>34.299999999999997</v>
      </c>
      <c r="G190">
        <f t="shared" si="47"/>
        <v>0.29399999999999998</v>
      </c>
      <c r="H190">
        <f t="shared" si="48"/>
        <v>92.61</v>
      </c>
      <c r="I190">
        <f t="shared" si="49"/>
        <v>411.6</v>
      </c>
      <c r="J190">
        <f t="shared" si="50"/>
        <v>294</v>
      </c>
      <c r="K190">
        <f t="shared" si="51"/>
        <v>66.150000000000006</v>
      </c>
      <c r="L190">
        <f t="shared" si="52"/>
        <v>9.2609999999999992</v>
      </c>
      <c r="M190">
        <f t="shared" si="53"/>
        <v>9.0963600000000007</v>
      </c>
      <c r="N190">
        <f t="shared" si="54"/>
        <v>4.7333999999999996</v>
      </c>
      <c r="O190">
        <f t="shared" si="55"/>
        <v>6.5371764705882356</v>
      </c>
      <c r="P190">
        <f t="shared" si="56"/>
        <v>4.7624190064794814</v>
      </c>
      <c r="Q190">
        <f t="shared" si="57"/>
        <v>58.800000000000004</v>
      </c>
      <c r="R190">
        <f t="shared" si="58"/>
        <v>490</v>
      </c>
      <c r="S190">
        <f t="shared" si="59"/>
        <v>227.85000000000002</v>
      </c>
      <c r="T190">
        <f t="shared" si="60"/>
        <v>66.149999999999991</v>
      </c>
      <c r="U190">
        <f>I190*E190/'[1]Inverter Analysis'!$L$2</f>
        <v>221.92168082516125</v>
      </c>
      <c r="V190">
        <f t="shared" si="61"/>
        <v>272.10884353741494</v>
      </c>
      <c r="W190">
        <f t="shared" si="62"/>
        <v>351.10818520956764</v>
      </c>
      <c r="X190">
        <f t="shared" si="63"/>
        <v>194.36345966958211</v>
      </c>
      <c r="Y190">
        <f t="shared" si="64"/>
        <v>1.8491543658173406</v>
      </c>
      <c r="Z190">
        <f t="shared" si="65"/>
        <v>0.92745096445312536</v>
      </c>
    </row>
    <row r="191" spans="1:26">
      <c r="A191">
        <v>13</v>
      </c>
      <c r="B191" s="9">
        <v>5</v>
      </c>
      <c r="C191" s="1">
        <v>7</v>
      </c>
      <c r="D191">
        <f t="shared" si="44"/>
        <v>450</v>
      </c>
      <c r="E191">
        <f t="shared" si="45"/>
        <v>225</v>
      </c>
      <c r="F191">
        <f t="shared" si="46"/>
        <v>31.85</v>
      </c>
      <c r="G191">
        <f t="shared" si="47"/>
        <v>0.27299999999999996</v>
      </c>
      <c r="H191">
        <f t="shared" si="48"/>
        <v>85.995000000000005</v>
      </c>
      <c r="I191">
        <f t="shared" si="49"/>
        <v>382.2</v>
      </c>
      <c r="J191">
        <f t="shared" si="50"/>
        <v>273</v>
      </c>
      <c r="K191">
        <f t="shared" si="51"/>
        <v>61.424999999999997</v>
      </c>
      <c r="L191">
        <f t="shared" si="52"/>
        <v>8.5995000000000008</v>
      </c>
      <c r="M191">
        <f t="shared" si="53"/>
        <v>8.4466199999999994</v>
      </c>
      <c r="N191">
        <f t="shared" si="54"/>
        <v>4.3952999999999989</v>
      </c>
      <c r="O191">
        <f t="shared" si="55"/>
        <v>6.0702352941176478</v>
      </c>
      <c r="P191">
        <f t="shared" si="56"/>
        <v>4.4222462203023758</v>
      </c>
      <c r="Q191">
        <f t="shared" si="57"/>
        <v>54.6</v>
      </c>
      <c r="R191">
        <f t="shared" si="58"/>
        <v>455</v>
      </c>
      <c r="S191">
        <f t="shared" si="59"/>
        <v>211.57500000000002</v>
      </c>
      <c r="T191">
        <f t="shared" si="60"/>
        <v>61.42499999999999</v>
      </c>
      <c r="U191">
        <f>I191*E191/'[1]Inverter Analysis'!$L$2</f>
        <v>206.07013219479259</v>
      </c>
      <c r="V191">
        <f t="shared" si="61"/>
        <v>293.04029304029302</v>
      </c>
      <c r="W191">
        <f t="shared" si="62"/>
        <v>378.11650714876521</v>
      </c>
      <c r="X191">
        <f t="shared" si="63"/>
        <v>209.31449502878075</v>
      </c>
      <c r="Y191">
        <f t="shared" si="64"/>
        <v>2.1445813946757335</v>
      </c>
      <c r="Z191">
        <f t="shared" si="65"/>
        <v>0.74256915776367183</v>
      </c>
    </row>
    <row r="192" spans="1:26">
      <c r="A192">
        <v>12</v>
      </c>
      <c r="B192" s="9">
        <v>5</v>
      </c>
      <c r="C192" s="1">
        <v>7</v>
      </c>
      <c r="D192">
        <f t="shared" si="44"/>
        <v>450</v>
      </c>
      <c r="E192">
        <f t="shared" si="45"/>
        <v>225</v>
      </c>
      <c r="F192">
        <f t="shared" si="46"/>
        <v>29.4</v>
      </c>
      <c r="G192">
        <f t="shared" si="47"/>
        <v>0.252</v>
      </c>
      <c r="H192">
        <f t="shared" si="48"/>
        <v>79.38</v>
      </c>
      <c r="I192">
        <f t="shared" si="49"/>
        <v>352.8</v>
      </c>
      <c r="J192">
        <f t="shared" si="50"/>
        <v>252</v>
      </c>
      <c r="K192">
        <f t="shared" si="51"/>
        <v>56.7</v>
      </c>
      <c r="L192">
        <f t="shared" si="52"/>
        <v>7.9380000000000006</v>
      </c>
      <c r="M192">
        <f t="shared" si="53"/>
        <v>7.7968799999999998</v>
      </c>
      <c r="N192">
        <f t="shared" si="54"/>
        <v>4.0571999999999999</v>
      </c>
      <c r="O192">
        <f t="shared" si="55"/>
        <v>5.6032941176470592</v>
      </c>
      <c r="P192">
        <f t="shared" si="56"/>
        <v>4.0820734341252694</v>
      </c>
      <c r="Q192">
        <f t="shared" si="57"/>
        <v>50.4</v>
      </c>
      <c r="R192">
        <f t="shared" si="58"/>
        <v>420</v>
      </c>
      <c r="S192">
        <f t="shared" si="59"/>
        <v>195.3</v>
      </c>
      <c r="T192">
        <f t="shared" si="60"/>
        <v>56.7</v>
      </c>
      <c r="U192">
        <f>I192*E192/'[1]Inverter Analysis'!$L$2</f>
        <v>190.21858356442394</v>
      </c>
      <c r="V192">
        <f t="shared" si="61"/>
        <v>317.46031746031747</v>
      </c>
      <c r="W192">
        <f t="shared" si="62"/>
        <v>409.62621607782899</v>
      </c>
      <c r="X192">
        <f t="shared" si="63"/>
        <v>226.75736961451247</v>
      </c>
      <c r="Y192">
        <f t="shared" si="64"/>
        <v>2.5169045534736036</v>
      </c>
      <c r="Z192">
        <f t="shared" si="65"/>
        <v>0.58405075312499999</v>
      </c>
    </row>
    <row r="193" spans="1:26">
      <c r="A193">
        <v>11</v>
      </c>
      <c r="B193" s="9">
        <v>5</v>
      </c>
      <c r="C193" s="1">
        <v>7</v>
      </c>
      <c r="D193">
        <f t="shared" si="44"/>
        <v>450</v>
      </c>
      <c r="E193">
        <f t="shared" si="45"/>
        <v>225</v>
      </c>
      <c r="F193">
        <f t="shared" si="46"/>
        <v>26.95</v>
      </c>
      <c r="G193">
        <f t="shared" si="47"/>
        <v>0.23099999999999996</v>
      </c>
      <c r="H193">
        <f t="shared" si="48"/>
        <v>72.765000000000015</v>
      </c>
      <c r="I193">
        <f t="shared" si="49"/>
        <v>323.40000000000003</v>
      </c>
      <c r="J193">
        <f t="shared" si="50"/>
        <v>231</v>
      </c>
      <c r="K193">
        <f t="shared" si="51"/>
        <v>51.975000000000001</v>
      </c>
      <c r="L193">
        <f t="shared" si="52"/>
        <v>7.2765000000000013</v>
      </c>
      <c r="M193">
        <f t="shared" si="53"/>
        <v>7.1471400000000003</v>
      </c>
      <c r="N193">
        <f t="shared" si="54"/>
        <v>3.7191000000000005</v>
      </c>
      <c r="O193">
        <f t="shared" si="55"/>
        <v>5.1363529411764715</v>
      </c>
      <c r="P193">
        <f t="shared" si="56"/>
        <v>3.7419006479481642</v>
      </c>
      <c r="Q193">
        <f t="shared" si="57"/>
        <v>46.2</v>
      </c>
      <c r="R193">
        <f t="shared" si="58"/>
        <v>385</v>
      </c>
      <c r="S193">
        <f t="shared" si="59"/>
        <v>179.02500000000001</v>
      </c>
      <c r="T193">
        <f t="shared" si="60"/>
        <v>51.974999999999987</v>
      </c>
      <c r="U193">
        <f>I193*E193/'[1]Inverter Analysis'!$L$2</f>
        <v>174.36703493405531</v>
      </c>
      <c r="V193">
        <f t="shared" si="61"/>
        <v>346.32034632034635</v>
      </c>
      <c r="W193">
        <f t="shared" si="62"/>
        <v>446.86496299399522</v>
      </c>
      <c r="X193">
        <f t="shared" si="63"/>
        <v>247.37167594310449</v>
      </c>
      <c r="Y193">
        <f t="shared" si="64"/>
        <v>2.9953244272743706</v>
      </c>
      <c r="Z193">
        <f t="shared" si="65"/>
        <v>0.44986779653320325</v>
      </c>
    </row>
    <row r="194" spans="1:26">
      <c r="A194">
        <v>10</v>
      </c>
      <c r="B194" s="9">
        <v>5</v>
      </c>
      <c r="C194" s="1">
        <v>7</v>
      </c>
      <c r="D194">
        <f t="shared" si="44"/>
        <v>450</v>
      </c>
      <c r="E194">
        <f t="shared" si="45"/>
        <v>225</v>
      </c>
      <c r="F194">
        <f t="shared" si="46"/>
        <v>24.5</v>
      </c>
      <c r="G194">
        <f t="shared" si="47"/>
        <v>0.20999999999999996</v>
      </c>
      <c r="H194">
        <f t="shared" si="48"/>
        <v>66.150000000000006</v>
      </c>
      <c r="I194">
        <f t="shared" si="49"/>
        <v>294</v>
      </c>
      <c r="J194">
        <f t="shared" si="50"/>
        <v>210</v>
      </c>
      <c r="K194">
        <f t="shared" si="51"/>
        <v>47.25</v>
      </c>
      <c r="L194">
        <f t="shared" si="52"/>
        <v>6.6150000000000002</v>
      </c>
      <c r="M194">
        <f t="shared" si="53"/>
        <v>6.4973999999999998</v>
      </c>
      <c r="N194">
        <f t="shared" si="54"/>
        <v>3.3809999999999993</v>
      </c>
      <c r="O194">
        <f t="shared" si="55"/>
        <v>4.6694117647058828</v>
      </c>
      <c r="P194">
        <f t="shared" si="56"/>
        <v>3.4017278617710582</v>
      </c>
      <c r="Q194">
        <f t="shared" si="57"/>
        <v>42</v>
      </c>
      <c r="R194">
        <f t="shared" si="58"/>
        <v>350</v>
      </c>
      <c r="S194">
        <f t="shared" si="59"/>
        <v>162.75</v>
      </c>
      <c r="T194">
        <f t="shared" si="60"/>
        <v>47.249999999999993</v>
      </c>
      <c r="U194">
        <f>I194*E194/'[1]Inverter Analysis'!$L$2</f>
        <v>158.5154863036866</v>
      </c>
      <c r="V194">
        <f t="shared" si="61"/>
        <v>380.95238095238096</v>
      </c>
      <c r="W194">
        <f t="shared" si="62"/>
        <v>491.55145929339477</v>
      </c>
      <c r="X194">
        <f t="shared" si="63"/>
        <v>272.10884353741494</v>
      </c>
      <c r="Y194">
        <f t="shared" si="64"/>
        <v>3.6243425570019889</v>
      </c>
      <c r="Z194">
        <f t="shared" si="65"/>
        <v>0.337992333984375</v>
      </c>
    </row>
    <row r="195" spans="1:26">
      <c r="A195">
        <v>16</v>
      </c>
      <c r="B195">
        <v>4</v>
      </c>
      <c r="C195" s="1">
        <v>7</v>
      </c>
      <c r="D195">
        <f t="shared" si="44"/>
        <v>360</v>
      </c>
      <c r="E195">
        <f t="shared" si="45"/>
        <v>180</v>
      </c>
      <c r="F195">
        <f t="shared" si="46"/>
        <v>31.36</v>
      </c>
      <c r="G195">
        <f t="shared" si="47"/>
        <v>0.42</v>
      </c>
      <c r="H195">
        <f t="shared" si="48"/>
        <v>84.671999999999997</v>
      </c>
      <c r="I195">
        <f t="shared" si="49"/>
        <v>470.40000000000003</v>
      </c>
      <c r="J195">
        <f t="shared" si="50"/>
        <v>336</v>
      </c>
      <c r="K195">
        <f t="shared" si="51"/>
        <v>60.48</v>
      </c>
      <c r="L195">
        <f t="shared" si="52"/>
        <v>8.4672000000000001</v>
      </c>
      <c r="M195">
        <f t="shared" si="53"/>
        <v>8.3166720000000005</v>
      </c>
      <c r="N195">
        <f t="shared" si="54"/>
        <v>4.32768</v>
      </c>
      <c r="O195">
        <f t="shared" si="55"/>
        <v>5.9768470588235294</v>
      </c>
      <c r="P195">
        <f t="shared" si="56"/>
        <v>4.3542116630669545</v>
      </c>
      <c r="Q195">
        <f t="shared" si="57"/>
        <v>67.2</v>
      </c>
      <c r="R195">
        <f t="shared" si="58"/>
        <v>448</v>
      </c>
      <c r="S195">
        <f t="shared" si="59"/>
        <v>260.39999999999998</v>
      </c>
      <c r="T195">
        <f t="shared" si="60"/>
        <v>75.599999999999994</v>
      </c>
      <c r="U195">
        <f>I195*E195/'[1]Inverter Analysis'!$L$2</f>
        <v>202.89982246871887</v>
      </c>
      <c r="V195">
        <f t="shared" si="61"/>
        <v>238.0952380952381</v>
      </c>
      <c r="W195">
        <f t="shared" si="62"/>
        <v>307.21966205837174</v>
      </c>
      <c r="X195">
        <f t="shared" si="63"/>
        <v>170.06802721088434</v>
      </c>
      <c r="Y195">
        <f t="shared" si="64"/>
        <v>1.4157588113289019</v>
      </c>
      <c r="Z195">
        <f t="shared" si="65"/>
        <v>1.1075332800000002</v>
      </c>
    </row>
    <row r="196" spans="1:26">
      <c r="A196">
        <v>15</v>
      </c>
      <c r="B196">
        <v>4</v>
      </c>
      <c r="C196" s="1">
        <v>7</v>
      </c>
      <c r="D196">
        <f t="shared" si="44"/>
        <v>360</v>
      </c>
      <c r="E196">
        <f t="shared" si="45"/>
        <v>180</v>
      </c>
      <c r="F196">
        <f t="shared" si="46"/>
        <v>29.4</v>
      </c>
      <c r="G196">
        <f t="shared" si="47"/>
        <v>0.39374999999999993</v>
      </c>
      <c r="H196">
        <f t="shared" si="48"/>
        <v>79.38</v>
      </c>
      <c r="I196">
        <f t="shared" si="49"/>
        <v>441</v>
      </c>
      <c r="J196">
        <f t="shared" si="50"/>
        <v>315</v>
      </c>
      <c r="K196">
        <f t="shared" si="51"/>
        <v>56.7</v>
      </c>
      <c r="L196">
        <f t="shared" si="52"/>
        <v>7.9379999999999997</v>
      </c>
      <c r="M196">
        <f t="shared" si="53"/>
        <v>7.7968799999999998</v>
      </c>
      <c r="N196">
        <f t="shared" si="54"/>
        <v>4.0571999999999999</v>
      </c>
      <c r="O196">
        <f t="shared" si="55"/>
        <v>5.6032941176470592</v>
      </c>
      <c r="P196">
        <f t="shared" si="56"/>
        <v>4.0820734341252694</v>
      </c>
      <c r="Q196">
        <f t="shared" si="57"/>
        <v>63</v>
      </c>
      <c r="R196">
        <f t="shared" si="58"/>
        <v>420</v>
      </c>
      <c r="S196">
        <f t="shared" si="59"/>
        <v>244.125</v>
      </c>
      <c r="T196">
        <f t="shared" si="60"/>
        <v>70.874999999999986</v>
      </c>
      <c r="U196">
        <f>I196*E196/'[1]Inverter Analysis'!$L$2</f>
        <v>190.21858356442394</v>
      </c>
      <c r="V196">
        <f t="shared" si="61"/>
        <v>253.96825396825398</v>
      </c>
      <c r="W196">
        <f t="shared" si="62"/>
        <v>327.7009728622632</v>
      </c>
      <c r="X196">
        <f t="shared" si="63"/>
        <v>181.40589569160997</v>
      </c>
      <c r="Y196">
        <f t="shared" si="64"/>
        <v>1.6108189142231062</v>
      </c>
      <c r="Z196">
        <f t="shared" si="65"/>
        <v>0.91257930175781254</v>
      </c>
    </row>
    <row r="197" spans="1:26">
      <c r="A197">
        <v>14</v>
      </c>
      <c r="B197">
        <v>4</v>
      </c>
      <c r="C197" s="1">
        <v>7</v>
      </c>
      <c r="D197">
        <f t="shared" si="44"/>
        <v>360</v>
      </c>
      <c r="E197">
        <f t="shared" si="45"/>
        <v>180</v>
      </c>
      <c r="F197">
        <f t="shared" si="46"/>
        <v>27.44</v>
      </c>
      <c r="G197">
        <f t="shared" si="47"/>
        <v>0.36749999999999999</v>
      </c>
      <c r="H197">
        <f t="shared" si="48"/>
        <v>74.087999999999994</v>
      </c>
      <c r="I197">
        <f t="shared" si="49"/>
        <v>411.6</v>
      </c>
      <c r="J197">
        <f t="shared" si="50"/>
        <v>294</v>
      </c>
      <c r="K197">
        <f t="shared" si="51"/>
        <v>52.92</v>
      </c>
      <c r="L197">
        <f t="shared" si="52"/>
        <v>7.4088000000000003</v>
      </c>
      <c r="M197">
        <f t="shared" si="53"/>
        <v>7.2770880000000009</v>
      </c>
      <c r="N197">
        <f t="shared" si="54"/>
        <v>3.7867199999999999</v>
      </c>
      <c r="O197">
        <f t="shared" si="55"/>
        <v>5.229741176470589</v>
      </c>
      <c r="P197">
        <f t="shared" si="56"/>
        <v>3.8099352051835851</v>
      </c>
      <c r="Q197">
        <f t="shared" si="57"/>
        <v>58.800000000000004</v>
      </c>
      <c r="R197">
        <f t="shared" si="58"/>
        <v>392</v>
      </c>
      <c r="S197">
        <f t="shared" si="59"/>
        <v>227.85</v>
      </c>
      <c r="T197">
        <f t="shared" si="60"/>
        <v>66.150000000000006</v>
      </c>
      <c r="U197">
        <f>I197*E197/'[1]Inverter Analysis'!$L$2</f>
        <v>177.53734466012901</v>
      </c>
      <c r="V197">
        <f t="shared" si="61"/>
        <v>272.10884353741494</v>
      </c>
      <c r="W197">
        <f t="shared" si="62"/>
        <v>351.10818520956769</v>
      </c>
      <c r="X197">
        <f t="shared" si="63"/>
        <v>194.36345966958211</v>
      </c>
      <c r="Y197">
        <f t="shared" si="64"/>
        <v>1.8491543658173415</v>
      </c>
      <c r="Z197">
        <f t="shared" si="65"/>
        <v>0.74196077156250007</v>
      </c>
    </row>
    <row r="198" spans="1:26">
      <c r="A198">
        <v>13</v>
      </c>
      <c r="B198">
        <v>4</v>
      </c>
      <c r="C198" s="1">
        <v>7</v>
      </c>
      <c r="D198">
        <f t="shared" si="44"/>
        <v>360</v>
      </c>
      <c r="E198">
        <f t="shared" si="45"/>
        <v>180</v>
      </c>
      <c r="F198">
        <f t="shared" si="46"/>
        <v>25.48</v>
      </c>
      <c r="G198">
        <f t="shared" si="47"/>
        <v>0.34125</v>
      </c>
      <c r="H198">
        <f t="shared" si="48"/>
        <v>68.796000000000006</v>
      </c>
      <c r="I198">
        <f t="shared" si="49"/>
        <v>382.2</v>
      </c>
      <c r="J198">
        <f t="shared" si="50"/>
        <v>273</v>
      </c>
      <c r="K198">
        <f t="shared" si="51"/>
        <v>49.14</v>
      </c>
      <c r="L198">
        <f t="shared" si="52"/>
        <v>6.879599999999999</v>
      </c>
      <c r="M198">
        <f t="shared" si="53"/>
        <v>6.7572959999999993</v>
      </c>
      <c r="N198">
        <f t="shared" si="54"/>
        <v>3.5162399999999998</v>
      </c>
      <c r="O198">
        <f t="shared" si="55"/>
        <v>4.856188235294117</v>
      </c>
      <c r="P198">
        <f t="shared" si="56"/>
        <v>3.5377969762419004</v>
      </c>
      <c r="Q198">
        <f t="shared" si="57"/>
        <v>54.6</v>
      </c>
      <c r="R198">
        <f t="shared" si="58"/>
        <v>364</v>
      </c>
      <c r="S198">
        <f t="shared" si="59"/>
        <v>211.57499999999999</v>
      </c>
      <c r="T198">
        <f t="shared" si="60"/>
        <v>61.424999999999997</v>
      </c>
      <c r="U198">
        <f>I198*E198/'[1]Inverter Analysis'!$L$2</f>
        <v>164.85610575583408</v>
      </c>
      <c r="V198">
        <f t="shared" si="61"/>
        <v>293.04029304029302</v>
      </c>
      <c r="W198">
        <f t="shared" si="62"/>
        <v>378.11650714876521</v>
      </c>
      <c r="X198">
        <f t="shared" si="63"/>
        <v>209.31449502878075</v>
      </c>
      <c r="Y198">
        <f t="shared" si="64"/>
        <v>2.1445813946757335</v>
      </c>
      <c r="Z198">
        <f t="shared" si="65"/>
        <v>0.59405532621093737</v>
      </c>
    </row>
    <row r="199" spans="1:26">
      <c r="A199">
        <v>12</v>
      </c>
      <c r="B199">
        <v>4</v>
      </c>
      <c r="C199" s="1">
        <v>7</v>
      </c>
      <c r="D199">
        <f t="shared" ref="D199:D227" si="66">B199*$J$3</f>
        <v>360</v>
      </c>
      <c r="E199">
        <f t="shared" ref="E199:E227" si="67">B199*$I$3</f>
        <v>180</v>
      </c>
      <c r="F199">
        <f t="shared" ref="F199:F227" si="68">A199*B199*C199*$Q$3/1000</f>
        <v>23.52</v>
      </c>
      <c r="G199">
        <f t="shared" ref="G199:G227" si="69">((B199*$R$3^(-1))^(-1))*A199*C199</f>
        <v>0.315</v>
      </c>
      <c r="H199">
        <f t="shared" ref="H199:H227" si="70">E199*I199/1000</f>
        <v>63.503999999999998</v>
      </c>
      <c r="I199">
        <f t="shared" ref="I199:I227" si="71">A199*C199*4.2</f>
        <v>352.8</v>
      </c>
      <c r="J199">
        <f t="shared" ref="J199:J227" si="72">C199*A199*$K$3</f>
        <v>252</v>
      </c>
      <c r="K199">
        <f t="shared" ref="K199:K227" si="73">E199*J199/1000</f>
        <v>45.36</v>
      </c>
      <c r="L199">
        <f t="shared" ref="L199:L227" si="74">$N$3/1000*I199*B199/1000</f>
        <v>6.3504000000000005</v>
      </c>
      <c r="M199">
        <f t="shared" ref="M199:M227" si="75">$O$3/1000*I199*B199/1000</f>
        <v>6.2375039999999995</v>
      </c>
      <c r="N199">
        <f t="shared" ref="N199:N227" si="76">$P$3/1000*I199*B199/1000</f>
        <v>3.2457599999999998</v>
      </c>
      <c r="O199">
        <f t="shared" ref="O199:O227" si="77">L199*(($L$3-$K$3)/($L$3-$M$3))</f>
        <v>4.4826352941176477</v>
      </c>
      <c r="P199">
        <f t="shared" ref="P199:P227" si="78">$H$3/1000*B199*I199/277.8/C199</f>
        <v>3.2656587473002161</v>
      </c>
      <c r="Q199">
        <f t="shared" ref="Q199:Q227" si="79">I199/C199</f>
        <v>50.4</v>
      </c>
      <c r="R199">
        <f t="shared" ref="R199:R227" si="80">(A199*B199*C199)</f>
        <v>336</v>
      </c>
      <c r="S199">
        <f t="shared" ref="S199:S227" si="81">J199-(G199*E199)</f>
        <v>195.3</v>
      </c>
      <c r="T199">
        <f t="shared" ref="T199:T227" si="82">G199*E199</f>
        <v>56.7</v>
      </c>
      <c r="U199">
        <f>I199*E199/'[1]Inverter Analysis'!$L$2</f>
        <v>152.17486685153915</v>
      </c>
      <c r="V199">
        <f t="shared" ref="V199:V227" si="83">80000/J199</f>
        <v>317.46031746031747</v>
      </c>
      <c r="W199">
        <f t="shared" ref="W199:W227" si="84">80000/S199</f>
        <v>409.62621607782899</v>
      </c>
      <c r="X199">
        <f t="shared" ref="X199:X227" si="85">80000/I199</f>
        <v>226.75736961451247</v>
      </c>
      <c r="Y199">
        <f t="shared" ref="Y199:Y227" si="86">(MAX(V199:X199)^2)*$R$3/1000</f>
        <v>2.5169045534736036</v>
      </c>
      <c r="Z199">
        <f t="shared" ref="Z199:Z227" si="87">($S$3*F199/(Y199*1000))*10</f>
        <v>0.46724060249999999</v>
      </c>
    </row>
    <row r="200" spans="1:26">
      <c r="A200">
        <v>11</v>
      </c>
      <c r="B200">
        <v>4</v>
      </c>
      <c r="C200" s="1">
        <v>7</v>
      </c>
      <c r="D200">
        <f t="shared" si="66"/>
        <v>360</v>
      </c>
      <c r="E200">
        <f t="shared" si="67"/>
        <v>180</v>
      </c>
      <c r="F200">
        <f t="shared" si="68"/>
        <v>21.56</v>
      </c>
      <c r="G200">
        <f t="shared" si="69"/>
        <v>0.28874999999999995</v>
      </c>
      <c r="H200">
        <f t="shared" si="70"/>
        <v>58.21200000000001</v>
      </c>
      <c r="I200">
        <f t="shared" si="71"/>
        <v>323.40000000000003</v>
      </c>
      <c r="J200">
        <f t="shared" si="72"/>
        <v>231</v>
      </c>
      <c r="K200">
        <f t="shared" si="73"/>
        <v>41.58</v>
      </c>
      <c r="L200">
        <f t="shared" si="74"/>
        <v>5.821200000000001</v>
      </c>
      <c r="M200">
        <f t="shared" si="75"/>
        <v>5.7177120000000006</v>
      </c>
      <c r="N200">
        <f t="shared" si="76"/>
        <v>2.9752800000000001</v>
      </c>
      <c r="O200">
        <f t="shared" si="77"/>
        <v>4.1090823529411775</v>
      </c>
      <c r="P200">
        <f t="shared" si="78"/>
        <v>2.9935205183585318</v>
      </c>
      <c r="Q200">
        <f t="shared" si="79"/>
        <v>46.2</v>
      </c>
      <c r="R200">
        <f t="shared" si="80"/>
        <v>308</v>
      </c>
      <c r="S200">
        <f t="shared" si="81"/>
        <v>179.02500000000001</v>
      </c>
      <c r="T200">
        <f t="shared" si="82"/>
        <v>51.974999999999994</v>
      </c>
      <c r="U200">
        <f>I200*E200/'[1]Inverter Analysis'!$L$2</f>
        <v>139.49362794724422</v>
      </c>
      <c r="V200">
        <f t="shared" si="83"/>
        <v>346.32034632034635</v>
      </c>
      <c r="W200">
        <f t="shared" si="84"/>
        <v>446.86496299399522</v>
      </c>
      <c r="X200">
        <f t="shared" si="85"/>
        <v>247.37167594310449</v>
      </c>
      <c r="Y200">
        <f t="shared" si="86"/>
        <v>2.9953244272743706</v>
      </c>
      <c r="Z200">
        <f t="shared" si="87"/>
        <v>0.35989423722656261</v>
      </c>
    </row>
    <row r="201" spans="1:26">
      <c r="A201">
        <v>10</v>
      </c>
      <c r="B201">
        <v>4</v>
      </c>
      <c r="C201" s="1">
        <v>7</v>
      </c>
      <c r="D201">
        <f t="shared" si="66"/>
        <v>360</v>
      </c>
      <c r="E201">
        <f t="shared" si="67"/>
        <v>180</v>
      </c>
      <c r="F201">
        <f t="shared" si="68"/>
        <v>19.600000000000001</v>
      </c>
      <c r="G201">
        <f t="shared" si="69"/>
        <v>0.26250000000000001</v>
      </c>
      <c r="H201">
        <f t="shared" si="70"/>
        <v>52.92</v>
      </c>
      <c r="I201">
        <f t="shared" si="71"/>
        <v>294</v>
      </c>
      <c r="J201">
        <f t="shared" si="72"/>
        <v>210</v>
      </c>
      <c r="K201">
        <f t="shared" si="73"/>
        <v>37.799999999999997</v>
      </c>
      <c r="L201">
        <f t="shared" si="74"/>
        <v>5.2919999999999998</v>
      </c>
      <c r="M201">
        <f t="shared" si="75"/>
        <v>5.1979199999999999</v>
      </c>
      <c r="N201">
        <f t="shared" si="76"/>
        <v>2.7047999999999996</v>
      </c>
      <c r="O201">
        <f t="shared" si="77"/>
        <v>3.735529411764706</v>
      </c>
      <c r="P201">
        <f t="shared" si="78"/>
        <v>2.7213822894168467</v>
      </c>
      <c r="Q201">
        <f t="shared" si="79"/>
        <v>42</v>
      </c>
      <c r="R201">
        <f t="shared" si="80"/>
        <v>280</v>
      </c>
      <c r="S201">
        <f t="shared" si="81"/>
        <v>162.75</v>
      </c>
      <c r="T201">
        <f t="shared" si="82"/>
        <v>47.25</v>
      </c>
      <c r="U201">
        <f>I201*E201/'[1]Inverter Analysis'!$L$2</f>
        <v>126.81238904294929</v>
      </c>
      <c r="V201">
        <f t="shared" si="83"/>
        <v>380.95238095238096</v>
      </c>
      <c r="W201">
        <f t="shared" si="84"/>
        <v>491.55145929339477</v>
      </c>
      <c r="X201">
        <f t="shared" si="85"/>
        <v>272.10884353741494</v>
      </c>
      <c r="Y201">
        <f t="shared" si="86"/>
        <v>3.6243425570019889</v>
      </c>
      <c r="Z201">
        <f t="shared" si="87"/>
        <v>0.27039386718750003</v>
      </c>
    </row>
    <row r="202" spans="1:26">
      <c r="A202">
        <v>16</v>
      </c>
      <c r="B202">
        <v>3</v>
      </c>
      <c r="C202" s="1">
        <v>7</v>
      </c>
      <c r="D202">
        <f t="shared" si="66"/>
        <v>270</v>
      </c>
      <c r="E202">
        <f t="shared" si="67"/>
        <v>135</v>
      </c>
      <c r="F202">
        <f t="shared" si="68"/>
        <v>23.52</v>
      </c>
      <c r="G202">
        <f t="shared" si="69"/>
        <v>0.56000000000000005</v>
      </c>
      <c r="H202">
        <f t="shared" si="70"/>
        <v>63.504000000000005</v>
      </c>
      <c r="I202">
        <f t="shared" si="71"/>
        <v>470.40000000000003</v>
      </c>
      <c r="J202">
        <f t="shared" si="72"/>
        <v>336</v>
      </c>
      <c r="K202">
        <f t="shared" si="73"/>
        <v>45.36</v>
      </c>
      <c r="L202">
        <f t="shared" si="74"/>
        <v>6.3504000000000005</v>
      </c>
      <c r="M202">
        <f t="shared" si="75"/>
        <v>6.2375040000000004</v>
      </c>
      <c r="N202">
        <f t="shared" si="76"/>
        <v>3.2457600000000002</v>
      </c>
      <c r="O202">
        <f t="shared" si="77"/>
        <v>4.4826352941176477</v>
      </c>
      <c r="P202">
        <f t="shared" si="78"/>
        <v>3.2656587473002161</v>
      </c>
      <c r="Q202">
        <f t="shared" si="79"/>
        <v>67.2</v>
      </c>
      <c r="R202">
        <f t="shared" si="80"/>
        <v>336</v>
      </c>
      <c r="S202">
        <f t="shared" si="81"/>
        <v>260.39999999999998</v>
      </c>
      <c r="T202">
        <f t="shared" si="82"/>
        <v>75.600000000000009</v>
      </c>
      <c r="U202">
        <f>I202*E202/'[1]Inverter Analysis'!$L$2</f>
        <v>152.17486685153915</v>
      </c>
      <c r="V202">
        <f t="shared" si="83"/>
        <v>238.0952380952381</v>
      </c>
      <c r="W202">
        <f t="shared" si="84"/>
        <v>307.21966205837174</v>
      </c>
      <c r="X202">
        <f t="shared" si="85"/>
        <v>170.06802721088434</v>
      </c>
      <c r="Y202">
        <f t="shared" si="86"/>
        <v>1.4157588113289019</v>
      </c>
      <c r="Z202">
        <f t="shared" si="87"/>
        <v>0.83064996000000002</v>
      </c>
    </row>
    <row r="203" spans="1:26">
      <c r="A203">
        <v>15</v>
      </c>
      <c r="B203">
        <v>3</v>
      </c>
      <c r="C203" s="1">
        <v>7</v>
      </c>
      <c r="D203">
        <f t="shared" si="66"/>
        <v>270</v>
      </c>
      <c r="E203">
        <f t="shared" si="67"/>
        <v>135</v>
      </c>
      <c r="F203">
        <f t="shared" si="68"/>
        <v>22.05</v>
      </c>
      <c r="G203">
        <f t="shared" si="69"/>
        <v>0.52500000000000002</v>
      </c>
      <c r="H203">
        <f t="shared" si="70"/>
        <v>59.534999999999997</v>
      </c>
      <c r="I203">
        <f t="shared" si="71"/>
        <v>441</v>
      </c>
      <c r="J203">
        <f t="shared" si="72"/>
        <v>315</v>
      </c>
      <c r="K203">
        <f t="shared" si="73"/>
        <v>42.524999999999999</v>
      </c>
      <c r="L203">
        <f t="shared" si="74"/>
        <v>5.9535</v>
      </c>
      <c r="M203">
        <f t="shared" si="75"/>
        <v>5.8476599999999994</v>
      </c>
      <c r="N203">
        <f t="shared" si="76"/>
        <v>3.0428999999999995</v>
      </c>
      <c r="O203">
        <f t="shared" si="77"/>
        <v>4.2024705882352942</v>
      </c>
      <c r="P203">
        <f t="shared" si="78"/>
        <v>3.0615550755939522</v>
      </c>
      <c r="Q203">
        <f t="shared" si="79"/>
        <v>63</v>
      </c>
      <c r="R203">
        <f t="shared" si="80"/>
        <v>315</v>
      </c>
      <c r="S203">
        <f t="shared" si="81"/>
        <v>244.125</v>
      </c>
      <c r="T203">
        <f t="shared" si="82"/>
        <v>70.875</v>
      </c>
      <c r="U203">
        <f>I203*E203/'[1]Inverter Analysis'!$L$2</f>
        <v>142.66393767331795</v>
      </c>
      <c r="V203">
        <f t="shared" si="83"/>
        <v>253.96825396825398</v>
      </c>
      <c r="W203">
        <f t="shared" si="84"/>
        <v>327.7009728622632</v>
      </c>
      <c r="X203">
        <f t="shared" si="85"/>
        <v>181.40589569160997</v>
      </c>
      <c r="Y203">
        <f t="shared" si="86"/>
        <v>1.6108189142231062</v>
      </c>
      <c r="Z203">
        <f t="shared" si="87"/>
        <v>0.68443447631835941</v>
      </c>
    </row>
    <row r="204" spans="1:26">
      <c r="A204">
        <v>14</v>
      </c>
      <c r="B204">
        <v>3</v>
      </c>
      <c r="C204" s="1">
        <v>7</v>
      </c>
      <c r="D204">
        <f t="shared" si="66"/>
        <v>270</v>
      </c>
      <c r="E204">
        <f t="shared" si="67"/>
        <v>135</v>
      </c>
      <c r="F204">
        <f t="shared" si="68"/>
        <v>20.58</v>
      </c>
      <c r="G204">
        <f t="shared" si="69"/>
        <v>0.49000000000000005</v>
      </c>
      <c r="H204">
        <f t="shared" si="70"/>
        <v>55.566000000000003</v>
      </c>
      <c r="I204">
        <f t="shared" si="71"/>
        <v>411.6</v>
      </c>
      <c r="J204">
        <f t="shared" si="72"/>
        <v>294</v>
      </c>
      <c r="K204">
        <f t="shared" si="73"/>
        <v>39.69</v>
      </c>
      <c r="L204">
        <f t="shared" si="74"/>
        <v>5.5566000000000004</v>
      </c>
      <c r="M204">
        <f t="shared" si="75"/>
        <v>5.4578160000000011</v>
      </c>
      <c r="N204">
        <f t="shared" si="76"/>
        <v>2.8400400000000001</v>
      </c>
      <c r="O204">
        <f t="shared" si="77"/>
        <v>3.9223058823529415</v>
      </c>
      <c r="P204">
        <f t="shared" si="78"/>
        <v>2.8574514038876893</v>
      </c>
      <c r="Q204">
        <f t="shared" si="79"/>
        <v>58.800000000000004</v>
      </c>
      <c r="R204">
        <f t="shared" si="80"/>
        <v>294</v>
      </c>
      <c r="S204">
        <f t="shared" si="81"/>
        <v>227.85</v>
      </c>
      <c r="T204">
        <f t="shared" si="82"/>
        <v>66.150000000000006</v>
      </c>
      <c r="U204">
        <f>I204*E204/'[1]Inverter Analysis'!$L$2</f>
        <v>133.15300849509674</v>
      </c>
      <c r="V204">
        <f t="shared" si="83"/>
        <v>272.10884353741494</v>
      </c>
      <c r="W204">
        <f t="shared" si="84"/>
        <v>351.10818520956769</v>
      </c>
      <c r="X204">
        <f t="shared" si="85"/>
        <v>194.36345966958211</v>
      </c>
      <c r="Y204">
        <f t="shared" si="86"/>
        <v>1.8491543658173415</v>
      </c>
      <c r="Z204">
        <f t="shared" si="87"/>
        <v>0.55647057867187499</v>
      </c>
    </row>
    <row r="205" spans="1:26">
      <c r="A205">
        <v>13</v>
      </c>
      <c r="B205">
        <v>3</v>
      </c>
      <c r="C205" s="1">
        <v>7</v>
      </c>
      <c r="D205">
        <f t="shared" si="66"/>
        <v>270</v>
      </c>
      <c r="E205">
        <f t="shared" si="67"/>
        <v>135</v>
      </c>
      <c r="F205">
        <f t="shared" si="68"/>
        <v>19.11</v>
      </c>
      <c r="G205">
        <f t="shared" si="69"/>
        <v>0.45500000000000002</v>
      </c>
      <c r="H205">
        <f t="shared" si="70"/>
        <v>51.597000000000001</v>
      </c>
      <c r="I205">
        <f t="shared" si="71"/>
        <v>382.2</v>
      </c>
      <c r="J205">
        <f t="shared" si="72"/>
        <v>273</v>
      </c>
      <c r="K205">
        <f t="shared" si="73"/>
        <v>36.854999999999997</v>
      </c>
      <c r="L205">
        <f t="shared" si="74"/>
        <v>5.1597</v>
      </c>
      <c r="M205">
        <f t="shared" si="75"/>
        <v>5.0679720000000001</v>
      </c>
      <c r="N205">
        <f t="shared" si="76"/>
        <v>2.6371799999999999</v>
      </c>
      <c r="O205">
        <f t="shared" si="77"/>
        <v>3.6421411764705884</v>
      </c>
      <c r="P205">
        <f t="shared" si="78"/>
        <v>2.6533477321814254</v>
      </c>
      <c r="Q205">
        <f t="shared" si="79"/>
        <v>54.6</v>
      </c>
      <c r="R205">
        <f t="shared" si="80"/>
        <v>273</v>
      </c>
      <c r="S205">
        <f t="shared" si="81"/>
        <v>211.57499999999999</v>
      </c>
      <c r="T205">
        <f t="shared" si="82"/>
        <v>61.425000000000004</v>
      </c>
      <c r="U205">
        <f>I205*E205/'[1]Inverter Analysis'!$L$2</f>
        <v>123.64207931687555</v>
      </c>
      <c r="V205">
        <f t="shared" si="83"/>
        <v>293.04029304029302</v>
      </c>
      <c r="W205">
        <f t="shared" si="84"/>
        <v>378.11650714876521</v>
      </c>
      <c r="X205">
        <f t="shared" si="85"/>
        <v>209.31449502878075</v>
      </c>
      <c r="Y205">
        <f t="shared" si="86"/>
        <v>2.1445813946757335</v>
      </c>
      <c r="Z205">
        <f t="shared" si="87"/>
        <v>0.44554149465820309</v>
      </c>
    </row>
    <row r="206" spans="1:26">
      <c r="A206">
        <v>12</v>
      </c>
      <c r="B206">
        <v>3</v>
      </c>
      <c r="C206" s="1">
        <v>7</v>
      </c>
      <c r="D206">
        <f t="shared" si="66"/>
        <v>270</v>
      </c>
      <c r="E206">
        <f t="shared" si="67"/>
        <v>135</v>
      </c>
      <c r="F206">
        <f t="shared" si="68"/>
        <v>17.64</v>
      </c>
      <c r="G206">
        <f t="shared" si="69"/>
        <v>0.42</v>
      </c>
      <c r="H206">
        <f t="shared" si="70"/>
        <v>47.628</v>
      </c>
      <c r="I206">
        <f t="shared" si="71"/>
        <v>352.8</v>
      </c>
      <c r="J206">
        <f t="shared" si="72"/>
        <v>252</v>
      </c>
      <c r="K206">
        <f t="shared" si="73"/>
        <v>34.020000000000003</v>
      </c>
      <c r="L206">
        <f t="shared" si="74"/>
        <v>4.7628000000000004</v>
      </c>
      <c r="M206">
        <f t="shared" si="75"/>
        <v>4.6781280000000001</v>
      </c>
      <c r="N206">
        <f t="shared" si="76"/>
        <v>2.4343199999999996</v>
      </c>
      <c r="O206">
        <f t="shared" si="77"/>
        <v>3.3619764705882358</v>
      </c>
      <c r="P206">
        <f t="shared" si="78"/>
        <v>2.449244060475162</v>
      </c>
      <c r="Q206">
        <f t="shared" si="79"/>
        <v>50.4</v>
      </c>
      <c r="R206">
        <f t="shared" si="80"/>
        <v>252</v>
      </c>
      <c r="S206">
        <f t="shared" si="81"/>
        <v>195.3</v>
      </c>
      <c r="T206">
        <f t="shared" si="82"/>
        <v>56.699999999999996</v>
      </c>
      <c r="U206">
        <f>I206*E206/'[1]Inverter Analysis'!$L$2</f>
        <v>114.13115013865436</v>
      </c>
      <c r="V206">
        <f t="shared" si="83"/>
        <v>317.46031746031747</v>
      </c>
      <c r="W206">
        <f t="shared" si="84"/>
        <v>409.62621607782899</v>
      </c>
      <c r="X206">
        <f t="shared" si="85"/>
        <v>226.75736961451247</v>
      </c>
      <c r="Y206">
        <f t="shared" si="86"/>
        <v>2.5169045534736036</v>
      </c>
      <c r="Z206">
        <f t="shared" si="87"/>
        <v>0.35043045187499999</v>
      </c>
    </row>
    <row r="207" spans="1:26">
      <c r="A207">
        <v>11</v>
      </c>
      <c r="B207">
        <v>3</v>
      </c>
      <c r="C207" s="1">
        <v>7</v>
      </c>
      <c r="D207">
        <f t="shared" si="66"/>
        <v>270</v>
      </c>
      <c r="E207">
        <f t="shared" si="67"/>
        <v>135</v>
      </c>
      <c r="F207">
        <f t="shared" si="68"/>
        <v>16.170000000000002</v>
      </c>
      <c r="G207">
        <f t="shared" si="69"/>
        <v>0.38500000000000001</v>
      </c>
      <c r="H207">
        <f t="shared" si="70"/>
        <v>43.659000000000006</v>
      </c>
      <c r="I207">
        <f t="shared" si="71"/>
        <v>323.40000000000003</v>
      </c>
      <c r="J207">
        <f t="shared" si="72"/>
        <v>231</v>
      </c>
      <c r="K207">
        <f t="shared" si="73"/>
        <v>31.184999999999999</v>
      </c>
      <c r="L207">
        <f t="shared" si="74"/>
        <v>4.3659000000000008</v>
      </c>
      <c r="M207">
        <f t="shared" si="75"/>
        <v>4.2882840000000009</v>
      </c>
      <c r="N207">
        <f t="shared" si="76"/>
        <v>2.2314600000000002</v>
      </c>
      <c r="O207">
        <f t="shared" si="77"/>
        <v>3.0818117647058831</v>
      </c>
      <c r="P207">
        <f t="shared" si="78"/>
        <v>2.2451403887688985</v>
      </c>
      <c r="Q207">
        <f t="shared" si="79"/>
        <v>46.2</v>
      </c>
      <c r="R207">
        <f t="shared" si="80"/>
        <v>231</v>
      </c>
      <c r="S207">
        <f t="shared" si="81"/>
        <v>179.02500000000001</v>
      </c>
      <c r="T207">
        <f t="shared" si="82"/>
        <v>51.975000000000001</v>
      </c>
      <c r="U207">
        <f>I207*E207/'[1]Inverter Analysis'!$L$2</f>
        <v>104.62022096043317</v>
      </c>
      <c r="V207">
        <f t="shared" si="83"/>
        <v>346.32034632034635</v>
      </c>
      <c r="W207">
        <f t="shared" si="84"/>
        <v>446.86496299399522</v>
      </c>
      <c r="X207">
        <f t="shared" si="85"/>
        <v>247.37167594310449</v>
      </c>
      <c r="Y207">
        <f t="shared" si="86"/>
        <v>2.9953244272743706</v>
      </c>
      <c r="Z207">
        <f t="shared" si="87"/>
        <v>0.26992067791992197</v>
      </c>
    </row>
    <row r="208" spans="1:26">
      <c r="A208">
        <v>10</v>
      </c>
      <c r="B208">
        <v>3</v>
      </c>
      <c r="C208" s="1">
        <v>7</v>
      </c>
      <c r="D208">
        <f t="shared" si="66"/>
        <v>270</v>
      </c>
      <c r="E208">
        <f t="shared" si="67"/>
        <v>135</v>
      </c>
      <c r="F208">
        <f t="shared" si="68"/>
        <v>14.7</v>
      </c>
      <c r="G208">
        <f t="shared" si="69"/>
        <v>0.35000000000000003</v>
      </c>
      <c r="H208">
        <f t="shared" si="70"/>
        <v>39.69</v>
      </c>
      <c r="I208">
        <f t="shared" si="71"/>
        <v>294</v>
      </c>
      <c r="J208">
        <f t="shared" si="72"/>
        <v>210</v>
      </c>
      <c r="K208">
        <f t="shared" si="73"/>
        <v>28.35</v>
      </c>
      <c r="L208">
        <f t="shared" si="74"/>
        <v>3.9689999999999999</v>
      </c>
      <c r="M208">
        <f t="shared" si="75"/>
        <v>3.8984399999999999</v>
      </c>
      <c r="N208">
        <f t="shared" si="76"/>
        <v>2.0286</v>
      </c>
      <c r="O208">
        <f t="shared" si="77"/>
        <v>2.8016470588235296</v>
      </c>
      <c r="P208">
        <f t="shared" si="78"/>
        <v>2.0410367170626347</v>
      </c>
      <c r="Q208">
        <f t="shared" si="79"/>
        <v>42</v>
      </c>
      <c r="R208">
        <f t="shared" si="80"/>
        <v>210</v>
      </c>
      <c r="S208">
        <f t="shared" si="81"/>
        <v>162.75</v>
      </c>
      <c r="T208">
        <f t="shared" si="82"/>
        <v>47.250000000000007</v>
      </c>
      <c r="U208">
        <f>I208*E208/'[1]Inverter Analysis'!$L$2</f>
        <v>95.109291782211969</v>
      </c>
      <c r="V208">
        <f t="shared" si="83"/>
        <v>380.95238095238096</v>
      </c>
      <c r="W208">
        <f t="shared" si="84"/>
        <v>491.55145929339477</v>
      </c>
      <c r="X208">
        <f t="shared" si="85"/>
        <v>272.10884353741494</v>
      </c>
      <c r="Y208">
        <f t="shared" si="86"/>
        <v>3.6243425570019889</v>
      </c>
      <c r="Z208">
        <f t="shared" si="87"/>
        <v>0.20279540039062502</v>
      </c>
    </row>
    <row r="209" spans="1:26">
      <c r="A209">
        <v>16</v>
      </c>
      <c r="B209">
        <v>2</v>
      </c>
      <c r="C209" s="1">
        <v>7</v>
      </c>
      <c r="D209">
        <f t="shared" si="66"/>
        <v>180</v>
      </c>
      <c r="E209">
        <f t="shared" si="67"/>
        <v>90</v>
      </c>
      <c r="F209">
        <f t="shared" si="68"/>
        <v>15.68</v>
      </c>
      <c r="G209">
        <f t="shared" si="69"/>
        <v>0.84</v>
      </c>
      <c r="H209">
        <f t="shared" si="70"/>
        <v>42.335999999999999</v>
      </c>
      <c r="I209">
        <f t="shared" si="71"/>
        <v>470.40000000000003</v>
      </c>
      <c r="J209">
        <f t="shared" si="72"/>
        <v>336</v>
      </c>
      <c r="K209">
        <f t="shared" si="73"/>
        <v>30.24</v>
      </c>
      <c r="L209">
        <f t="shared" si="74"/>
        <v>4.2336</v>
      </c>
      <c r="M209">
        <f t="shared" si="75"/>
        <v>4.1583360000000003</v>
      </c>
      <c r="N209">
        <f t="shared" si="76"/>
        <v>2.16384</v>
      </c>
      <c r="O209">
        <f t="shared" si="77"/>
        <v>2.9884235294117647</v>
      </c>
      <c r="P209">
        <f t="shared" si="78"/>
        <v>2.1771058315334773</v>
      </c>
      <c r="Q209">
        <f t="shared" si="79"/>
        <v>67.2</v>
      </c>
      <c r="R209">
        <f t="shared" si="80"/>
        <v>224</v>
      </c>
      <c r="S209">
        <f t="shared" si="81"/>
        <v>260.39999999999998</v>
      </c>
      <c r="T209">
        <f t="shared" si="82"/>
        <v>75.599999999999994</v>
      </c>
      <c r="U209">
        <f>I209*E209/'[1]Inverter Analysis'!$L$2</f>
        <v>101.44991123435943</v>
      </c>
      <c r="V209">
        <f t="shared" si="83"/>
        <v>238.0952380952381</v>
      </c>
      <c r="W209">
        <f t="shared" si="84"/>
        <v>307.21966205837174</v>
      </c>
      <c r="X209">
        <f t="shared" si="85"/>
        <v>170.06802721088434</v>
      </c>
      <c r="Y209">
        <f t="shared" si="86"/>
        <v>1.4157588113289019</v>
      </c>
      <c r="Z209">
        <f t="shared" si="87"/>
        <v>0.55376664000000009</v>
      </c>
    </row>
    <row r="210" spans="1:26">
      <c r="A210">
        <v>15</v>
      </c>
      <c r="B210">
        <v>2</v>
      </c>
      <c r="C210" s="1">
        <v>7</v>
      </c>
      <c r="D210">
        <f t="shared" si="66"/>
        <v>180</v>
      </c>
      <c r="E210">
        <f t="shared" si="67"/>
        <v>90</v>
      </c>
      <c r="F210">
        <f t="shared" si="68"/>
        <v>14.7</v>
      </c>
      <c r="G210">
        <f t="shared" si="69"/>
        <v>0.78749999999999987</v>
      </c>
      <c r="H210">
        <f t="shared" si="70"/>
        <v>39.69</v>
      </c>
      <c r="I210">
        <f t="shared" si="71"/>
        <v>441</v>
      </c>
      <c r="J210">
        <f t="shared" si="72"/>
        <v>315</v>
      </c>
      <c r="K210">
        <f t="shared" si="73"/>
        <v>28.35</v>
      </c>
      <c r="L210">
        <f t="shared" si="74"/>
        <v>3.9689999999999999</v>
      </c>
      <c r="M210">
        <f t="shared" si="75"/>
        <v>3.8984399999999999</v>
      </c>
      <c r="N210">
        <f t="shared" si="76"/>
        <v>2.0286</v>
      </c>
      <c r="O210">
        <f t="shared" si="77"/>
        <v>2.8016470588235296</v>
      </c>
      <c r="P210">
        <f t="shared" si="78"/>
        <v>2.0410367170626347</v>
      </c>
      <c r="Q210">
        <f t="shared" si="79"/>
        <v>63</v>
      </c>
      <c r="R210">
        <f t="shared" si="80"/>
        <v>210</v>
      </c>
      <c r="S210">
        <f t="shared" si="81"/>
        <v>244.125</v>
      </c>
      <c r="T210">
        <f t="shared" si="82"/>
        <v>70.874999999999986</v>
      </c>
      <c r="U210">
        <f>I210*E210/'[1]Inverter Analysis'!$L$2</f>
        <v>95.109291782211969</v>
      </c>
      <c r="V210">
        <f t="shared" si="83"/>
        <v>253.96825396825398</v>
      </c>
      <c r="W210">
        <f t="shared" si="84"/>
        <v>327.7009728622632</v>
      </c>
      <c r="X210">
        <f t="shared" si="85"/>
        <v>181.40589569160997</v>
      </c>
      <c r="Y210">
        <f t="shared" si="86"/>
        <v>1.6108189142231062</v>
      </c>
      <c r="Z210">
        <f t="shared" si="87"/>
        <v>0.45628965087890627</v>
      </c>
    </row>
    <row r="211" spans="1:26">
      <c r="A211">
        <v>14</v>
      </c>
      <c r="B211">
        <v>2</v>
      </c>
      <c r="C211" s="1">
        <v>7</v>
      </c>
      <c r="D211">
        <f t="shared" si="66"/>
        <v>180</v>
      </c>
      <c r="E211">
        <f t="shared" si="67"/>
        <v>90</v>
      </c>
      <c r="F211">
        <f t="shared" si="68"/>
        <v>13.72</v>
      </c>
      <c r="G211">
        <f t="shared" si="69"/>
        <v>0.73499999999999999</v>
      </c>
      <c r="H211">
        <f t="shared" si="70"/>
        <v>37.043999999999997</v>
      </c>
      <c r="I211">
        <f t="shared" si="71"/>
        <v>411.6</v>
      </c>
      <c r="J211">
        <f t="shared" si="72"/>
        <v>294</v>
      </c>
      <c r="K211">
        <f t="shared" si="73"/>
        <v>26.46</v>
      </c>
      <c r="L211">
        <f t="shared" si="74"/>
        <v>3.7044000000000001</v>
      </c>
      <c r="M211">
        <f t="shared" si="75"/>
        <v>3.6385440000000004</v>
      </c>
      <c r="N211">
        <f t="shared" si="76"/>
        <v>1.8933599999999999</v>
      </c>
      <c r="O211">
        <f t="shared" si="77"/>
        <v>2.6148705882352945</v>
      </c>
      <c r="P211">
        <f t="shared" si="78"/>
        <v>1.9049676025917925</v>
      </c>
      <c r="Q211">
        <f t="shared" si="79"/>
        <v>58.800000000000004</v>
      </c>
      <c r="R211">
        <f t="shared" si="80"/>
        <v>196</v>
      </c>
      <c r="S211">
        <f t="shared" si="81"/>
        <v>227.85</v>
      </c>
      <c r="T211">
        <f t="shared" si="82"/>
        <v>66.150000000000006</v>
      </c>
      <c r="U211">
        <f>I211*E211/'[1]Inverter Analysis'!$L$2</f>
        <v>88.768672330064504</v>
      </c>
      <c r="V211">
        <f t="shared" si="83"/>
        <v>272.10884353741494</v>
      </c>
      <c r="W211">
        <f t="shared" si="84"/>
        <v>351.10818520956769</v>
      </c>
      <c r="X211">
        <f t="shared" si="85"/>
        <v>194.36345966958211</v>
      </c>
      <c r="Y211">
        <f t="shared" si="86"/>
        <v>1.8491543658173415</v>
      </c>
      <c r="Z211">
        <f t="shared" si="87"/>
        <v>0.37098038578125003</v>
      </c>
    </row>
    <row r="212" spans="1:26">
      <c r="A212">
        <v>13</v>
      </c>
      <c r="B212">
        <v>2</v>
      </c>
      <c r="C212" s="1">
        <v>7</v>
      </c>
      <c r="D212">
        <f t="shared" si="66"/>
        <v>180</v>
      </c>
      <c r="E212">
        <f t="shared" si="67"/>
        <v>90</v>
      </c>
      <c r="F212">
        <f t="shared" si="68"/>
        <v>12.74</v>
      </c>
      <c r="G212">
        <f t="shared" si="69"/>
        <v>0.6825</v>
      </c>
      <c r="H212">
        <f t="shared" si="70"/>
        <v>34.398000000000003</v>
      </c>
      <c r="I212">
        <f t="shared" si="71"/>
        <v>382.2</v>
      </c>
      <c r="J212">
        <f t="shared" si="72"/>
        <v>273</v>
      </c>
      <c r="K212">
        <f t="shared" si="73"/>
        <v>24.57</v>
      </c>
      <c r="L212">
        <f t="shared" si="74"/>
        <v>3.4397999999999995</v>
      </c>
      <c r="M212">
        <f t="shared" si="75"/>
        <v>3.3786479999999997</v>
      </c>
      <c r="N212">
        <f t="shared" si="76"/>
        <v>1.7581199999999999</v>
      </c>
      <c r="O212">
        <f t="shared" si="77"/>
        <v>2.4280941176470585</v>
      </c>
      <c r="P212">
        <f t="shared" si="78"/>
        <v>1.7688984881209502</v>
      </c>
      <c r="Q212">
        <f t="shared" si="79"/>
        <v>54.6</v>
      </c>
      <c r="R212">
        <f t="shared" si="80"/>
        <v>182</v>
      </c>
      <c r="S212">
        <f t="shared" si="81"/>
        <v>211.57499999999999</v>
      </c>
      <c r="T212">
        <f t="shared" si="82"/>
        <v>61.424999999999997</v>
      </c>
      <c r="U212">
        <f>I212*E212/'[1]Inverter Analysis'!$L$2</f>
        <v>82.42805287791704</v>
      </c>
      <c r="V212">
        <f t="shared" si="83"/>
        <v>293.04029304029302</v>
      </c>
      <c r="W212">
        <f t="shared" si="84"/>
        <v>378.11650714876521</v>
      </c>
      <c r="X212">
        <f t="shared" si="85"/>
        <v>209.31449502878075</v>
      </c>
      <c r="Y212">
        <f t="shared" si="86"/>
        <v>2.1445813946757335</v>
      </c>
      <c r="Z212">
        <f t="shared" si="87"/>
        <v>0.29702766310546869</v>
      </c>
    </row>
    <row r="213" spans="1:26">
      <c r="A213">
        <v>12</v>
      </c>
      <c r="B213">
        <v>2</v>
      </c>
      <c r="C213" s="1">
        <v>7</v>
      </c>
      <c r="D213">
        <f t="shared" si="66"/>
        <v>180</v>
      </c>
      <c r="E213">
        <f t="shared" si="67"/>
        <v>90</v>
      </c>
      <c r="F213">
        <f t="shared" si="68"/>
        <v>11.76</v>
      </c>
      <c r="G213">
        <f t="shared" si="69"/>
        <v>0.63</v>
      </c>
      <c r="H213">
        <f t="shared" si="70"/>
        <v>31.751999999999999</v>
      </c>
      <c r="I213">
        <f t="shared" si="71"/>
        <v>352.8</v>
      </c>
      <c r="J213">
        <f t="shared" si="72"/>
        <v>252</v>
      </c>
      <c r="K213">
        <f t="shared" si="73"/>
        <v>22.68</v>
      </c>
      <c r="L213">
        <f t="shared" si="74"/>
        <v>3.1752000000000002</v>
      </c>
      <c r="M213">
        <f t="shared" si="75"/>
        <v>3.1187519999999997</v>
      </c>
      <c r="N213">
        <f t="shared" si="76"/>
        <v>1.6228799999999999</v>
      </c>
      <c r="O213">
        <f t="shared" si="77"/>
        <v>2.2413176470588239</v>
      </c>
      <c r="P213">
        <f t="shared" si="78"/>
        <v>1.6328293736501081</v>
      </c>
      <c r="Q213">
        <f t="shared" si="79"/>
        <v>50.4</v>
      </c>
      <c r="R213">
        <f t="shared" si="80"/>
        <v>168</v>
      </c>
      <c r="S213">
        <f t="shared" si="81"/>
        <v>195.3</v>
      </c>
      <c r="T213">
        <f t="shared" si="82"/>
        <v>56.7</v>
      </c>
      <c r="U213">
        <f>I213*E213/'[1]Inverter Analysis'!$L$2</f>
        <v>76.087433425769575</v>
      </c>
      <c r="V213">
        <f t="shared" si="83"/>
        <v>317.46031746031747</v>
      </c>
      <c r="W213">
        <f t="shared" si="84"/>
        <v>409.62621607782899</v>
      </c>
      <c r="X213">
        <f t="shared" si="85"/>
        <v>226.75736961451247</v>
      </c>
      <c r="Y213">
        <f t="shared" si="86"/>
        <v>2.5169045534736036</v>
      </c>
      <c r="Z213">
        <f t="shared" si="87"/>
        <v>0.23362030125</v>
      </c>
    </row>
    <row r="214" spans="1:26">
      <c r="A214">
        <v>11</v>
      </c>
      <c r="B214">
        <v>2</v>
      </c>
      <c r="C214" s="1">
        <v>7</v>
      </c>
      <c r="D214">
        <f t="shared" si="66"/>
        <v>180</v>
      </c>
      <c r="E214">
        <f t="shared" si="67"/>
        <v>90</v>
      </c>
      <c r="F214">
        <f t="shared" si="68"/>
        <v>10.78</v>
      </c>
      <c r="G214">
        <f t="shared" si="69"/>
        <v>0.5774999999999999</v>
      </c>
      <c r="H214">
        <f t="shared" si="70"/>
        <v>29.106000000000005</v>
      </c>
      <c r="I214">
        <f t="shared" si="71"/>
        <v>323.40000000000003</v>
      </c>
      <c r="J214">
        <f t="shared" si="72"/>
        <v>231</v>
      </c>
      <c r="K214">
        <f t="shared" si="73"/>
        <v>20.79</v>
      </c>
      <c r="L214">
        <f t="shared" si="74"/>
        <v>2.9106000000000005</v>
      </c>
      <c r="M214">
        <f t="shared" si="75"/>
        <v>2.8588560000000003</v>
      </c>
      <c r="N214">
        <f t="shared" si="76"/>
        <v>1.4876400000000001</v>
      </c>
      <c r="O214">
        <f t="shared" si="77"/>
        <v>2.0545411764705888</v>
      </c>
      <c r="P214">
        <f t="shared" si="78"/>
        <v>1.4967602591792659</v>
      </c>
      <c r="Q214">
        <f t="shared" si="79"/>
        <v>46.2</v>
      </c>
      <c r="R214">
        <f t="shared" si="80"/>
        <v>154</v>
      </c>
      <c r="S214">
        <f t="shared" si="81"/>
        <v>179.02500000000001</v>
      </c>
      <c r="T214">
        <f t="shared" si="82"/>
        <v>51.974999999999994</v>
      </c>
      <c r="U214">
        <f>I214*E214/'[1]Inverter Analysis'!$L$2</f>
        <v>69.74681397362211</v>
      </c>
      <c r="V214">
        <f t="shared" si="83"/>
        <v>346.32034632034635</v>
      </c>
      <c r="W214">
        <f t="shared" si="84"/>
        <v>446.86496299399522</v>
      </c>
      <c r="X214">
        <f t="shared" si="85"/>
        <v>247.37167594310449</v>
      </c>
      <c r="Y214">
        <f t="shared" si="86"/>
        <v>2.9953244272743706</v>
      </c>
      <c r="Z214">
        <f t="shared" si="87"/>
        <v>0.1799471186132813</v>
      </c>
    </row>
    <row r="215" spans="1:26">
      <c r="A215">
        <v>10</v>
      </c>
      <c r="B215">
        <v>2</v>
      </c>
      <c r="C215" s="1">
        <v>7</v>
      </c>
      <c r="D215">
        <f t="shared" si="66"/>
        <v>180</v>
      </c>
      <c r="E215">
        <f t="shared" si="67"/>
        <v>90</v>
      </c>
      <c r="F215">
        <f t="shared" si="68"/>
        <v>9.8000000000000007</v>
      </c>
      <c r="G215">
        <f t="shared" si="69"/>
        <v>0.52500000000000002</v>
      </c>
      <c r="H215">
        <f t="shared" si="70"/>
        <v>26.46</v>
      </c>
      <c r="I215">
        <f t="shared" si="71"/>
        <v>294</v>
      </c>
      <c r="J215">
        <f t="shared" si="72"/>
        <v>210</v>
      </c>
      <c r="K215">
        <f t="shared" si="73"/>
        <v>18.899999999999999</v>
      </c>
      <c r="L215">
        <f t="shared" si="74"/>
        <v>2.6459999999999999</v>
      </c>
      <c r="M215">
        <f t="shared" si="75"/>
        <v>2.5989599999999999</v>
      </c>
      <c r="N215">
        <f t="shared" si="76"/>
        <v>1.3523999999999998</v>
      </c>
      <c r="O215">
        <f t="shared" si="77"/>
        <v>1.867764705882353</v>
      </c>
      <c r="P215">
        <f t="shared" si="78"/>
        <v>1.3606911447084233</v>
      </c>
      <c r="Q215">
        <f t="shared" si="79"/>
        <v>42</v>
      </c>
      <c r="R215">
        <f t="shared" si="80"/>
        <v>140</v>
      </c>
      <c r="S215">
        <f t="shared" si="81"/>
        <v>162.75</v>
      </c>
      <c r="T215">
        <f t="shared" si="82"/>
        <v>47.25</v>
      </c>
      <c r="U215">
        <f>I215*E215/'[1]Inverter Analysis'!$L$2</f>
        <v>63.406194521474646</v>
      </c>
      <c r="V215">
        <f t="shared" si="83"/>
        <v>380.95238095238096</v>
      </c>
      <c r="W215">
        <f t="shared" si="84"/>
        <v>491.55145929339477</v>
      </c>
      <c r="X215">
        <f t="shared" si="85"/>
        <v>272.10884353741494</v>
      </c>
      <c r="Y215">
        <f t="shared" si="86"/>
        <v>3.6243425570019889</v>
      </c>
      <c r="Z215">
        <f t="shared" si="87"/>
        <v>0.13519693359375001</v>
      </c>
    </row>
    <row r="216" spans="1:26">
      <c r="A216" s="8">
        <v>16</v>
      </c>
      <c r="B216" s="1">
        <v>6</v>
      </c>
      <c r="C216">
        <v>6</v>
      </c>
      <c r="D216">
        <f t="shared" si="66"/>
        <v>540</v>
      </c>
      <c r="E216">
        <f t="shared" si="67"/>
        <v>270</v>
      </c>
      <c r="F216">
        <f t="shared" si="68"/>
        <v>40.32</v>
      </c>
      <c r="G216">
        <f t="shared" si="69"/>
        <v>0.24</v>
      </c>
      <c r="H216">
        <f t="shared" si="70"/>
        <v>108.86400000000002</v>
      </c>
      <c r="I216">
        <f t="shared" si="71"/>
        <v>403.20000000000005</v>
      </c>
      <c r="J216">
        <f t="shared" si="72"/>
        <v>288</v>
      </c>
      <c r="K216">
        <f t="shared" si="73"/>
        <v>77.760000000000005</v>
      </c>
      <c r="L216">
        <f t="shared" si="74"/>
        <v>10.886400000000002</v>
      </c>
      <c r="M216">
        <f t="shared" si="75"/>
        <v>10.692864000000002</v>
      </c>
      <c r="N216">
        <f t="shared" si="76"/>
        <v>5.5641600000000002</v>
      </c>
      <c r="O216">
        <f t="shared" si="77"/>
        <v>7.6845176470588257</v>
      </c>
      <c r="P216">
        <f t="shared" si="78"/>
        <v>6.5313174946004331</v>
      </c>
      <c r="Q216">
        <f t="shared" si="79"/>
        <v>67.2</v>
      </c>
      <c r="R216">
        <f t="shared" si="80"/>
        <v>576</v>
      </c>
      <c r="S216">
        <f t="shared" si="81"/>
        <v>223.2</v>
      </c>
      <c r="T216">
        <f t="shared" si="82"/>
        <v>64.8</v>
      </c>
      <c r="U216">
        <f>I216*E216/'[1]Inverter Analysis'!$L$2</f>
        <v>260.87120031692427</v>
      </c>
      <c r="V216">
        <f t="shared" si="83"/>
        <v>277.77777777777777</v>
      </c>
      <c r="W216">
        <f t="shared" si="84"/>
        <v>358.42293906810039</v>
      </c>
      <c r="X216">
        <f t="shared" si="85"/>
        <v>198.4126984126984</v>
      </c>
      <c r="Y216">
        <f t="shared" si="86"/>
        <v>1.927005048753228</v>
      </c>
      <c r="Z216">
        <f t="shared" si="87"/>
        <v>1.0461830399999998</v>
      </c>
    </row>
    <row r="217" spans="1:26">
      <c r="A217" s="8">
        <v>15</v>
      </c>
      <c r="B217" s="1">
        <v>6</v>
      </c>
      <c r="C217">
        <v>6</v>
      </c>
      <c r="D217">
        <f t="shared" si="66"/>
        <v>540</v>
      </c>
      <c r="E217">
        <f t="shared" si="67"/>
        <v>270</v>
      </c>
      <c r="F217">
        <f t="shared" si="68"/>
        <v>37.799999999999997</v>
      </c>
      <c r="G217">
        <f t="shared" si="69"/>
        <v>0.22499999999999998</v>
      </c>
      <c r="H217">
        <f t="shared" si="70"/>
        <v>102.06</v>
      </c>
      <c r="I217">
        <f t="shared" si="71"/>
        <v>378</v>
      </c>
      <c r="J217">
        <f t="shared" si="72"/>
        <v>270</v>
      </c>
      <c r="K217">
        <f t="shared" si="73"/>
        <v>72.900000000000006</v>
      </c>
      <c r="L217">
        <f t="shared" si="74"/>
        <v>10.206</v>
      </c>
      <c r="M217">
        <f t="shared" si="75"/>
        <v>10.024559999999999</v>
      </c>
      <c r="N217">
        <f t="shared" si="76"/>
        <v>5.2163999999999993</v>
      </c>
      <c r="O217">
        <f t="shared" si="77"/>
        <v>7.2042352941176473</v>
      </c>
      <c r="P217">
        <f t="shared" si="78"/>
        <v>6.1231101511879045</v>
      </c>
      <c r="Q217">
        <f t="shared" si="79"/>
        <v>63</v>
      </c>
      <c r="R217">
        <f t="shared" si="80"/>
        <v>540</v>
      </c>
      <c r="S217">
        <f t="shared" si="81"/>
        <v>209.25</v>
      </c>
      <c r="T217">
        <f t="shared" si="82"/>
        <v>60.749999999999993</v>
      </c>
      <c r="U217">
        <f>I217*E217/'[1]Inverter Analysis'!$L$2</f>
        <v>244.56675029711647</v>
      </c>
      <c r="V217">
        <f t="shared" si="83"/>
        <v>296.2962962962963</v>
      </c>
      <c r="W217">
        <f t="shared" si="84"/>
        <v>382.31780167264037</v>
      </c>
      <c r="X217">
        <f t="shared" si="85"/>
        <v>211.64021164021165</v>
      </c>
      <c r="Y217">
        <f t="shared" si="86"/>
        <v>2.1925035221370055</v>
      </c>
      <c r="Z217">
        <f t="shared" si="87"/>
        <v>0.86202826171875013</v>
      </c>
    </row>
    <row r="218" spans="1:26">
      <c r="A218">
        <v>14</v>
      </c>
      <c r="B218" s="1">
        <v>6</v>
      </c>
      <c r="C218">
        <v>6</v>
      </c>
      <c r="D218">
        <f t="shared" si="66"/>
        <v>540</v>
      </c>
      <c r="E218">
        <f t="shared" si="67"/>
        <v>270</v>
      </c>
      <c r="F218">
        <f t="shared" si="68"/>
        <v>35.28</v>
      </c>
      <c r="G218">
        <f t="shared" si="69"/>
        <v>0.21000000000000002</v>
      </c>
      <c r="H218">
        <f t="shared" si="70"/>
        <v>95.256</v>
      </c>
      <c r="I218">
        <f t="shared" si="71"/>
        <v>352.8</v>
      </c>
      <c r="J218">
        <f t="shared" si="72"/>
        <v>252</v>
      </c>
      <c r="K218">
        <f t="shared" si="73"/>
        <v>68.040000000000006</v>
      </c>
      <c r="L218">
        <f t="shared" si="74"/>
        <v>9.5256000000000007</v>
      </c>
      <c r="M218">
        <f t="shared" si="75"/>
        <v>9.3562560000000001</v>
      </c>
      <c r="N218">
        <f t="shared" si="76"/>
        <v>4.8686399999999992</v>
      </c>
      <c r="O218">
        <f t="shared" si="77"/>
        <v>6.7239529411764716</v>
      </c>
      <c r="P218">
        <f t="shared" si="78"/>
        <v>5.7149028077753776</v>
      </c>
      <c r="Q218">
        <f t="shared" si="79"/>
        <v>58.800000000000004</v>
      </c>
      <c r="R218">
        <f t="shared" si="80"/>
        <v>504</v>
      </c>
      <c r="S218">
        <f t="shared" si="81"/>
        <v>195.3</v>
      </c>
      <c r="T218">
        <f t="shared" si="82"/>
        <v>56.7</v>
      </c>
      <c r="U218">
        <f>I218*E218/'[1]Inverter Analysis'!$L$2</f>
        <v>228.26230027730873</v>
      </c>
      <c r="V218">
        <f t="shared" si="83"/>
        <v>317.46031746031747</v>
      </c>
      <c r="W218">
        <f t="shared" si="84"/>
        <v>409.62621607782899</v>
      </c>
      <c r="X218">
        <f t="shared" si="85"/>
        <v>226.75736961451247</v>
      </c>
      <c r="Y218">
        <f t="shared" si="86"/>
        <v>2.5169045534736036</v>
      </c>
      <c r="Z218">
        <f t="shared" si="87"/>
        <v>0.70086090374999999</v>
      </c>
    </row>
    <row r="219" spans="1:26">
      <c r="A219">
        <v>13</v>
      </c>
      <c r="B219" s="1">
        <v>6</v>
      </c>
      <c r="C219">
        <v>6</v>
      </c>
      <c r="D219">
        <f t="shared" si="66"/>
        <v>540</v>
      </c>
      <c r="E219">
        <f t="shared" si="67"/>
        <v>270</v>
      </c>
      <c r="F219">
        <f t="shared" si="68"/>
        <v>32.76</v>
      </c>
      <c r="G219">
        <f t="shared" si="69"/>
        <v>0.19500000000000001</v>
      </c>
      <c r="H219">
        <f t="shared" si="70"/>
        <v>88.451999999999998</v>
      </c>
      <c r="I219">
        <f t="shared" si="71"/>
        <v>327.60000000000002</v>
      </c>
      <c r="J219">
        <f t="shared" si="72"/>
        <v>234</v>
      </c>
      <c r="K219">
        <f t="shared" si="73"/>
        <v>63.18</v>
      </c>
      <c r="L219">
        <f t="shared" si="74"/>
        <v>8.8452000000000002</v>
      </c>
      <c r="M219">
        <f t="shared" si="75"/>
        <v>8.687952000000001</v>
      </c>
      <c r="N219">
        <f t="shared" si="76"/>
        <v>4.52088</v>
      </c>
      <c r="O219">
        <f t="shared" si="77"/>
        <v>6.243670588235295</v>
      </c>
      <c r="P219">
        <f t="shared" si="78"/>
        <v>5.3066954643628508</v>
      </c>
      <c r="Q219">
        <f t="shared" si="79"/>
        <v>54.6</v>
      </c>
      <c r="R219">
        <f t="shared" si="80"/>
        <v>468</v>
      </c>
      <c r="S219">
        <f t="shared" si="81"/>
        <v>181.35</v>
      </c>
      <c r="T219">
        <f t="shared" si="82"/>
        <v>52.65</v>
      </c>
      <c r="U219">
        <f>I219*E219/'[1]Inverter Analysis'!$L$2</f>
        <v>211.95785025750095</v>
      </c>
      <c r="V219">
        <f t="shared" si="83"/>
        <v>341.88034188034186</v>
      </c>
      <c r="W219">
        <f t="shared" si="84"/>
        <v>441.13592500689276</v>
      </c>
      <c r="X219">
        <f t="shared" si="85"/>
        <v>244.20024420024419</v>
      </c>
      <c r="Y219">
        <f t="shared" si="86"/>
        <v>2.9190135649753035</v>
      </c>
      <c r="Z219">
        <f t="shared" si="87"/>
        <v>0.56114847140625002</v>
      </c>
    </row>
    <row r="220" spans="1:26">
      <c r="A220">
        <v>12</v>
      </c>
      <c r="B220" s="1">
        <v>6</v>
      </c>
      <c r="C220">
        <v>6</v>
      </c>
      <c r="D220">
        <f t="shared" si="66"/>
        <v>540</v>
      </c>
      <c r="E220">
        <f t="shared" si="67"/>
        <v>270</v>
      </c>
      <c r="F220">
        <f t="shared" si="68"/>
        <v>30.24</v>
      </c>
      <c r="G220">
        <f t="shared" si="69"/>
        <v>0.18</v>
      </c>
      <c r="H220">
        <f t="shared" si="70"/>
        <v>81.64800000000001</v>
      </c>
      <c r="I220">
        <f t="shared" si="71"/>
        <v>302.40000000000003</v>
      </c>
      <c r="J220">
        <f t="shared" si="72"/>
        <v>216</v>
      </c>
      <c r="K220">
        <f t="shared" si="73"/>
        <v>58.32</v>
      </c>
      <c r="L220">
        <f t="shared" si="74"/>
        <v>8.1648000000000014</v>
      </c>
      <c r="M220">
        <f t="shared" si="75"/>
        <v>8.0196480000000019</v>
      </c>
      <c r="N220">
        <f t="shared" si="76"/>
        <v>4.1731199999999999</v>
      </c>
      <c r="O220">
        <f t="shared" si="77"/>
        <v>5.7633882352941193</v>
      </c>
      <c r="P220">
        <f t="shared" si="78"/>
        <v>4.8984881209503248</v>
      </c>
      <c r="Q220">
        <f t="shared" si="79"/>
        <v>50.400000000000006</v>
      </c>
      <c r="R220">
        <f t="shared" si="80"/>
        <v>432</v>
      </c>
      <c r="S220">
        <f t="shared" si="81"/>
        <v>167.4</v>
      </c>
      <c r="T220">
        <f t="shared" si="82"/>
        <v>48.6</v>
      </c>
      <c r="U220">
        <f>I220*E220/'[1]Inverter Analysis'!$L$2</f>
        <v>195.65340023769321</v>
      </c>
      <c r="V220">
        <f t="shared" si="83"/>
        <v>370.37037037037038</v>
      </c>
      <c r="W220">
        <f t="shared" si="84"/>
        <v>477.89725209080046</v>
      </c>
      <c r="X220">
        <f t="shared" si="85"/>
        <v>264.5502645502645</v>
      </c>
      <c r="Y220">
        <f t="shared" si="86"/>
        <v>3.4257867533390707</v>
      </c>
      <c r="Z220">
        <f t="shared" si="87"/>
        <v>0.44135847000000006</v>
      </c>
    </row>
    <row r="221" spans="1:26">
      <c r="A221">
        <v>11</v>
      </c>
      <c r="B221" s="1">
        <v>6</v>
      </c>
      <c r="C221">
        <v>6</v>
      </c>
      <c r="D221">
        <f t="shared" si="66"/>
        <v>540</v>
      </c>
      <c r="E221">
        <f t="shared" si="67"/>
        <v>270</v>
      </c>
      <c r="F221">
        <f t="shared" si="68"/>
        <v>27.72</v>
      </c>
      <c r="G221">
        <f t="shared" si="69"/>
        <v>0.16500000000000001</v>
      </c>
      <c r="H221">
        <f t="shared" si="70"/>
        <v>74.843999999999994</v>
      </c>
      <c r="I221">
        <f t="shared" si="71"/>
        <v>277.2</v>
      </c>
      <c r="J221">
        <f t="shared" si="72"/>
        <v>198</v>
      </c>
      <c r="K221">
        <f t="shared" si="73"/>
        <v>53.46</v>
      </c>
      <c r="L221">
        <f t="shared" si="74"/>
        <v>7.4843999999999999</v>
      </c>
      <c r="M221">
        <f t="shared" si="75"/>
        <v>7.3513439999999992</v>
      </c>
      <c r="N221">
        <f t="shared" si="76"/>
        <v>3.8253599999999999</v>
      </c>
      <c r="O221">
        <f t="shared" si="77"/>
        <v>5.2831058823529418</v>
      </c>
      <c r="P221">
        <f t="shared" si="78"/>
        <v>4.4902807775377971</v>
      </c>
      <c r="Q221">
        <f t="shared" si="79"/>
        <v>46.199999999999996</v>
      </c>
      <c r="R221">
        <f t="shared" si="80"/>
        <v>396</v>
      </c>
      <c r="S221">
        <f t="shared" si="81"/>
        <v>153.44999999999999</v>
      </c>
      <c r="T221">
        <f t="shared" si="82"/>
        <v>44.550000000000004</v>
      </c>
      <c r="U221">
        <f>I221*E221/'[1]Inverter Analysis'!$L$2</f>
        <v>179.34895021788543</v>
      </c>
      <c r="V221">
        <f t="shared" si="83"/>
        <v>404.04040404040404</v>
      </c>
      <c r="W221">
        <f t="shared" si="84"/>
        <v>521.34245682632786</v>
      </c>
      <c r="X221">
        <f t="shared" si="85"/>
        <v>288.60028860028859</v>
      </c>
      <c r="Y221">
        <f t="shared" si="86"/>
        <v>4.0769693593456724</v>
      </c>
      <c r="Z221">
        <f t="shared" si="87"/>
        <v>0.33995840484374995</v>
      </c>
    </row>
    <row r="222" spans="1:26">
      <c r="A222">
        <v>10</v>
      </c>
      <c r="B222" s="1">
        <v>6</v>
      </c>
      <c r="C222">
        <v>6</v>
      </c>
      <c r="D222">
        <f t="shared" si="66"/>
        <v>540</v>
      </c>
      <c r="E222">
        <f t="shared" si="67"/>
        <v>270</v>
      </c>
      <c r="F222">
        <f t="shared" si="68"/>
        <v>25.2</v>
      </c>
      <c r="G222">
        <f t="shared" si="69"/>
        <v>0.15000000000000002</v>
      </c>
      <c r="H222">
        <f t="shared" si="70"/>
        <v>68.040000000000006</v>
      </c>
      <c r="I222">
        <f t="shared" si="71"/>
        <v>252</v>
      </c>
      <c r="J222">
        <f t="shared" si="72"/>
        <v>180</v>
      </c>
      <c r="K222">
        <f t="shared" si="73"/>
        <v>48.6</v>
      </c>
      <c r="L222">
        <f t="shared" si="74"/>
        <v>6.8040000000000003</v>
      </c>
      <c r="M222">
        <f t="shared" si="75"/>
        <v>6.6830399999999992</v>
      </c>
      <c r="N222">
        <f t="shared" si="76"/>
        <v>3.4775999999999994</v>
      </c>
      <c r="O222">
        <f t="shared" si="77"/>
        <v>4.8028235294117652</v>
      </c>
      <c r="P222">
        <f t="shared" si="78"/>
        <v>4.0820734341252694</v>
      </c>
      <c r="Q222">
        <f t="shared" si="79"/>
        <v>42</v>
      </c>
      <c r="R222">
        <f t="shared" si="80"/>
        <v>360</v>
      </c>
      <c r="S222">
        <f t="shared" si="81"/>
        <v>139.5</v>
      </c>
      <c r="T222">
        <f t="shared" si="82"/>
        <v>40.500000000000007</v>
      </c>
      <c r="U222">
        <f>I222*E222/'[1]Inverter Analysis'!$L$2</f>
        <v>163.04450019807766</v>
      </c>
      <c r="V222">
        <f t="shared" si="83"/>
        <v>444.44444444444446</v>
      </c>
      <c r="W222">
        <f t="shared" si="84"/>
        <v>573.47670250896056</v>
      </c>
      <c r="X222">
        <f t="shared" si="85"/>
        <v>317.46031746031747</v>
      </c>
      <c r="Y222">
        <f t="shared" si="86"/>
        <v>4.9331329248082634</v>
      </c>
      <c r="Z222">
        <f t="shared" si="87"/>
        <v>0.25541578124999997</v>
      </c>
    </row>
    <row r="223" spans="1:26">
      <c r="A223" s="8">
        <v>16</v>
      </c>
      <c r="B223" s="9">
        <v>5</v>
      </c>
      <c r="C223">
        <v>6</v>
      </c>
      <c r="D223">
        <f t="shared" si="66"/>
        <v>450</v>
      </c>
      <c r="E223">
        <f t="shared" si="67"/>
        <v>225</v>
      </c>
      <c r="F223">
        <f t="shared" si="68"/>
        <v>33.6</v>
      </c>
      <c r="G223">
        <f t="shared" si="69"/>
        <v>0.28799999999999998</v>
      </c>
      <c r="H223">
        <f t="shared" si="70"/>
        <v>90.720000000000013</v>
      </c>
      <c r="I223">
        <f t="shared" si="71"/>
        <v>403.20000000000005</v>
      </c>
      <c r="J223">
        <f t="shared" si="72"/>
        <v>288</v>
      </c>
      <c r="K223">
        <f t="shared" si="73"/>
        <v>64.8</v>
      </c>
      <c r="L223">
        <f t="shared" si="74"/>
        <v>9.0719999999999992</v>
      </c>
      <c r="M223">
        <f t="shared" si="75"/>
        <v>8.9107200000000013</v>
      </c>
      <c r="N223">
        <f t="shared" si="76"/>
        <v>4.6368</v>
      </c>
      <c r="O223">
        <f t="shared" si="77"/>
        <v>6.4037647058823524</v>
      </c>
      <c r="P223">
        <f t="shared" si="78"/>
        <v>5.4427645788336934</v>
      </c>
      <c r="Q223">
        <f t="shared" si="79"/>
        <v>67.2</v>
      </c>
      <c r="R223">
        <f t="shared" si="80"/>
        <v>480</v>
      </c>
      <c r="S223">
        <f t="shared" si="81"/>
        <v>223.2</v>
      </c>
      <c r="T223">
        <f t="shared" si="82"/>
        <v>64.8</v>
      </c>
      <c r="U223">
        <f>I223*E223/'[1]Inverter Analysis'!$L$2</f>
        <v>217.39266693077025</v>
      </c>
      <c r="V223">
        <f t="shared" si="83"/>
        <v>277.77777777777777</v>
      </c>
      <c r="W223">
        <f t="shared" si="84"/>
        <v>358.42293906810039</v>
      </c>
      <c r="X223">
        <f t="shared" si="85"/>
        <v>198.4126984126984</v>
      </c>
      <c r="Y223">
        <f t="shared" si="86"/>
        <v>1.927005048753228</v>
      </c>
      <c r="Z223">
        <f t="shared" si="87"/>
        <v>0.87181919999999979</v>
      </c>
    </row>
    <row r="224" spans="1:26">
      <c r="A224" s="8">
        <v>15</v>
      </c>
      <c r="B224" s="9">
        <v>5</v>
      </c>
      <c r="C224">
        <v>6</v>
      </c>
      <c r="D224">
        <f t="shared" si="66"/>
        <v>450</v>
      </c>
      <c r="E224">
        <f t="shared" si="67"/>
        <v>225</v>
      </c>
      <c r="F224">
        <f t="shared" si="68"/>
        <v>31.5</v>
      </c>
      <c r="G224">
        <f t="shared" si="69"/>
        <v>0.26999999999999996</v>
      </c>
      <c r="H224">
        <f t="shared" si="70"/>
        <v>85.05</v>
      </c>
      <c r="I224">
        <f t="shared" si="71"/>
        <v>378</v>
      </c>
      <c r="J224">
        <f t="shared" si="72"/>
        <v>270</v>
      </c>
      <c r="K224">
        <f t="shared" si="73"/>
        <v>60.75</v>
      </c>
      <c r="L224">
        <f t="shared" si="74"/>
        <v>8.5050000000000008</v>
      </c>
      <c r="M224">
        <f t="shared" si="75"/>
        <v>8.3537999999999997</v>
      </c>
      <c r="N224">
        <f t="shared" si="76"/>
        <v>4.3470000000000004</v>
      </c>
      <c r="O224">
        <f t="shared" si="77"/>
        <v>6.0035294117647071</v>
      </c>
      <c r="P224">
        <f t="shared" si="78"/>
        <v>5.1025917926565869</v>
      </c>
      <c r="Q224">
        <f t="shared" si="79"/>
        <v>63</v>
      </c>
      <c r="R224">
        <f t="shared" si="80"/>
        <v>450</v>
      </c>
      <c r="S224">
        <f t="shared" si="81"/>
        <v>209.25</v>
      </c>
      <c r="T224">
        <f t="shared" si="82"/>
        <v>60.749999999999993</v>
      </c>
      <c r="U224">
        <f>I224*E224/'[1]Inverter Analysis'!$L$2</f>
        <v>203.80562524759708</v>
      </c>
      <c r="V224">
        <f t="shared" si="83"/>
        <v>296.2962962962963</v>
      </c>
      <c r="W224">
        <f t="shared" si="84"/>
        <v>382.31780167264037</v>
      </c>
      <c r="X224">
        <f t="shared" si="85"/>
        <v>211.64021164021165</v>
      </c>
      <c r="Y224">
        <f t="shared" si="86"/>
        <v>2.1925035221370055</v>
      </c>
      <c r="Z224">
        <f t="shared" si="87"/>
        <v>0.7183568847656252</v>
      </c>
    </row>
    <row r="225" spans="1:26">
      <c r="A225">
        <v>14</v>
      </c>
      <c r="B225" s="9">
        <v>5</v>
      </c>
      <c r="C225">
        <v>6</v>
      </c>
      <c r="D225">
        <f t="shared" si="66"/>
        <v>450</v>
      </c>
      <c r="E225">
        <f t="shared" si="67"/>
        <v>225</v>
      </c>
      <c r="F225">
        <f t="shared" si="68"/>
        <v>29.4</v>
      </c>
      <c r="G225">
        <f t="shared" si="69"/>
        <v>0.252</v>
      </c>
      <c r="H225">
        <f t="shared" si="70"/>
        <v>79.38</v>
      </c>
      <c r="I225">
        <f t="shared" si="71"/>
        <v>352.8</v>
      </c>
      <c r="J225">
        <f t="shared" si="72"/>
        <v>252</v>
      </c>
      <c r="K225">
        <f t="shared" si="73"/>
        <v>56.7</v>
      </c>
      <c r="L225">
        <f t="shared" si="74"/>
        <v>7.9380000000000006</v>
      </c>
      <c r="M225">
        <f t="shared" si="75"/>
        <v>7.7968799999999998</v>
      </c>
      <c r="N225">
        <f t="shared" si="76"/>
        <v>4.0571999999999999</v>
      </c>
      <c r="O225">
        <f t="shared" si="77"/>
        <v>5.6032941176470592</v>
      </c>
      <c r="P225">
        <f t="shared" si="78"/>
        <v>4.7624190064794814</v>
      </c>
      <c r="Q225">
        <f t="shared" si="79"/>
        <v>58.800000000000004</v>
      </c>
      <c r="R225">
        <f t="shared" si="80"/>
        <v>420</v>
      </c>
      <c r="S225">
        <f t="shared" si="81"/>
        <v>195.3</v>
      </c>
      <c r="T225">
        <f t="shared" si="82"/>
        <v>56.7</v>
      </c>
      <c r="U225">
        <f>I225*E225/'[1]Inverter Analysis'!$L$2</f>
        <v>190.21858356442394</v>
      </c>
      <c r="V225">
        <f t="shared" si="83"/>
        <v>317.46031746031747</v>
      </c>
      <c r="W225">
        <f t="shared" si="84"/>
        <v>409.62621607782899</v>
      </c>
      <c r="X225">
        <f t="shared" si="85"/>
        <v>226.75736961451247</v>
      </c>
      <c r="Y225">
        <f t="shared" si="86"/>
        <v>2.5169045534736036</v>
      </c>
      <c r="Z225">
        <f t="shared" si="87"/>
        <v>0.58405075312499999</v>
      </c>
    </row>
    <row r="226" spans="1:26">
      <c r="A226">
        <v>13</v>
      </c>
      <c r="B226" s="9">
        <v>5</v>
      </c>
      <c r="C226">
        <v>6</v>
      </c>
      <c r="D226">
        <f t="shared" si="66"/>
        <v>450</v>
      </c>
      <c r="E226">
        <f t="shared" si="67"/>
        <v>225</v>
      </c>
      <c r="F226">
        <f t="shared" si="68"/>
        <v>27.3</v>
      </c>
      <c r="G226">
        <f t="shared" si="69"/>
        <v>0.23399999999999996</v>
      </c>
      <c r="H226">
        <f t="shared" si="70"/>
        <v>73.709999999999994</v>
      </c>
      <c r="I226">
        <f t="shared" si="71"/>
        <v>327.60000000000002</v>
      </c>
      <c r="J226">
        <f t="shared" si="72"/>
        <v>234</v>
      </c>
      <c r="K226">
        <f t="shared" si="73"/>
        <v>52.65</v>
      </c>
      <c r="L226">
        <f t="shared" si="74"/>
        <v>7.3710000000000004</v>
      </c>
      <c r="M226">
        <f t="shared" si="75"/>
        <v>7.2399600000000008</v>
      </c>
      <c r="N226">
        <f t="shared" si="76"/>
        <v>3.7674000000000003</v>
      </c>
      <c r="O226">
        <f t="shared" si="77"/>
        <v>5.2030588235294122</v>
      </c>
      <c r="P226">
        <f t="shared" si="78"/>
        <v>4.4222462203023758</v>
      </c>
      <c r="Q226">
        <f t="shared" si="79"/>
        <v>54.6</v>
      </c>
      <c r="R226">
        <f t="shared" si="80"/>
        <v>390</v>
      </c>
      <c r="S226">
        <f t="shared" si="81"/>
        <v>181.35000000000002</v>
      </c>
      <c r="T226">
        <f t="shared" si="82"/>
        <v>52.649999999999991</v>
      </c>
      <c r="U226">
        <f>I226*E226/'[1]Inverter Analysis'!$L$2</f>
        <v>176.6315418812508</v>
      </c>
      <c r="V226">
        <f t="shared" si="83"/>
        <v>341.88034188034186</v>
      </c>
      <c r="W226">
        <f t="shared" si="84"/>
        <v>441.13592500689271</v>
      </c>
      <c r="X226">
        <f t="shared" si="85"/>
        <v>244.20024420024419</v>
      </c>
      <c r="Y226">
        <f t="shared" si="86"/>
        <v>2.9190135649753031</v>
      </c>
      <c r="Z226">
        <f t="shared" si="87"/>
        <v>0.46762372617187514</v>
      </c>
    </row>
    <row r="227" spans="1:26">
      <c r="A227">
        <v>12</v>
      </c>
      <c r="B227" s="9">
        <v>5</v>
      </c>
      <c r="C227">
        <v>6</v>
      </c>
      <c r="D227">
        <f t="shared" si="66"/>
        <v>450</v>
      </c>
      <c r="E227">
        <f t="shared" si="67"/>
        <v>225</v>
      </c>
      <c r="F227">
        <f t="shared" si="68"/>
        <v>25.2</v>
      </c>
      <c r="G227">
        <f t="shared" si="69"/>
        <v>0.21599999999999997</v>
      </c>
      <c r="H227">
        <f t="shared" si="70"/>
        <v>68.04000000000002</v>
      </c>
      <c r="I227">
        <f t="shared" si="71"/>
        <v>302.40000000000003</v>
      </c>
      <c r="J227">
        <f t="shared" si="72"/>
        <v>216</v>
      </c>
      <c r="K227">
        <f t="shared" si="73"/>
        <v>48.6</v>
      </c>
      <c r="L227">
        <f t="shared" si="74"/>
        <v>6.8040000000000012</v>
      </c>
      <c r="M227">
        <f t="shared" si="75"/>
        <v>6.683040000000001</v>
      </c>
      <c r="N227">
        <f t="shared" si="76"/>
        <v>3.4775999999999998</v>
      </c>
      <c r="O227">
        <f t="shared" si="77"/>
        <v>4.802823529411766</v>
      </c>
      <c r="P227">
        <f t="shared" si="78"/>
        <v>4.0820734341252702</v>
      </c>
      <c r="Q227">
        <f t="shared" si="79"/>
        <v>50.400000000000006</v>
      </c>
      <c r="R227">
        <f t="shared" si="80"/>
        <v>360</v>
      </c>
      <c r="S227">
        <f t="shared" si="81"/>
        <v>167.4</v>
      </c>
      <c r="T227">
        <f t="shared" si="82"/>
        <v>48.599999999999994</v>
      </c>
      <c r="U227">
        <f>I227*E227/'[1]Inverter Analysis'!$L$2</f>
        <v>163.04450019807769</v>
      </c>
      <c r="V227">
        <f t="shared" si="83"/>
        <v>370.37037037037038</v>
      </c>
      <c r="W227">
        <f t="shared" si="84"/>
        <v>477.89725209080046</v>
      </c>
      <c r="X227">
        <f t="shared" si="85"/>
        <v>264.5502645502645</v>
      </c>
      <c r="Y227">
        <f t="shared" si="86"/>
        <v>3.4257867533390707</v>
      </c>
      <c r="Z227">
        <f t="shared" si="87"/>
        <v>0.36779872500000005</v>
      </c>
    </row>
    <row r="228" spans="1:26">
      <c r="A228">
        <v>11</v>
      </c>
      <c r="B228" s="9">
        <v>5</v>
      </c>
      <c r="C228">
        <v>6</v>
      </c>
      <c r="D228">
        <f>B228*$J$3</f>
        <v>450</v>
      </c>
      <c r="E228">
        <f>B228*$I$3</f>
        <v>225</v>
      </c>
      <c r="F228">
        <f>A228*B228*C228*$Q$3/1000</f>
        <v>23.1</v>
      </c>
      <c r="G228">
        <f>((B228*$R$3^(-1))^(-1))*A228*C228</f>
        <v>0.19799999999999995</v>
      </c>
      <c r="H228">
        <f>E228*I228/1000</f>
        <v>62.37</v>
      </c>
      <c r="I228">
        <f>A228*C228*4.2</f>
        <v>277.2</v>
      </c>
      <c r="J228">
        <f>C228*A228*$K$3</f>
        <v>198</v>
      </c>
      <c r="K228">
        <f>E228*J228/1000</f>
        <v>44.55</v>
      </c>
      <c r="L228">
        <f>$N$3/1000*I228*B228/1000</f>
        <v>6.2369999999999992</v>
      </c>
      <c r="M228">
        <f>$O$3/1000*I228*B228/1000</f>
        <v>6.1261200000000002</v>
      </c>
      <c r="N228">
        <f>$P$3/1000*I228*B228/1000</f>
        <v>3.1877999999999997</v>
      </c>
      <c r="O228">
        <f>L228*(($L$3-$K$3)/($L$3-$M$3))</f>
        <v>4.4025882352941172</v>
      </c>
      <c r="P228">
        <f>$H$3/1000*B228*I228/277.8/C228</f>
        <v>3.7419006479481638</v>
      </c>
      <c r="Q228">
        <f>I228/C228</f>
        <v>46.199999999999996</v>
      </c>
      <c r="R228">
        <f>(A228*B228*C228)</f>
        <v>330</v>
      </c>
      <c r="S228">
        <f>J228-(G228*E228)</f>
        <v>153.45000000000002</v>
      </c>
      <c r="T228">
        <f>G228*E228</f>
        <v>44.54999999999999</v>
      </c>
      <c r="U228">
        <f>I228*E228/'[1]Inverter Analysis'!$L$2</f>
        <v>149.45745851490452</v>
      </c>
      <c r="V228">
        <f>80000/J228</f>
        <v>404.04040404040404</v>
      </c>
      <c r="W228">
        <f>80000/S228</f>
        <v>521.34245682632775</v>
      </c>
      <c r="X228">
        <f>80000/I228</f>
        <v>288.60028860028859</v>
      </c>
      <c r="Y228">
        <f>(MAX(V228:X228)^2)*$R$3/1000</f>
        <v>4.0769693593456706</v>
      </c>
      <c r="Z228">
        <f>($S$3*F228/(Y228*1000))*10</f>
        <v>0.28329867070312509</v>
      </c>
    </row>
    <row r="229" spans="1:26">
      <c r="A229">
        <v>10</v>
      </c>
      <c r="B229" s="9">
        <v>5</v>
      </c>
      <c r="C229">
        <v>6</v>
      </c>
      <c r="D229">
        <f t="shared" ref="D229:D250" si="88">B229*$J$3</f>
        <v>450</v>
      </c>
      <c r="E229">
        <f t="shared" ref="E229:E250" si="89">B229*$I$3</f>
        <v>225</v>
      </c>
      <c r="F229">
        <f t="shared" ref="F229:F250" si="90">A229*B229*C229*$Q$3/1000</f>
        <v>21</v>
      </c>
      <c r="G229">
        <f t="shared" ref="G229:G250" si="91">((B229*$R$3^(-1))^(-1))*A229*C229</f>
        <v>0.17999999999999997</v>
      </c>
      <c r="H229">
        <f t="shared" ref="H229:H250" si="92">E229*I229/1000</f>
        <v>56.7</v>
      </c>
      <c r="I229">
        <f t="shared" ref="I229:I250" si="93">A229*C229*4.2</f>
        <v>252</v>
      </c>
      <c r="J229">
        <f t="shared" ref="J229:J250" si="94">C229*A229*$K$3</f>
        <v>180</v>
      </c>
      <c r="K229">
        <f t="shared" ref="K229:K250" si="95">E229*J229/1000</f>
        <v>40.5</v>
      </c>
      <c r="L229">
        <f t="shared" ref="L229:L250" si="96">$N$3/1000*I229*B229/1000</f>
        <v>5.67</v>
      </c>
      <c r="M229">
        <f t="shared" ref="M229:M250" si="97">$O$3/1000*I229*B229/1000</f>
        <v>5.5691999999999995</v>
      </c>
      <c r="N229">
        <f t="shared" ref="N229:N250" si="98">$P$3/1000*I229*B229/1000</f>
        <v>2.8979999999999997</v>
      </c>
      <c r="O229">
        <f t="shared" ref="O229:O250" si="99">L229*(($L$3-$K$3)/($L$3-$M$3))</f>
        <v>4.0023529411764711</v>
      </c>
      <c r="P229">
        <f t="shared" ref="P229:P250" si="100">$H$3/1000*B229*I229/277.8/C229</f>
        <v>3.4017278617710578</v>
      </c>
      <c r="Q229">
        <f t="shared" ref="Q229:Q250" si="101">I229/C229</f>
        <v>42</v>
      </c>
      <c r="R229">
        <f t="shared" ref="R229:R250" si="102">(A229*B229*C229)</f>
        <v>300</v>
      </c>
      <c r="S229">
        <f t="shared" ref="S229:S250" si="103">J229-(G229*E229)</f>
        <v>139.5</v>
      </c>
      <c r="T229">
        <f t="shared" ref="T229:T250" si="104">G229*E229</f>
        <v>40.499999999999993</v>
      </c>
      <c r="U229">
        <f>I229*E229/'[1]Inverter Analysis'!$L$2</f>
        <v>135.87041683173138</v>
      </c>
      <c r="V229">
        <f t="shared" ref="V229:V250" si="105">80000/J229</f>
        <v>444.44444444444446</v>
      </c>
      <c r="W229">
        <f t="shared" ref="W229:W250" si="106">80000/S229</f>
        <v>573.47670250896056</v>
      </c>
      <c r="X229">
        <f t="shared" ref="X229:X250" si="107">80000/I229</f>
        <v>317.46031746031747</v>
      </c>
      <c r="Y229">
        <f t="shared" ref="Y229:Y250" si="108">(MAX(V229:X229)^2)*$R$3/1000</f>
        <v>4.9331329248082634</v>
      </c>
      <c r="Z229">
        <f t="shared" ref="Z229:Z250" si="109">($S$3*F229/(Y229*1000))*10</f>
        <v>0.21284648437500001</v>
      </c>
    </row>
    <row r="230" spans="1:26">
      <c r="A230">
        <v>16</v>
      </c>
      <c r="B230">
        <v>4</v>
      </c>
      <c r="C230">
        <v>6</v>
      </c>
      <c r="D230">
        <f t="shared" si="88"/>
        <v>360</v>
      </c>
      <c r="E230">
        <f t="shared" si="89"/>
        <v>180</v>
      </c>
      <c r="F230">
        <f t="shared" si="90"/>
        <v>26.88</v>
      </c>
      <c r="G230">
        <f t="shared" si="91"/>
        <v>0.36</v>
      </c>
      <c r="H230">
        <f t="shared" si="92"/>
        <v>72.576000000000008</v>
      </c>
      <c r="I230">
        <f t="shared" si="93"/>
        <v>403.20000000000005</v>
      </c>
      <c r="J230">
        <f t="shared" si="94"/>
        <v>288</v>
      </c>
      <c r="K230">
        <f t="shared" si="95"/>
        <v>51.84</v>
      </c>
      <c r="L230">
        <f t="shared" si="96"/>
        <v>7.2576000000000001</v>
      </c>
      <c r="M230">
        <f t="shared" si="97"/>
        <v>7.1285760000000007</v>
      </c>
      <c r="N230">
        <f t="shared" si="98"/>
        <v>3.7094399999999998</v>
      </c>
      <c r="O230">
        <f t="shared" si="99"/>
        <v>5.1230117647058826</v>
      </c>
      <c r="P230">
        <f t="shared" si="100"/>
        <v>4.3542116630669545</v>
      </c>
      <c r="Q230">
        <f t="shared" si="101"/>
        <v>67.2</v>
      </c>
      <c r="R230">
        <f t="shared" si="102"/>
        <v>384</v>
      </c>
      <c r="S230">
        <f t="shared" si="103"/>
        <v>223.2</v>
      </c>
      <c r="T230">
        <f t="shared" si="104"/>
        <v>64.8</v>
      </c>
      <c r="U230">
        <f>I230*E230/'[1]Inverter Analysis'!$L$2</f>
        <v>173.91413354461619</v>
      </c>
      <c r="V230">
        <f t="shared" si="105"/>
        <v>277.77777777777777</v>
      </c>
      <c r="W230">
        <f t="shared" si="106"/>
        <v>358.42293906810039</v>
      </c>
      <c r="X230">
        <f t="shared" si="107"/>
        <v>198.4126984126984</v>
      </c>
      <c r="Y230">
        <f t="shared" si="108"/>
        <v>1.927005048753228</v>
      </c>
      <c r="Z230">
        <f t="shared" si="109"/>
        <v>0.69745535999999997</v>
      </c>
    </row>
    <row r="231" spans="1:26">
      <c r="A231">
        <v>15</v>
      </c>
      <c r="B231">
        <v>4</v>
      </c>
      <c r="C231">
        <v>6</v>
      </c>
      <c r="D231">
        <f t="shared" si="88"/>
        <v>360</v>
      </c>
      <c r="E231">
        <f t="shared" si="89"/>
        <v>180</v>
      </c>
      <c r="F231">
        <f t="shared" si="90"/>
        <v>25.2</v>
      </c>
      <c r="G231">
        <f t="shared" si="91"/>
        <v>0.33749999999999997</v>
      </c>
      <c r="H231">
        <f t="shared" si="92"/>
        <v>68.040000000000006</v>
      </c>
      <c r="I231">
        <f t="shared" si="93"/>
        <v>378</v>
      </c>
      <c r="J231">
        <f t="shared" si="94"/>
        <v>270</v>
      </c>
      <c r="K231">
        <f t="shared" si="95"/>
        <v>48.6</v>
      </c>
      <c r="L231">
        <f t="shared" si="96"/>
        <v>6.8040000000000003</v>
      </c>
      <c r="M231">
        <f t="shared" si="97"/>
        <v>6.6830400000000001</v>
      </c>
      <c r="N231">
        <f t="shared" si="98"/>
        <v>3.4775999999999998</v>
      </c>
      <c r="O231">
        <f t="shared" si="99"/>
        <v>4.8028235294117652</v>
      </c>
      <c r="P231">
        <f t="shared" si="100"/>
        <v>4.0820734341252694</v>
      </c>
      <c r="Q231">
        <f t="shared" si="101"/>
        <v>63</v>
      </c>
      <c r="R231">
        <f t="shared" si="102"/>
        <v>360</v>
      </c>
      <c r="S231">
        <f t="shared" si="103"/>
        <v>209.25</v>
      </c>
      <c r="T231">
        <f t="shared" si="104"/>
        <v>60.749999999999993</v>
      </c>
      <c r="U231">
        <f>I231*E231/'[1]Inverter Analysis'!$L$2</f>
        <v>163.04450019807766</v>
      </c>
      <c r="V231">
        <f t="shared" si="105"/>
        <v>296.2962962962963</v>
      </c>
      <c r="W231">
        <f t="shared" si="106"/>
        <v>382.31780167264037</v>
      </c>
      <c r="X231">
        <f t="shared" si="107"/>
        <v>211.64021164021165</v>
      </c>
      <c r="Y231">
        <f t="shared" si="108"/>
        <v>2.1925035221370055</v>
      </c>
      <c r="Z231">
        <f t="shared" si="109"/>
        <v>0.57468550781250005</v>
      </c>
    </row>
    <row r="232" spans="1:26">
      <c r="A232">
        <v>14</v>
      </c>
      <c r="B232">
        <v>4</v>
      </c>
      <c r="C232">
        <v>6</v>
      </c>
      <c r="D232">
        <f t="shared" si="88"/>
        <v>360</v>
      </c>
      <c r="E232">
        <f t="shared" si="89"/>
        <v>180</v>
      </c>
      <c r="F232">
        <f t="shared" si="90"/>
        <v>23.52</v>
      </c>
      <c r="G232">
        <f t="shared" si="91"/>
        <v>0.315</v>
      </c>
      <c r="H232">
        <f t="shared" si="92"/>
        <v>63.503999999999998</v>
      </c>
      <c r="I232">
        <f t="shared" si="93"/>
        <v>352.8</v>
      </c>
      <c r="J232">
        <f t="shared" si="94"/>
        <v>252</v>
      </c>
      <c r="K232">
        <f t="shared" si="95"/>
        <v>45.36</v>
      </c>
      <c r="L232">
        <f t="shared" si="96"/>
        <v>6.3504000000000005</v>
      </c>
      <c r="M232">
        <f t="shared" si="97"/>
        <v>6.2375039999999995</v>
      </c>
      <c r="N232">
        <f t="shared" si="98"/>
        <v>3.2457599999999998</v>
      </c>
      <c r="O232">
        <f t="shared" si="99"/>
        <v>4.4826352941176477</v>
      </c>
      <c r="P232">
        <f t="shared" si="100"/>
        <v>3.8099352051835855</v>
      </c>
      <c r="Q232">
        <f t="shared" si="101"/>
        <v>58.800000000000004</v>
      </c>
      <c r="R232">
        <f t="shared" si="102"/>
        <v>336</v>
      </c>
      <c r="S232">
        <f t="shared" si="103"/>
        <v>195.3</v>
      </c>
      <c r="T232">
        <f t="shared" si="104"/>
        <v>56.7</v>
      </c>
      <c r="U232">
        <f>I232*E232/'[1]Inverter Analysis'!$L$2</f>
        <v>152.17486685153915</v>
      </c>
      <c r="V232">
        <f t="shared" si="105"/>
        <v>317.46031746031747</v>
      </c>
      <c r="W232">
        <f t="shared" si="106"/>
        <v>409.62621607782899</v>
      </c>
      <c r="X232">
        <f t="shared" si="107"/>
        <v>226.75736961451247</v>
      </c>
      <c r="Y232">
        <f t="shared" si="108"/>
        <v>2.5169045534736036</v>
      </c>
      <c r="Z232">
        <f t="shared" si="109"/>
        <v>0.46724060249999999</v>
      </c>
    </row>
    <row r="233" spans="1:26">
      <c r="A233">
        <v>13</v>
      </c>
      <c r="B233">
        <v>4</v>
      </c>
      <c r="C233">
        <v>6</v>
      </c>
      <c r="D233">
        <f t="shared" si="88"/>
        <v>360</v>
      </c>
      <c r="E233">
        <f t="shared" si="89"/>
        <v>180</v>
      </c>
      <c r="F233">
        <f t="shared" si="90"/>
        <v>21.84</v>
      </c>
      <c r="G233">
        <f t="shared" si="91"/>
        <v>0.29249999999999998</v>
      </c>
      <c r="H233">
        <f t="shared" si="92"/>
        <v>58.968000000000011</v>
      </c>
      <c r="I233">
        <f t="shared" si="93"/>
        <v>327.60000000000002</v>
      </c>
      <c r="J233">
        <f t="shared" si="94"/>
        <v>234</v>
      </c>
      <c r="K233">
        <f t="shared" si="95"/>
        <v>42.12</v>
      </c>
      <c r="L233">
        <f t="shared" si="96"/>
        <v>5.8967999999999998</v>
      </c>
      <c r="M233">
        <f t="shared" si="97"/>
        <v>5.7919680000000007</v>
      </c>
      <c r="N233">
        <f t="shared" si="98"/>
        <v>3.0139200000000002</v>
      </c>
      <c r="O233">
        <f t="shared" si="99"/>
        <v>4.1624470588235294</v>
      </c>
      <c r="P233">
        <f t="shared" si="100"/>
        <v>3.5377969762419004</v>
      </c>
      <c r="Q233">
        <f t="shared" si="101"/>
        <v>54.6</v>
      </c>
      <c r="R233">
        <f t="shared" si="102"/>
        <v>312</v>
      </c>
      <c r="S233">
        <f t="shared" si="103"/>
        <v>181.35</v>
      </c>
      <c r="T233">
        <f t="shared" si="104"/>
        <v>52.65</v>
      </c>
      <c r="U233">
        <f>I233*E233/'[1]Inverter Analysis'!$L$2</f>
        <v>141.30523350500064</v>
      </c>
      <c r="V233">
        <f t="shared" si="105"/>
        <v>341.88034188034186</v>
      </c>
      <c r="W233">
        <f t="shared" si="106"/>
        <v>441.13592500689276</v>
      </c>
      <c r="X233">
        <f t="shared" si="107"/>
        <v>244.20024420024419</v>
      </c>
      <c r="Y233">
        <f t="shared" si="108"/>
        <v>2.9190135649753035</v>
      </c>
      <c r="Z233">
        <f t="shared" si="109"/>
        <v>0.37409898093750005</v>
      </c>
    </row>
    <row r="234" spans="1:26">
      <c r="A234">
        <v>12</v>
      </c>
      <c r="B234">
        <v>4</v>
      </c>
      <c r="C234">
        <v>6</v>
      </c>
      <c r="D234">
        <f t="shared" si="88"/>
        <v>360</v>
      </c>
      <c r="E234">
        <f t="shared" si="89"/>
        <v>180</v>
      </c>
      <c r="F234">
        <f t="shared" si="90"/>
        <v>20.16</v>
      </c>
      <c r="G234">
        <f t="shared" si="91"/>
        <v>0.27</v>
      </c>
      <c r="H234">
        <f t="shared" si="92"/>
        <v>54.432000000000009</v>
      </c>
      <c r="I234">
        <f t="shared" si="93"/>
        <v>302.40000000000003</v>
      </c>
      <c r="J234">
        <f t="shared" si="94"/>
        <v>216</v>
      </c>
      <c r="K234">
        <f t="shared" si="95"/>
        <v>38.880000000000003</v>
      </c>
      <c r="L234">
        <f t="shared" si="96"/>
        <v>5.4432000000000009</v>
      </c>
      <c r="M234">
        <f t="shared" si="97"/>
        <v>5.346432000000001</v>
      </c>
      <c r="N234">
        <f t="shared" si="98"/>
        <v>2.7820800000000001</v>
      </c>
      <c r="O234">
        <f t="shared" si="99"/>
        <v>3.8422588235294128</v>
      </c>
      <c r="P234">
        <f t="shared" si="100"/>
        <v>3.2656587473002165</v>
      </c>
      <c r="Q234">
        <f t="shared" si="101"/>
        <v>50.400000000000006</v>
      </c>
      <c r="R234">
        <f t="shared" si="102"/>
        <v>288</v>
      </c>
      <c r="S234">
        <f t="shared" si="103"/>
        <v>167.4</v>
      </c>
      <c r="T234">
        <f t="shared" si="104"/>
        <v>48.6</v>
      </c>
      <c r="U234">
        <f>I234*E234/'[1]Inverter Analysis'!$L$2</f>
        <v>130.43560015846214</v>
      </c>
      <c r="V234">
        <f t="shared" si="105"/>
        <v>370.37037037037038</v>
      </c>
      <c r="W234">
        <f t="shared" si="106"/>
        <v>477.89725209080046</v>
      </c>
      <c r="X234">
        <f t="shared" si="107"/>
        <v>264.5502645502645</v>
      </c>
      <c r="Y234">
        <f t="shared" si="108"/>
        <v>3.4257867533390707</v>
      </c>
      <c r="Z234">
        <f t="shared" si="109"/>
        <v>0.29423898000000004</v>
      </c>
    </row>
    <row r="235" spans="1:26">
      <c r="A235">
        <v>11</v>
      </c>
      <c r="B235">
        <v>4</v>
      </c>
      <c r="C235">
        <v>6</v>
      </c>
      <c r="D235">
        <f t="shared" si="88"/>
        <v>360</v>
      </c>
      <c r="E235">
        <f t="shared" si="89"/>
        <v>180</v>
      </c>
      <c r="F235">
        <f t="shared" si="90"/>
        <v>18.48</v>
      </c>
      <c r="G235">
        <f t="shared" si="91"/>
        <v>0.24749999999999997</v>
      </c>
      <c r="H235">
        <f t="shared" si="92"/>
        <v>49.896000000000001</v>
      </c>
      <c r="I235">
        <f t="shared" si="93"/>
        <v>277.2</v>
      </c>
      <c r="J235">
        <f t="shared" si="94"/>
        <v>198</v>
      </c>
      <c r="K235">
        <f t="shared" si="95"/>
        <v>35.64</v>
      </c>
      <c r="L235">
        <f t="shared" si="96"/>
        <v>4.9895999999999994</v>
      </c>
      <c r="M235">
        <f t="shared" si="97"/>
        <v>4.9008959999999995</v>
      </c>
      <c r="N235">
        <f t="shared" si="98"/>
        <v>2.5502399999999996</v>
      </c>
      <c r="O235">
        <f t="shared" si="99"/>
        <v>3.5220705882352941</v>
      </c>
      <c r="P235">
        <f t="shared" si="100"/>
        <v>2.9935205183585309</v>
      </c>
      <c r="Q235">
        <f t="shared" si="101"/>
        <v>46.199999999999996</v>
      </c>
      <c r="R235">
        <f t="shared" si="102"/>
        <v>264</v>
      </c>
      <c r="S235">
        <f t="shared" si="103"/>
        <v>153.44999999999999</v>
      </c>
      <c r="T235">
        <f t="shared" si="104"/>
        <v>44.55</v>
      </c>
      <c r="U235">
        <f>I235*E235/'[1]Inverter Analysis'!$L$2</f>
        <v>119.56596681192362</v>
      </c>
      <c r="V235">
        <f t="shared" si="105"/>
        <v>404.04040404040404</v>
      </c>
      <c r="W235">
        <f t="shared" si="106"/>
        <v>521.34245682632786</v>
      </c>
      <c r="X235">
        <f t="shared" si="107"/>
        <v>288.60028860028859</v>
      </c>
      <c r="Y235">
        <f t="shared" si="108"/>
        <v>4.0769693593456724</v>
      </c>
      <c r="Z235">
        <f t="shared" si="109"/>
        <v>0.2266389365625</v>
      </c>
    </row>
    <row r="236" spans="1:26">
      <c r="A236">
        <v>10</v>
      </c>
      <c r="B236">
        <v>4</v>
      </c>
      <c r="C236">
        <v>6</v>
      </c>
      <c r="D236">
        <f t="shared" si="88"/>
        <v>360</v>
      </c>
      <c r="E236">
        <f t="shared" si="89"/>
        <v>180</v>
      </c>
      <c r="F236">
        <f t="shared" si="90"/>
        <v>16.8</v>
      </c>
      <c r="G236">
        <f t="shared" si="91"/>
        <v>0.22499999999999998</v>
      </c>
      <c r="H236">
        <f t="shared" si="92"/>
        <v>45.36</v>
      </c>
      <c r="I236">
        <f t="shared" si="93"/>
        <v>252</v>
      </c>
      <c r="J236">
        <f t="shared" si="94"/>
        <v>180</v>
      </c>
      <c r="K236">
        <f t="shared" si="95"/>
        <v>32.4</v>
      </c>
      <c r="L236">
        <f t="shared" si="96"/>
        <v>4.5359999999999996</v>
      </c>
      <c r="M236">
        <f t="shared" si="97"/>
        <v>4.4553599999999998</v>
      </c>
      <c r="N236">
        <f t="shared" si="98"/>
        <v>2.3183999999999996</v>
      </c>
      <c r="O236">
        <f t="shared" si="99"/>
        <v>3.2018823529411762</v>
      </c>
      <c r="P236">
        <f t="shared" si="100"/>
        <v>2.7213822894168467</v>
      </c>
      <c r="Q236">
        <f t="shared" si="101"/>
        <v>42</v>
      </c>
      <c r="R236">
        <f t="shared" si="102"/>
        <v>240</v>
      </c>
      <c r="S236">
        <f t="shared" si="103"/>
        <v>139.5</v>
      </c>
      <c r="T236">
        <f t="shared" si="104"/>
        <v>40.499999999999993</v>
      </c>
      <c r="U236">
        <f>I236*E236/'[1]Inverter Analysis'!$L$2</f>
        <v>108.69633346538509</v>
      </c>
      <c r="V236">
        <f t="shared" si="105"/>
        <v>444.44444444444446</v>
      </c>
      <c r="W236">
        <f t="shared" si="106"/>
        <v>573.47670250896056</v>
      </c>
      <c r="X236">
        <f t="shared" si="107"/>
        <v>317.46031746031747</v>
      </c>
      <c r="Y236">
        <f t="shared" si="108"/>
        <v>4.9331329248082634</v>
      </c>
      <c r="Z236">
        <f t="shared" si="109"/>
        <v>0.17027718750000001</v>
      </c>
    </row>
    <row r="237" spans="1:26">
      <c r="A237">
        <v>16</v>
      </c>
      <c r="B237">
        <v>3</v>
      </c>
      <c r="C237">
        <v>6</v>
      </c>
      <c r="D237">
        <f t="shared" si="88"/>
        <v>270</v>
      </c>
      <c r="E237">
        <f t="shared" si="89"/>
        <v>135</v>
      </c>
      <c r="F237">
        <f t="shared" si="90"/>
        <v>20.16</v>
      </c>
      <c r="G237">
        <f t="shared" si="91"/>
        <v>0.48</v>
      </c>
      <c r="H237">
        <f t="shared" si="92"/>
        <v>54.432000000000009</v>
      </c>
      <c r="I237">
        <f t="shared" si="93"/>
        <v>403.20000000000005</v>
      </c>
      <c r="J237">
        <f t="shared" si="94"/>
        <v>288</v>
      </c>
      <c r="K237">
        <f t="shared" si="95"/>
        <v>38.880000000000003</v>
      </c>
      <c r="L237">
        <f t="shared" si="96"/>
        <v>5.4432000000000009</v>
      </c>
      <c r="M237">
        <f t="shared" si="97"/>
        <v>5.346432000000001</v>
      </c>
      <c r="N237">
        <f t="shared" si="98"/>
        <v>2.7820800000000001</v>
      </c>
      <c r="O237">
        <f t="shared" si="99"/>
        <v>3.8422588235294128</v>
      </c>
      <c r="P237">
        <f t="shared" si="100"/>
        <v>3.2656587473002165</v>
      </c>
      <c r="Q237">
        <f t="shared" si="101"/>
        <v>67.2</v>
      </c>
      <c r="R237">
        <f t="shared" si="102"/>
        <v>288</v>
      </c>
      <c r="S237">
        <f t="shared" si="103"/>
        <v>223.2</v>
      </c>
      <c r="T237">
        <f t="shared" si="104"/>
        <v>64.8</v>
      </c>
      <c r="U237">
        <f>I237*E237/'[1]Inverter Analysis'!$L$2</f>
        <v>130.43560015846214</v>
      </c>
      <c r="V237">
        <f t="shared" si="105"/>
        <v>277.77777777777777</v>
      </c>
      <c r="W237">
        <f t="shared" si="106"/>
        <v>358.42293906810039</v>
      </c>
      <c r="X237">
        <f t="shared" si="107"/>
        <v>198.4126984126984</v>
      </c>
      <c r="Y237">
        <f t="shared" si="108"/>
        <v>1.927005048753228</v>
      </c>
      <c r="Z237">
        <f t="shared" si="109"/>
        <v>0.52309151999999992</v>
      </c>
    </row>
    <row r="238" spans="1:26">
      <c r="A238">
        <v>15</v>
      </c>
      <c r="B238">
        <v>3</v>
      </c>
      <c r="C238">
        <v>6</v>
      </c>
      <c r="D238">
        <f t="shared" si="88"/>
        <v>270</v>
      </c>
      <c r="E238">
        <f t="shared" si="89"/>
        <v>135</v>
      </c>
      <c r="F238">
        <f t="shared" si="90"/>
        <v>18.899999999999999</v>
      </c>
      <c r="G238">
        <f t="shared" si="91"/>
        <v>0.44999999999999996</v>
      </c>
      <c r="H238">
        <f t="shared" si="92"/>
        <v>51.03</v>
      </c>
      <c r="I238">
        <f t="shared" si="93"/>
        <v>378</v>
      </c>
      <c r="J238">
        <f t="shared" si="94"/>
        <v>270</v>
      </c>
      <c r="K238">
        <f t="shared" si="95"/>
        <v>36.450000000000003</v>
      </c>
      <c r="L238">
        <f t="shared" si="96"/>
        <v>5.1029999999999998</v>
      </c>
      <c r="M238">
        <f t="shared" si="97"/>
        <v>5.0122799999999996</v>
      </c>
      <c r="N238">
        <f t="shared" si="98"/>
        <v>2.6081999999999996</v>
      </c>
      <c r="O238">
        <f t="shared" si="99"/>
        <v>3.6021176470588236</v>
      </c>
      <c r="P238">
        <f t="shared" si="100"/>
        <v>3.0615550755939522</v>
      </c>
      <c r="Q238">
        <f t="shared" si="101"/>
        <v>63</v>
      </c>
      <c r="R238">
        <f t="shared" si="102"/>
        <v>270</v>
      </c>
      <c r="S238">
        <f t="shared" si="103"/>
        <v>209.25</v>
      </c>
      <c r="T238">
        <f t="shared" si="104"/>
        <v>60.749999999999993</v>
      </c>
      <c r="U238">
        <f>I238*E238/'[1]Inverter Analysis'!$L$2</f>
        <v>122.28337514855824</v>
      </c>
      <c r="V238">
        <f t="shared" si="105"/>
        <v>296.2962962962963</v>
      </c>
      <c r="W238">
        <f t="shared" si="106"/>
        <v>382.31780167264037</v>
      </c>
      <c r="X238">
        <f t="shared" si="107"/>
        <v>211.64021164021165</v>
      </c>
      <c r="Y238">
        <f t="shared" si="108"/>
        <v>2.1925035221370055</v>
      </c>
      <c r="Z238">
        <f t="shared" si="109"/>
        <v>0.43101413085937507</v>
      </c>
    </row>
    <row r="239" spans="1:26">
      <c r="A239">
        <v>14</v>
      </c>
      <c r="B239">
        <v>3</v>
      </c>
      <c r="C239">
        <v>6</v>
      </c>
      <c r="D239">
        <f t="shared" si="88"/>
        <v>270</v>
      </c>
      <c r="E239">
        <f t="shared" si="89"/>
        <v>135</v>
      </c>
      <c r="F239">
        <f t="shared" si="90"/>
        <v>17.64</v>
      </c>
      <c r="G239">
        <f t="shared" si="91"/>
        <v>0.42000000000000004</v>
      </c>
      <c r="H239">
        <f t="shared" si="92"/>
        <v>47.628</v>
      </c>
      <c r="I239">
        <f t="shared" si="93"/>
        <v>352.8</v>
      </c>
      <c r="J239">
        <f t="shared" si="94"/>
        <v>252</v>
      </c>
      <c r="K239">
        <f t="shared" si="95"/>
        <v>34.020000000000003</v>
      </c>
      <c r="L239">
        <f t="shared" si="96"/>
        <v>4.7628000000000004</v>
      </c>
      <c r="M239">
        <f t="shared" si="97"/>
        <v>4.6781280000000001</v>
      </c>
      <c r="N239">
        <f t="shared" si="98"/>
        <v>2.4343199999999996</v>
      </c>
      <c r="O239">
        <f t="shared" si="99"/>
        <v>3.3619764705882358</v>
      </c>
      <c r="P239">
        <f t="shared" si="100"/>
        <v>2.8574514038876888</v>
      </c>
      <c r="Q239">
        <f t="shared" si="101"/>
        <v>58.800000000000004</v>
      </c>
      <c r="R239">
        <f t="shared" si="102"/>
        <v>252</v>
      </c>
      <c r="S239">
        <f t="shared" si="103"/>
        <v>195.3</v>
      </c>
      <c r="T239">
        <f t="shared" si="104"/>
        <v>56.7</v>
      </c>
      <c r="U239">
        <f>I239*E239/'[1]Inverter Analysis'!$L$2</f>
        <v>114.13115013865436</v>
      </c>
      <c r="V239">
        <f t="shared" si="105"/>
        <v>317.46031746031747</v>
      </c>
      <c r="W239">
        <f t="shared" si="106"/>
        <v>409.62621607782899</v>
      </c>
      <c r="X239">
        <f t="shared" si="107"/>
        <v>226.75736961451247</v>
      </c>
      <c r="Y239">
        <f t="shared" si="108"/>
        <v>2.5169045534736036</v>
      </c>
      <c r="Z239">
        <f t="shared" si="109"/>
        <v>0.35043045187499999</v>
      </c>
    </row>
    <row r="240" spans="1:26">
      <c r="A240">
        <v>13</v>
      </c>
      <c r="B240">
        <v>3</v>
      </c>
      <c r="C240">
        <v>6</v>
      </c>
      <c r="D240">
        <f t="shared" si="88"/>
        <v>270</v>
      </c>
      <c r="E240">
        <f t="shared" si="89"/>
        <v>135</v>
      </c>
      <c r="F240">
        <f t="shared" si="90"/>
        <v>16.38</v>
      </c>
      <c r="G240">
        <f t="shared" si="91"/>
        <v>0.39</v>
      </c>
      <c r="H240">
        <f t="shared" si="92"/>
        <v>44.225999999999999</v>
      </c>
      <c r="I240">
        <f t="shared" si="93"/>
        <v>327.60000000000002</v>
      </c>
      <c r="J240">
        <f t="shared" si="94"/>
        <v>234</v>
      </c>
      <c r="K240">
        <f t="shared" si="95"/>
        <v>31.59</v>
      </c>
      <c r="L240">
        <f t="shared" si="96"/>
        <v>4.4226000000000001</v>
      </c>
      <c r="M240">
        <f t="shared" si="97"/>
        <v>4.3439760000000005</v>
      </c>
      <c r="N240">
        <f t="shared" si="98"/>
        <v>2.26044</v>
      </c>
      <c r="O240">
        <f t="shared" si="99"/>
        <v>3.1218352941176475</v>
      </c>
      <c r="P240">
        <f t="shared" si="100"/>
        <v>2.6533477321814254</v>
      </c>
      <c r="Q240">
        <f t="shared" si="101"/>
        <v>54.6</v>
      </c>
      <c r="R240">
        <f t="shared" si="102"/>
        <v>234</v>
      </c>
      <c r="S240">
        <f t="shared" si="103"/>
        <v>181.35</v>
      </c>
      <c r="T240">
        <f t="shared" si="104"/>
        <v>52.65</v>
      </c>
      <c r="U240">
        <f>I240*E240/'[1]Inverter Analysis'!$L$2</f>
        <v>105.97892512875048</v>
      </c>
      <c r="V240">
        <f t="shared" si="105"/>
        <v>341.88034188034186</v>
      </c>
      <c r="W240">
        <f t="shared" si="106"/>
        <v>441.13592500689276</v>
      </c>
      <c r="X240">
        <f t="shared" si="107"/>
        <v>244.20024420024419</v>
      </c>
      <c r="Y240">
        <f t="shared" si="108"/>
        <v>2.9190135649753035</v>
      </c>
      <c r="Z240">
        <f t="shared" si="109"/>
        <v>0.28057423570312501</v>
      </c>
    </row>
    <row r="241" spans="1:26">
      <c r="A241">
        <v>12</v>
      </c>
      <c r="B241">
        <v>3</v>
      </c>
      <c r="C241">
        <v>6</v>
      </c>
      <c r="D241">
        <f t="shared" si="88"/>
        <v>270</v>
      </c>
      <c r="E241">
        <f t="shared" si="89"/>
        <v>135</v>
      </c>
      <c r="F241">
        <f t="shared" si="90"/>
        <v>15.12</v>
      </c>
      <c r="G241">
        <f t="shared" si="91"/>
        <v>0.36</v>
      </c>
      <c r="H241">
        <f t="shared" si="92"/>
        <v>40.824000000000005</v>
      </c>
      <c r="I241">
        <f t="shared" si="93"/>
        <v>302.40000000000003</v>
      </c>
      <c r="J241">
        <f t="shared" si="94"/>
        <v>216</v>
      </c>
      <c r="K241">
        <f t="shared" si="95"/>
        <v>29.16</v>
      </c>
      <c r="L241">
        <f t="shared" si="96"/>
        <v>4.0824000000000007</v>
      </c>
      <c r="M241">
        <f t="shared" si="97"/>
        <v>4.0098240000000009</v>
      </c>
      <c r="N241">
        <f t="shared" si="98"/>
        <v>2.08656</v>
      </c>
      <c r="O241">
        <f t="shared" si="99"/>
        <v>2.8816941176470596</v>
      </c>
      <c r="P241">
        <f t="shared" si="100"/>
        <v>2.4492440604751624</v>
      </c>
      <c r="Q241">
        <f t="shared" si="101"/>
        <v>50.400000000000006</v>
      </c>
      <c r="R241">
        <f t="shared" si="102"/>
        <v>216</v>
      </c>
      <c r="S241">
        <f t="shared" si="103"/>
        <v>167.4</v>
      </c>
      <c r="T241">
        <f t="shared" si="104"/>
        <v>48.6</v>
      </c>
      <c r="U241">
        <f>I241*E241/'[1]Inverter Analysis'!$L$2</f>
        <v>97.826700118846603</v>
      </c>
      <c r="V241">
        <f t="shared" si="105"/>
        <v>370.37037037037038</v>
      </c>
      <c r="W241">
        <f t="shared" si="106"/>
        <v>477.89725209080046</v>
      </c>
      <c r="X241">
        <f t="shared" si="107"/>
        <v>264.5502645502645</v>
      </c>
      <c r="Y241">
        <f t="shared" si="108"/>
        <v>3.4257867533390707</v>
      </c>
      <c r="Z241">
        <f t="shared" si="109"/>
        <v>0.22067923500000003</v>
      </c>
    </row>
    <row r="242" spans="1:26">
      <c r="A242">
        <v>11</v>
      </c>
      <c r="B242">
        <v>3</v>
      </c>
      <c r="C242">
        <v>6</v>
      </c>
      <c r="D242">
        <f t="shared" si="88"/>
        <v>270</v>
      </c>
      <c r="E242">
        <f t="shared" si="89"/>
        <v>135</v>
      </c>
      <c r="F242">
        <f t="shared" si="90"/>
        <v>13.86</v>
      </c>
      <c r="G242">
        <f t="shared" si="91"/>
        <v>0.33</v>
      </c>
      <c r="H242">
        <f t="shared" si="92"/>
        <v>37.421999999999997</v>
      </c>
      <c r="I242">
        <f t="shared" si="93"/>
        <v>277.2</v>
      </c>
      <c r="J242">
        <f t="shared" si="94"/>
        <v>198</v>
      </c>
      <c r="K242">
        <f t="shared" si="95"/>
        <v>26.73</v>
      </c>
      <c r="L242">
        <f t="shared" si="96"/>
        <v>3.7422</v>
      </c>
      <c r="M242">
        <f t="shared" si="97"/>
        <v>3.6756719999999996</v>
      </c>
      <c r="N242">
        <f t="shared" si="98"/>
        <v>1.9126799999999999</v>
      </c>
      <c r="O242">
        <f t="shared" si="99"/>
        <v>2.6415529411764709</v>
      </c>
      <c r="P242">
        <f t="shared" si="100"/>
        <v>2.2451403887688985</v>
      </c>
      <c r="Q242">
        <f t="shared" si="101"/>
        <v>46.199999999999996</v>
      </c>
      <c r="R242">
        <f t="shared" si="102"/>
        <v>198</v>
      </c>
      <c r="S242">
        <f t="shared" si="103"/>
        <v>153.44999999999999</v>
      </c>
      <c r="T242">
        <f t="shared" si="104"/>
        <v>44.550000000000004</v>
      </c>
      <c r="U242">
        <f>I242*E242/'[1]Inverter Analysis'!$L$2</f>
        <v>89.674475108942715</v>
      </c>
      <c r="V242">
        <f t="shared" si="105"/>
        <v>404.04040404040404</v>
      </c>
      <c r="W242">
        <f t="shared" si="106"/>
        <v>521.34245682632786</v>
      </c>
      <c r="X242">
        <f t="shared" si="107"/>
        <v>288.60028860028859</v>
      </c>
      <c r="Y242">
        <f t="shared" si="108"/>
        <v>4.0769693593456724</v>
      </c>
      <c r="Z242">
        <f t="shared" si="109"/>
        <v>0.16997920242187498</v>
      </c>
    </row>
    <row r="243" spans="1:26">
      <c r="A243">
        <v>10</v>
      </c>
      <c r="B243">
        <v>3</v>
      </c>
      <c r="C243">
        <v>6</v>
      </c>
      <c r="D243">
        <f t="shared" si="88"/>
        <v>270</v>
      </c>
      <c r="E243">
        <f t="shared" si="89"/>
        <v>135</v>
      </c>
      <c r="F243">
        <f t="shared" si="90"/>
        <v>12.6</v>
      </c>
      <c r="G243">
        <f t="shared" si="91"/>
        <v>0.30000000000000004</v>
      </c>
      <c r="H243">
        <f t="shared" si="92"/>
        <v>34.020000000000003</v>
      </c>
      <c r="I243">
        <f t="shared" si="93"/>
        <v>252</v>
      </c>
      <c r="J243">
        <f t="shared" si="94"/>
        <v>180</v>
      </c>
      <c r="K243">
        <f t="shared" si="95"/>
        <v>24.3</v>
      </c>
      <c r="L243">
        <f t="shared" si="96"/>
        <v>3.4020000000000001</v>
      </c>
      <c r="M243">
        <f t="shared" si="97"/>
        <v>3.3415199999999996</v>
      </c>
      <c r="N243">
        <f t="shared" si="98"/>
        <v>1.7387999999999997</v>
      </c>
      <c r="O243">
        <f t="shared" si="99"/>
        <v>2.4014117647058826</v>
      </c>
      <c r="P243">
        <f t="shared" si="100"/>
        <v>2.0410367170626347</v>
      </c>
      <c r="Q243">
        <f t="shared" si="101"/>
        <v>42</v>
      </c>
      <c r="R243">
        <f t="shared" si="102"/>
        <v>180</v>
      </c>
      <c r="S243">
        <f t="shared" si="103"/>
        <v>139.5</v>
      </c>
      <c r="T243">
        <f t="shared" si="104"/>
        <v>40.500000000000007</v>
      </c>
      <c r="U243">
        <f>I243*E243/'[1]Inverter Analysis'!$L$2</f>
        <v>81.522250099038828</v>
      </c>
      <c r="V243">
        <f t="shared" si="105"/>
        <v>444.44444444444446</v>
      </c>
      <c r="W243">
        <f t="shared" si="106"/>
        <v>573.47670250896056</v>
      </c>
      <c r="X243">
        <f t="shared" si="107"/>
        <v>317.46031746031747</v>
      </c>
      <c r="Y243">
        <f t="shared" si="108"/>
        <v>4.9331329248082634</v>
      </c>
      <c r="Z243">
        <f t="shared" si="109"/>
        <v>0.12770789062499999</v>
      </c>
    </row>
    <row r="244" spans="1:26">
      <c r="A244">
        <v>16</v>
      </c>
      <c r="B244">
        <v>2</v>
      </c>
      <c r="C244">
        <v>6</v>
      </c>
      <c r="D244">
        <f t="shared" si="88"/>
        <v>180</v>
      </c>
      <c r="E244">
        <f t="shared" si="89"/>
        <v>90</v>
      </c>
      <c r="F244">
        <f t="shared" si="90"/>
        <v>13.44</v>
      </c>
      <c r="G244">
        <f t="shared" si="91"/>
        <v>0.72</v>
      </c>
      <c r="H244">
        <f t="shared" si="92"/>
        <v>36.288000000000004</v>
      </c>
      <c r="I244">
        <f t="shared" si="93"/>
        <v>403.20000000000005</v>
      </c>
      <c r="J244">
        <f t="shared" si="94"/>
        <v>288</v>
      </c>
      <c r="K244">
        <f t="shared" si="95"/>
        <v>25.92</v>
      </c>
      <c r="L244">
        <f t="shared" si="96"/>
        <v>3.6288</v>
      </c>
      <c r="M244">
        <f t="shared" si="97"/>
        <v>3.5642880000000003</v>
      </c>
      <c r="N244">
        <f t="shared" si="98"/>
        <v>1.8547199999999999</v>
      </c>
      <c r="O244">
        <f t="shared" si="99"/>
        <v>2.5615058823529413</v>
      </c>
      <c r="P244">
        <f t="shared" si="100"/>
        <v>2.1771058315334773</v>
      </c>
      <c r="Q244">
        <f t="shared" si="101"/>
        <v>67.2</v>
      </c>
      <c r="R244">
        <f t="shared" si="102"/>
        <v>192</v>
      </c>
      <c r="S244">
        <f t="shared" si="103"/>
        <v>223.2</v>
      </c>
      <c r="T244">
        <f t="shared" si="104"/>
        <v>64.8</v>
      </c>
      <c r="U244">
        <f>I244*E244/'[1]Inverter Analysis'!$L$2</f>
        <v>86.957066772308096</v>
      </c>
      <c r="V244">
        <f t="shared" si="105"/>
        <v>277.77777777777777</v>
      </c>
      <c r="W244">
        <f t="shared" si="106"/>
        <v>358.42293906810039</v>
      </c>
      <c r="X244">
        <f t="shared" si="107"/>
        <v>198.4126984126984</v>
      </c>
      <c r="Y244">
        <f t="shared" si="108"/>
        <v>1.927005048753228</v>
      </c>
      <c r="Z244">
        <f t="shared" si="109"/>
        <v>0.34872767999999998</v>
      </c>
    </row>
    <row r="245" spans="1:26">
      <c r="A245">
        <v>15</v>
      </c>
      <c r="B245">
        <v>2</v>
      </c>
      <c r="C245">
        <v>6</v>
      </c>
      <c r="D245">
        <f t="shared" si="88"/>
        <v>180</v>
      </c>
      <c r="E245">
        <f t="shared" si="89"/>
        <v>90</v>
      </c>
      <c r="F245">
        <f t="shared" si="90"/>
        <v>12.6</v>
      </c>
      <c r="G245">
        <f t="shared" si="91"/>
        <v>0.67499999999999993</v>
      </c>
      <c r="H245">
        <f t="shared" si="92"/>
        <v>34.020000000000003</v>
      </c>
      <c r="I245">
        <f t="shared" si="93"/>
        <v>378</v>
      </c>
      <c r="J245">
        <f t="shared" si="94"/>
        <v>270</v>
      </c>
      <c r="K245">
        <f t="shared" si="95"/>
        <v>24.3</v>
      </c>
      <c r="L245">
        <f t="shared" si="96"/>
        <v>3.4020000000000001</v>
      </c>
      <c r="M245">
        <f t="shared" si="97"/>
        <v>3.34152</v>
      </c>
      <c r="N245">
        <f t="shared" si="98"/>
        <v>1.7387999999999999</v>
      </c>
      <c r="O245">
        <f t="shared" si="99"/>
        <v>2.4014117647058826</v>
      </c>
      <c r="P245">
        <f t="shared" si="100"/>
        <v>2.0410367170626347</v>
      </c>
      <c r="Q245">
        <f t="shared" si="101"/>
        <v>63</v>
      </c>
      <c r="R245">
        <f t="shared" si="102"/>
        <v>180</v>
      </c>
      <c r="S245">
        <f t="shared" si="103"/>
        <v>209.25</v>
      </c>
      <c r="T245">
        <f t="shared" si="104"/>
        <v>60.749999999999993</v>
      </c>
      <c r="U245">
        <f>I245*E245/'[1]Inverter Analysis'!$L$2</f>
        <v>81.522250099038828</v>
      </c>
      <c r="V245">
        <f t="shared" si="105"/>
        <v>296.2962962962963</v>
      </c>
      <c r="W245">
        <f t="shared" si="106"/>
        <v>382.31780167264037</v>
      </c>
      <c r="X245">
        <f t="shared" si="107"/>
        <v>211.64021164021165</v>
      </c>
      <c r="Y245">
        <f t="shared" si="108"/>
        <v>2.1925035221370055</v>
      </c>
      <c r="Z245">
        <f t="shared" si="109"/>
        <v>0.28734275390625003</v>
      </c>
    </row>
    <row r="246" spans="1:26">
      <c r="A246">
        <v>14</v>
      </c>
      <c r="B246">
        <v>2</v>
      </c>
      <c r="C246">
        <v>6</v>
      </c>
      <c r="D246">
        <f t="shared" si="88"/>
        <v>180</v>
      </c>
      <c r="E246">
        <f t="shared" si="89"/>
        <v>90</v>
      </c>
      <c r="F246">
        <f t="shared" si="90"/>
        <v>11.76</v>
      </c>
      <c r="G246">
        <f t="shared" si="91"/>
        <v>0.63</v>
      </c>
      <c r="H246">
        <f t="shared" si="92"/>
        <v>31.751999999999999</v>
      </c>
      <c r="I246">
        <f t="shared" si="93"/>
        <v>352.8</v>
      </c>
      <c r="J246">
        <f t="shared" si="94"/>
        <v>252</v>
      </c>
      <c r="K246">
        <f t="shared" si="95"/>
        <v>22.68</v>
      </c>
      <c r="L246">
        <f t="shared" si="96"/>
        <v>3.1752000000000002</v>
      </c>
      <c r="M246">
        <f t="shared" si="97"/>
        <v>3.1187519999999997</v>
      </c>
      <c r="N246">
        <f t="shared" si="98"/>
        <v>1.6228799999999999</v>
      </c>
      <c r="O246">
        <f t="shared" si="99"/>
        <v>2.2413176470588239</v>
      </c>
      <c r="P246">
        <f t="shared" si="100"/>
        <v>1.9049676025917928</v>
      </c>
      <c r="Q246">
        <f t="shared" si="101"/>
        <v>58.800000000000004</v>
      </c>
      <c r="R246">
        <f t="shared" si="102"/>
        <v>168</v>
      </c>
      <c r="S246">
        <f t="shared" si="103"/>
        <v>195.3</v>
      </c>
      <c r="T246">
        <f t="shared" si="104"/>
        <v>56.7</v>
      </c>
      <c r="U246">
        <f>I246*E246/'[1]Inverter Analysis'!$L$2</f>
        <v>76.087433425769575</v>
      </c>
      <c r="V246">
        <f t="shared" si="105"/>
        <v>317.46031746031747</v>
      </c>
      <c r="W246">
        <f t="shared" si="106"/>
        <v>409.62621607782899</v>
      </c>
      <c r="X246">
        <f t="shared" si="107"/>
        <v>226.75736961451247</v>
      </c>
      <c r="Y246">
        <f t="shared" si="108"/>
        <v>2.5169045534736036</v>
      </c>
      <c r="Z246">
        <f t="shared" si="109"/>
        <v>0.23362030125</v>
      </c>
    </row>
    <row r="247" spans="1:26">
      <c r="A247">
        <v>13</v>
      </c>
      <c r="B247">
        <v>2</v>
      </c>
      <c r="C247">
        <v>6</v>
      </c>
      <c r="D247">
        <f t="shared" si="88"/>
        <v>180</v>
      </c>
      <c r="E247">
        <f t="shared" si="89"/>
        <v>90</v>
      </c>
      <c r="F247">
        <f t="shared" si="90"/>
        <v>10.92</v>
      </c>
      <c r="G247">
        <f t="shared" si="91"/>
        <v>0.58499999999999996</v>
      </c>
      <c r="H247">
        <f t="shared" si="92"/>
        <v>29.484000000000005</v>
      </c>
      <c r="I247">
        <f t="shared" si="93"/>
        <v>327.60000000000002</v>
      </c>
      <c r="J247">
        <f t="shared" si="94"/>
        <v>234</v>
      </c>
      <c r="K247">
        <f t="shared" si="95"/>
        <v>21.06</v>
      </c>
      <c r="L247">
        <f t="shared" si="96"/>
        <v>2.9483999999999999</v>
      </c>
      <c r="M247">
        <f t="shared" si="97"/>
        <v>2.8959840000000003</v>
      </c>
      <c r="N247">
        <f t="shared" si="98"/>
        <v>1.5069600000000001</v>
      </c>
      <c r="O247">
        <f t="shared" si="99"/>
        <v>2.0812235294117647</v>
      </c>
      <c r="P247">
        <f t="shared" si="100"/>
        <v>1.7688984881209502</v>
      </c>
      <c r="Q247">
        <f t="shared" si="101"/>
        <v>54.6</v>
      </c>
      <c r="R247">
        <f t="shared" si="102"/>
        <v>156</v>
      </c>
      <c r="S247">
        <f t="shared" si="103"/>
        <v>181.35</v>
      </c>
      <c r="T247">
        <f t="shared" si="104"/>
        <v>52.65</v>
      </c>
      <c r="U247">
        <f>I247*E247/'[1]Inverter Analysis'!$L$2</f>
        <v>70.652616752500322</v>
      </c>
      <c r="V247">
        <f t="shared" si="105"/>
        <v>341.88034188034186</v>
      </c>
      <c r="W247">
        <f t="shared" si="106"/>
        <v>441.13592500689276</v>
      </c>
      <c r="X247">
        <f t="shared" si="107"/>
        <v>244.20024420024419</v>
      </c>
      <c r="Y247">
        <f t="shared" si="108"/>
        <v>2.9190135649753035</v>
      </c>
      <c r="Z247">
        <f t="shared" si="109"/>
        <v>0.18704949046875002</v>
      </c>
    </row>
    <row r="248" spans="1:26">
      <c r="A248">
        <v>12</v>
      </c>
      <c r="B248">
        <v>2</v>
      </c>
      <c r="C248">
        <v>6</v>
      </c>
      <c r="D248">
        <f t="shared" si="88"/>
        <v>180</v>
      </c>
      <c r="E248">
        <f t="shared" si="89"/>
        <v>90</v>
      </c>
      <c r="F248">
        <f t="shared" si="90"/>
        <v>10.08</v>
      </c>
      <c r="G248">
        <f t="shared" si="91"/>
        <v>0.54</v>
      </c>
      <c r="H248">
        <f t="shared" si="92"/>
        <v>27.216000000000005</v>
      </c>
      <c r="I248">
        <f t="shared" si="93"/>
        <v>302.40000000000003</v>
      </c>
      <c r="J248">
        <f t="shared" si="94"/>
        <v>216</v>
      </c>
      <c r="K248">
        <f t="shared" si="95"/>
        <v>19.440000000000001</v>
      </c>
      <c r="L248">
        <f t="shared" si="96"/>
        <v>2.7216000000000005</v>
      </c>
      <c r="M248">
        <f t="shared" si="97"/>
        <v>2.6732160000000005</v>
      </c>
      <c r="N248">
        <f t="shared" si="98"/>
        <v>1.3910400000000001</v>
      </c>
      <c r="O248">
        <f t="shared" si="99"/>
        <v>1.9211294117647064</v>
      </c>
      <c r="P248">
        <f t="shared" si="100"/>
        <v>1.6328293736501083</v>
      </c>
      <c r="Q248">
        <f t="shared" si="101"/>
        <v>50.400000000000006</v>
      </c>
      <c r="R248">
        <f t="shared" si="102"/>
        <v>144</v>
      </c>
      <c r="S248">
        <f t="shared" si="103"/>
        <v>167.4</v>
      </c>
      <c r="T248">
        <f t="shared" si="104"/>
        <v>48.6</v>
      </c>
      <c r="U248">
        <f>I248*E248/'[1]Inverter Analysis'!$L$2</f>
        <v>65.217800079231068</v>
      </c>
      <c r="V248">
        <f t="shared" si="105"/>
        <v>370.37037037037038</v>
      </c>
      <c r="W248">
        <f t="shared" si="106"/>
        <v>477.89725209080046</v>
      </c>
      <c r="X248">
        <f t="shared" si="107"/>
        <v>264.5502645502645</v>
      </c>
      <c r="Y248">
        <f t="shared" si="108"/>
        <v>3.4257867533390707</v>
      </c>
      <c r="Z248">
        <f t="shared" si="109"/>
        <v>0.14711949000000002</v>
      </c>
    </row>
    <row r="249" spans="1:26">
      <c r="A249">
        <v>11</v>
      </c>
      <c r="B249">
        <v>2</v>
      </c>
      <c r="C249">
        <v>6</v>
      </c>
      <c r="D249">
        <f t="shared" si="88"/>
        <v>180</v>
      </c>
      <c r="E249">
        <f t="shared" si="89"/>
        <v>90</v>
      </c>
      <c r="F249">
        <f t="shared" si="90"/>
        <v>9.24</v>
      </c>
      <c r="G249">
        <f t="shared" si="91"/>
        <v>0.49499999999999994</v>
      </c>
      <c r="H249">
        <f t="shared" si="92"/>
        <v>24.948</v>
      </c>
      <c r="I249">
        <f t="shared" si="93"/>
        <v>277.2</v>
      </c>
      <c r="J249">
        <f t="shared" si="94"/>
        <v>198</v>
      </c>
      <c r="K249">
        <f t="shared" si="95"/>
        <v>17.82</v>
      </c>
      <c r="L249">
        <f t="shared" si="96"/>
        <v>2.4947999999999997</v>
      </c>
      <c r="M249">
        <f t="shared" si="97"/>
        <v>2.4504479999999997</v>
      </c>
      <c r="N249">
        <f t="shared" si="98"/>
        <v>1.2751199999999998</v>
      </c>
      <c r="O249">
        <f t="shared" si="99"/>
        <v>1.761035294117647</v>
      </c>
      <c r="P249">
        <f t="shared" si="100"/>
        <v>1.4967602591792655</v>
      </c>
      <c r="Q249">
        <f t="shared" si="101"/>
        <v>46.199999999999996</v>
      </c>
      <c r="R249">
        <f t="shared" si="102"/>
        <v>132</v>
      </c>
      <c r="S249">
        <f t="shared" si="103"/>
        <v>153.44999999999999</v>
      </c>
      <c r="T249">
        <f t="shared" si="104"/>
        <v>44.55</v>
      </c>
      <c r="U249">
        <f>I249*E249/'[1]Inverter Analysis'!$L$2</f>
        <v>59.782983405961808</v>
      </c>
      <c r="V249">
        <f t="shared" si="105"/>
        <v>404.04040404040404</v>
      </c>
      <c r="W249">
        <f t="shared" si="106"/>
        <v>521.34245682632786</v>
      </c>
      <c r="X249">
        <f t="shared" si="107"/>
        <v>288.60028860028859</v>
      </c>
      <c r="Y249">
        <f t="shared" si="108"/>
        <v>4.0769693593456724</v>
      </c>
      <c r="Z249">
        <f t="shared" si="109"/>
        <v>0.11331946828125</v>
      </c>
    </row>
    <row r="250" spans="1:26">
      <c r="A250">
        <v>10</v>
      </c>
      <c r="B250">
        <v>2</v>
      </c>
      <c r="C250">
        <v>6</v>
      </c>
      <c r="D250">
        <f t="shared" si="88"/>
        <v>180</v>
      </c>
      <c r="E250">
        <f t="shared" si="89"/>
        <v>90</v>
      </c>
      <c r="F250">
        <f t="shared" si="90"/>
        <v>8.4</v>
      </c>
      <c r="G250">
        <f t="shared" si="91"/>
        <v>0.44999999999999996</v>
      </c>
      <c r="H250">
        <f t="shared" si="92"/>
        <v>22.68</v>
      </c>
      <c r="I250">
        <f t="shared" si="93"/>
        <v>252</v>
      </c>
      <c r="J250">
        <f t="shared" si="94"/>
        <v>180</v>
      </c>
      <c r="K250">
        <f t="shared" si="95"/>
        <v>16.2</v>
      </c>
      <c r="L250">
        <f t="shared" si="96"/>
        <v>2.2679999999999998</v>
      </c>
      <c r="M250">
        <f t="shared" si="97"/>
        <v>2.2276799999999999</v>
      </c>
      <c r="N250">
        <f t="shared" si="98"/>
        <v>1.1591999999999998</v>
      </c>
      <c r="O250">
        <f t="shared" si="99"/>
        <v>1.6009411764705881</v>
      </c>
      <c r="P250">
        <f t="shared" si="100"/>
        <v>1.3606911447084233</v>
      </c>
      <c r="Q250">
        <f t="shared" si="101"/>
        <v>42</v>
      </c>
      <c r="R250">
        <f t="shared" si="102"/>
        <v>120</v>
      </c>
      <c r="S250">
        <f t="shared" si="103"/>
        <v>139.5</v>
      </c>
      <c r="T250">
        <f t="shared" si="104"/>
        <v>40.499999999999993</v>
      </c>
      <c r="U250">
        <f>I250*E250/'[1]Inverter Analysis'!$L$2</f>
        <v>54.348166732692547</v>
      </c>
      <c r="V250">
        <f t="shared" si="105"/>
        <v>444.44444444444446</v>
      </c>
      <c r="W250">
        <f t="shared" si="106"/>
        <v>573.47670250896056</v>
      </c>
      <c r="X250">
        <f t="shared" si="107"/>
        <v>317.46031746031747</v>
      </c>
      <c r="Y250">
        <f t="shared" si="108"/>
        <v>4.9331329248082634</v>
      </c>
      <c r="Z250">
        <f t="shared" si="109"/>
        <v>8.5138593750000005E-2</v>
      </c>
    </row>
  </sheetData>
  <mergeCells count="1">
    <mergeCell ref="Q1:S1"/>
  </mergeCells>
  <conditionalFormatting sqref="H6:H250">
    <cfRule type="cellIs" dxfId="7" priority="4" operator="between">
      <formula>70</formula>
      <formula>85</formula>
    </cfRule>
    <cfRule type="cellIs" dxfId="6" priority="5" operator="lessThan">
      <formula>70</formula>
    </cfRule>
    <cfRule type="cellIs" dxfId="5" priority="6" operator="greaterThan">
      <formula>85</formula>
    </cfRule>
  </conditionalFormatting>
  <conditionalFormatting sqref="I6:I250">
    <cfRule type="cellIs" dxfId="4" priority="3" operator="greaterThan">
      <formula>600</formula>
    </cfRule>
  </conditionalFormatting>
  <conditionalFormatting sqref="I5:K250">
    <cfRule type="cellIs" dxfId="3" priority="1" operator="between">
      <formula>400</formula>
      <formula>600</formula>
    </cfRule>
    <cfRule type="cellIs" dxfId="2" priority="2" operator="lessThan">
      <formula>400</formula>
    </cfRule>
  </conditionalFormatting>
  <conditionalFormatting sqref="Q6:Q250">
    <cfRule type="cellIs" dxfId="1" priority="7" operator="lessThan">
      <formula>60</formula>
    </cfRule>
    <cfRule type="cellIs" dxfId="0" priority="8" operator="greaterThan">
      <formula>60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BEFDCC4F62BB4A8E0581C1C9A79BCC" ma:contentTypeVersion="19" ma:contentTypeDescription="Create a new document." ma:contentTypeScope="" ma:versionID="607cbcb494ba2040ce480554fac8048f">
  <xsd:schema xmlns:xsd="http://www.w3.org/2001/XMLSchema" xmlns:xs="http://www.w3.org/2001/XMLSchema" xmlns:p="http://schemas.microsoft.com/office/2006/metadata/properties" xmlns:ns2="86baf892-f1e1-41ca-b9ec-9889d2af41bd" xmlns:ns3="415aed83-ea24-4def-9425-31d680ac6edb" targetNamespace="http://schemas.microsoft.com/office/2006/metadata/properties" ma:root="true" ma:fieldsID="547a30f5a53bbd89396b7fb89a40c489" ns2:_="" ns3:_="">
    <xsd:import namespace="86baf892-f1e1-41ca-b9ec-9889d2af41bd"/>
    <xsd:import namespace="415aed83-ea24-4def-9425-31d680ac6e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af892-f1e1-41ca-b9ec-9889d2af4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111843b-6948-4e45-a4d0-217e70d3d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default="[today]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aed83-ea24-4def-9425-31d680ac6e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a9546e1-639a-4a3d-8bf6-74031935f734}" ma:internalName="TaxCatchAll" ma:showField="CatchAllData" ma:web="415aed83-ea24-4def-9425-31d680ac6e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6baf892-f1e1-41ca-b9ec-9889d2af41bd">2025-07-07T15:28:29+00:00</Date>
    <TaxCatchAll xmlns="415aed83-ea24-4def-9425-31d680ac6edb" xsi:nil="true"/>
    <lcf76f155ced4ddcb4097134ff3c332f xmlns="86baf892-f1e1-41ca-b9ec-9889d2af41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64AB02-BE9C-443D-8FCE-47065825535C}"/>
</file>

<file path=customXml/itemProps2.xml><?xml version="1.0" encoding="utf-8"?>
<ds:datastoreItem xmlns:ds="http://schemas.openxmlformats.org/officeDocument/2006/customXml" ds:itemID="{9B47126E-922A-4452-B444-547106844C43}"/>
</file>

<file path=customXml/itemProps3.xml><?xml version="1.0" encoding="utf-8"?>
<ds:datastoreItem xmlns:ds="http://schemas.openxmlformats.org/officeDocument/2006/customXml" ds:itemID="{3FE303C6-340C-432D-BE0E-30F01425D8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2025-07-07T19:28:31Z</dcterms:created>
  <dcterms:modified xsi:type="dcterms:W3CDTF">2026-02-15T17:25:28Z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0x01010047BEFDCC4F62BB4A8E0581C1C9A79BCC</vt:lpwstr>
  </property>
  <property fmtid="{D5CDD505-2E9C-101B-9397-08002B2CF9AE}" pid="3" name="MediaServiceImageTags">
    <vt:lpwstr/>
  </property>
</Properties>
</file>